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vyTatad\OneDrive - Department of Education\Desktop\"/>
    </mc:Choice>
  </mc:AlternateContent>
  <xr:revisionPtr revIDLastSave="0" documentId="8_{EC52C851-4A80-48D0-AF5C-D78698D558D6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ELECTRIFICATION LIST 2017 (2)" sheetId="3" state="hidden" r:id="rId1"/>
    <sheet name="LMS 2024" sheetId="4" r:id="rId2"/>
    <sheet name="+" sheetId="7" state="hidden" r:id="rId3"/>
    <sheet name="ELECTRIFICATION LIST per div" sheetId="9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all2">#REF!</definedName>
    <definedName name="___EDU2">[1]EDU4!$G$10</definedName>
    <definedName name="__EDU2">[1]EDU4!$G$10</definedName>
    <definedName name="_all2">#REF!</definedName>
    <definedName name="_car2">#REF!</definedName>
    <definedName name="_EDU2">[1]EDU4!$G$10</definedName>
    <definedName name="_Fill">#REF!</definedName>
    <definedName name="_xlnm._FilterDatabase" localSheetId="0" hidden="1">'ELECTRIFICATION LIST 2017 (2)'!$A$7:$U$1816</definedName>
    <definedName name="_xlnm._FilterDatabase" localSheetId="1" hidden="1">'LMS 2024'!$A$7:$AY$24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xlcn.WorksheetConnection_BEFF2016A6BV57181">#REF!</definedName>
    <definedName name="_xlcn.WorksheetConnection_ELECTRIFICATION20172020WK1JAN6.xlsx_xlcn.WorksheetConnection_CY2017ElectrificationB12A8AI7201">'LMS 2024'!$B$7:$AO$7</definedName>
    <definedName name="_xlcn.WorksheetConnection_ELECTRIFICATION20172020WK1JAN6.xlsx_xlcn.WorksheetConnection_CY2018ElectrificationB14A6AN19541">#REF!</definedName>
    <definedName name="_xlcn.WorksheetConnection_ELECTRIFICATION20172020WK1JAN6.xlsx_xlcn.WorksheetConnection_CY2019ElectrificationA6AO14981">#REF!</definedName>
    <definedName name="_xlcn.WorksheetConnection_ELECTRIFICATION20172020WK1JAN6.xlsx_xlcn.WorksheetConnection_CY2020ElectrificationA6AO97311">#REF!</definedName>
    <definedName name="_xlcn.WorksheetConnection_LMS20202022asofNovember2022.xlsx_xlcn.WorksheetConnection_LMS2022B7AV89">#REF!</definedName>
    <definedName name="_xlcn.WorksheetConnection_LMS2020A10AM105">#REF!</definedName>
    <definedName name="A">#REF!</definedName>
    <definedName name="aaaaa">#REF!</definedName>
    <definedName name="ab">#REF!</definedName>
    <definedName name="abcd">#REF!</definedName>
    <definedName name="ACCOUNTING">#REF!</definedName>
    <definedName name="adfadfaf">#REF!</definedName>
    <definedName name="ALLREGIONS">#REF!</definedName>
    <definedName name="Area">#REF!</definedName>
    <definedName name="area2222">#REF!</definedName>
    <definedName name="asadad">#REF!</definedName>
    <definedName name="ASASDFASFA">#REF!</definedName>
    <definedName name="asd">#REF!</definedName>
    <definedName name="ASDAfds">#REF!</definedName>
    <definedName name="ASDFAS">#REF!</definedName>
    <definedName name="b">#REF!</definedName>
    <definedName name="CAFISSUANCE">#REF!</definedName>
    <definedName name="CLS">[2]Baseline!$1:$1048576</definedName>
    <definedName name="Cost">'[3]Costs and Types'!$A$1:$A$44</definedName>
    <definedName name="cv">#REF!</definedName>
    <definedName name="dede">#REF!</definedName>
    <definedName name="defggr">#REF!</definedName>
    <definedName name="dfre">#REF!</definedName>
    <definedName name="dfsdf">#REF!</definedName>
    <definedName name="dfwagagr">#REF!</definedName>
    <definedName name="dsssss">#REF!</definedName>
    <definedName name="dssssss">#REF!</definedName>
    <definedName name="e">#REF!</definedName>
    <definedName name="ed">#REF!</definedName>
    <definedName name="eee">#REF!</definedName>
    <definedName name="Eight">#REF!</definedName>
    <definedName name="elem">#REF!</definedName>
    <definedName name="enrollment_estimates">'[4]Alloc working w formula'!#REF!</definedName>
    <definedName name="Enrolment">#REF!</definedName>
    <definedName name="Excel_BuiltIn_Print_Area_1">#REF!</definedName>
    <definedName name="Excel_BuiltIn_Print_Area_3">#REF!</definedName>
    <definedName name="Excel_BuiltIn_Print_Area_3_1">#REF!</definedName>
    <definedName name="Excel_BuiltIn_Print_Titles_1">#REF!</definedName>
    <definedName name="exp">#REF!</definedName>
    <definedName name="EXPEND">[5]EDU4!$G$10</definedName>
    <definedName name="Expenditure">#REF!</definedName>
    <definedName name="Expenditure_new">#REF!</definedName>
    <definedName name="expenditure2">#REF!</definedName>
    <definedName name="F">#REF!</definedName>
    <definedName name="fift">#REF!</definedName>
    <definedName name="Five">#REF!</definedName>
    <definedName name="four">#REF!</definedName>
    <definedName name="gfo">[6]Database!$A$3:$E$541</definedName>
    <definedName name="GLEN">[7]Database!$A$3:$E$541</definedName>
    <definedName name="gttt">#REF!</definedName>
    <definedName name="HHHH">#REF!</definedName>
    <definedName name="hjjhjkj">#REF!</definedName>
    <definedName name="I">#REF!</definedName>
    <definedName name="ie">#REF!</definedName>
    <definedName name="II">#REF!</definedName>
    <definedName name="III">#REF!</definedName>
    <definedName name="iree">#REF!</definedName>
    <definedName name="IV">#REF!</definedName>
    <definedName name="IX">#REF!</definedName>
    <definedName name="jik">#REF!</definedName>
    <definedName name="jji">#REF!</definedName>
    <definedName name="JOEKIM">#REF!</definedName>
    <definedName name="k">#REF!</definedName>
    <definedName name="kim">#REF!</definedName>
    <definedName name="kli">#REF!</definedName>
    <definedName name="ko">#REF!</definedName>
    <definedName name="l">#REF!</definedName>
    <definedName name="LCC_WFP">#REF!</definedName>
    <definedName name="LCC_WFP2016">#REF!</definedName>
    <definedName name="ll">#REF!</definedName>
    <definedName name="llgkih">#REF!</definedName>
    <definedName name="lll">#REF!</definedName>
    <definedName name="m">#REF!</definedName>
    <definedName name="marj">#REF!</definedName>
    <definedName name="mi">#REF!</definedName>
    <definedName name="mial">#REF!</definedName>
    <definedName name="mm">#REF!</definedName>
    <definedName name="mmm">#REF!</definedName>
    <definedName name="mmmmmmmmmmmmmm">#REF!</definedName>
    <definedName name="mmttr">#REF!</definedName>
    <definedName name="n">#REF!</definedName>
    <definedName name="nancy">#REF!</definedName>
    <definedName name="NATIONAL">#REF!</definedName>
    <definedName name="Natz">#REF!</definedName>
    <definedName name="ncr">#REF!</definedName>
    <definedName name="new">#REF!</definedName>
    <definedName name="Nine">#REF!</definedName>
    <definedName name="nnfhfhf">#REF!</definedName>
    <definedName name="NUMCLASS">#REF!</definedName>
    <definedName name="o">#REF!</definedName>
    <definedName name="oi">#REF!</definedName>
    <definedName name="oldform">#REF!</definedName>
    <definedName name="on">#REF!</definedName>
    <definedName name="One">#REF!</definedName>
    <definedName name="oooo">#REF!</definedName>
    <definedName name="op">#REF!</definedName>
    <definedName name="or">#REF!</definedName>
    <definedName name="Orientation_and_Distribution_of_TXs_TMs__Math_1_2_6___Science_3_6">#REF!</definedName>
    <definedName name="p">#REF!</definedName>
    <definedName name="po">#REF!</definedName>
    <definedName name="ppmp_01">#REF!</definedName>
    <definedName name="PPMP1">#REF!</definedName>
    <definedName name="ppmp2">#REF!</definedName>
    <definedName name="Prin">#REF!</definedName>
    <definedName name="_xlnm.Print_Area" localSheetId="1">'LMS 2024'!$A$1:$AV$7</definedName>
    <definedName name="PRINT_AREA_MI">#REF!</definedName>
    <definedName name="print_area_Mil">#REF!</definedName>
    <definedName name="Print_Titles_MI">'[8]Enrolees&amp;Graduated'!$A$1:$IV$6,'[8]Enrolees&amp;Graduated'!$A$1:$A$65536</definedName>
    <definedName name="procured">#REF!</definedName>
    <definedName name="Procurement">#REF!</definedName>
    <definedName name="py">#REF!</definedName>
    <definedName name="q">#REF!</definedName>
    <definedName name="reg">#REF!</definedName>
    <definedName name="region">#REF!</definedName>
    <definedName name="Region2">#REF!</definedName>
    <definedName name="regional">#REF!</definedName>
    <definedName name="ret">#REF!</definedName>
    <definedName name="ro">#REF!</definedName>
    <definedName name="rommel">#REF!</definedName>
    <definedName name="rrr">#REF!</definedName>
    <definedName name="RSBP">#REF!</definedName>
    <definedName name="safe">[9]SchInfo!#REF!</definedName>
    <definedName name="sayot">#REF!</definedName>
    <definedName name="seco">#REF!</definedName>
    <definedName name="sed">#REF!</definedName>
    <definedName name="sev">#REF!</definedName>
    <definedName name="Seven">#REF!</definedName>
    <definedName name="sheet">#REF!</definedName>
    <definedName name="shsid2">#REF!</definedName>
    <definedName name="six">#REF!</definedName>
    <definedName name="Slicer_CATEGORY">#REF!</definedName>
    <definedName name="Slicer_CATEGORY1">#REF!</definedName>
    <definedName name="Slicer_REGION">#REF!</definedName>
    <definedName name="Slicer_REGION1">#REF!</definedName>
    <definedName name="Soil_Condition">#REF!</definedName>
    <definedName name="sss">#REF!</definedName>
    <definedName name="SUMM2016VER2">#REF!</definedName>
    <definedName name="Table_13">#REF!</definedName>
    <definedName name="Table_14">#REF!</definedName>
    <definedName name="Table_15">#REF!</definedName>
    <definedName name="Table_18">#REF!</definedName>
    <definedName name="Table_19">#REF!</definedName>
    <definedName name="Table19">#REF!</definedName>
    <definedName name="test">#REF!</definedName>
    <definedName name="Th">#REF!</definedName>
    <definedName name="three">#REF!</definedName>
    <definedName name="to">#REF!</definedName>
    <definedName name="tree">#REF!</definedName>
    <definedName name="TS">#REF!</definedName>
    <definedName name="Twelve">#REF!</definedName>
    <definedName name="two">#REF!</definedName>
    <definedName name="ty">#REF!</definedName>
    <definedName name="V">#REF!</definedName>
    <definedName name="VI">#REF!</definedName>
    <definedName name="VIII">#REF!</definedName>
    <definedName name="VIIII">#REF!</definedName>
    <definedName name="WDAFA">#REF!</definedName>
    <definedName name="wdf">#REF!</definedName>
    <definedName name="wfdp">#REF!</definedName>
    <definedName name="WFP">#REF!</definedName>
    <definedName name="wp">#REF!</definedName>
    <definedName name="X">#REF!</definedName>
    <definedName name="XXX">#REF!</definedName>
    <definedName name="y">#REF!</definedName>
    <definedName name="yh">#REF!</definedName>
    <definedName name="yolanda">#REF!</definedName>
    <definedName name="yt">#REF!</definedName>
    <definedName name="Z_7F979279_3056_45D6_BD46_9C5887855A9A_.wvu.FilterData" localSheetId="1" hidden="1">'LMS 2024'!$B$6:$AQ$7</definedName>
    <definedName name="zero">#REF!</definedName>
  </definedNames>
  <calcPr calcId="191028"/>
  <customWorkbookViews>
    <customWorkbookView name="r iv-a" guid="{F1561D82-F6D0-4C5F-B4E8-52CEFD09F034}" maximized="1" windowWidth="0" windowHeight="0" activeSheetId="0"/>
    <customWorkbookView name="Filter 1" guid="{7F979279-3056-45D6-BD46-9C5887855A9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4" l="1"/>
  <c r="K6" i="4"/>
  <c r="H6" i="4"/>
  <c r="N877" i="9" l="1"/>
  <c r="I877" i="9"/>
  <c r="H877" i="9"/>
  <c r="N869" i="9"/>
  <c r="I869" i="9"/>
  <c r="H869" i="9"/>
  <c r="N849" i="9"/>
  <c r="I849" i="9"/>
  <c r="H849" i="9"/>
  <c r="N831" i="9"/>
  <c r="I831" i="9"/>
  <c r="H831" i="9"/>
  <c r="N726" i="9"/>
  <c r="I726" i="9"/>
  <c r="H726" i="9"/>
  <c r="N717" i="9"/>
  <c r="I717" i="9"/>
  <c r="H717" i="9"/>
  <c r="N704" i="9"/>
  <c r="I704" i="9"/>
  <c r="H704" i="9"/>
  <c r="N692" i="9"/>
  <c r="I692" i="9"/>
  <c r="H692" i="9"/>
  <c r="N678" i="9"/>
  <c r="I678" i="9"/>
  <c r="H678" i="9"/>
  <c r="N670" i="9"/>
  <c r="I670" i="9"/>
  <c r="H670" i="9"/>
  <c r="N661" i="9"/>
  <c r="I661" i="9"/>
  <c r="H661" i="9"/>
  <c r="N653" i="9"/>
  <c r="I653" i="9"/>
  <c r="H653" i="9"/>
  <c r="N573" i="9"/>
  <c r="I573" i="9"/>
  <c r="H573" i="9"/>
  <c r="N565" i="9"/>
  <c r="I565" i="9"/>
  <c r="H565" i="9"/>
  <c r="N550" i="9"/>
  <c r="I550" i="9"/>
  <c r="H550" i="9"/>
  <c r="N538" i="9"/>
  <c r="I538" i="9"/>
  <c r="H538" i="9"/>
  <c r="N529" i="9"/>
  <c r="I529" i="9"/>
  <c r="H529" i="9"/>
  <c r="N517" i="9"/>
  <c r="I517" i="9"/>
  <c r="H517" i="9"/>
  <c r="N505" i="9"/>
  <c r="I505" i="9"/>
  <c r="H505" i="9"/>
  <c r="N473" i="9"/>
  <c r="I473" i="9"/>
  <c r="H473" i="9"/>
  <c r="N460" i="9"/>
  <c r="I460" i="9"/>
  <c r="H460" i="9"/>
  <c r="N451" i="9"/>
  <c r="I451" i="9"/>
  <c r="H451" i="9"/>
  <c r="N427" i="9"/>
  <c r="I427" i="9"/>
  <c r="H427" i="9"/>
  <c r="N417" i="9"/>
  <c r="I417" i="9"/>
  <c r="H417" i="9"/>
  <c r="N372" i="9"/>
  <c r="I372" i="9"/>
  <c r="H372" i="9"/>
  <c r="N359" i="9"/>
  <c r="I359" i="9"/>
  <c r="H359" i="9"/>
  <c r="N334" i="9"/>
  <c r="I334" i="9"/>
  <c r="H334" i="9"/>
  <c r="N322" i="9"/>
  <c r="I322" i="9"/>
  <c r="H322" i="9"/>
  <c r="N314" i="9"/>
  <c r="I314" i="9"/>
  <c r="H314" i="9"/>
  <c r="N288" i="9"/>
  <c r="I288" i="9"/>
  <c r="H288" i="9"/>
  <c r="N280" i="9"/>
  <c r="I280" i="9"/>
  <c r="H280" i="9"/>
  <c r="N272" i="9"/>
  <c r="I272" i="9"/>
  <c r="H272" i="9"/>
  <c r="N262" i="9"/>
  <c r="I262" i="9"/>
  <c r="H262" i="9"/>
  <c r="N243" i="9"/>
  <c r="I243" i="9"/>
  <c r="H243" i="9"/>
  <c r="N234" i="9"/>
  <c r="I234" i="9"/>
  <c r="H234" i="9"/>
  <c r="N224" i="9"/>
  <c r="I224" i="9"/>
  <c r="H224" i="9"/>
  <c r="N211" i="9"/>
  <c r="I211" i="9"/>
  <c r="H211" i="9"/>
  <c r="N187" i="9"/>
  <c r="I187" i="9"/>
  <c r="H187" i="9"/>
  <c r="N149" i="9"/>
  <c r="I149" i="9"/>
  <c r="H149" i="9"/>
  <c r="N133" i="9"/>
  <c r="I133" i="9"/>
  <c r="H133" i="9"/>
  <c r="N125" i="9"/>
  <c r="I125" i="9"/>
  <c r="H125" i="9"/>
  <c r="N114" i="9"/>
  <c r="I114" i="9"/>
  <c r="H114" i="9"/>
  <c r="N102" i="9"/>
  <c r="I102" i="9"/>
  <c r="H102" i="9"/>
  <c r="N78" i="9"/>
  <c r="I78" i="9"/>
  <c r="H78" i="9"/>
  <c r="N45" i="9"/>
  <c r="I45" i="9"/>
  <c r="H45" i="9"/>
  <c r="N27" i="9"/>
  <c r="I27" i="9"/>
  <c r="H27" i="9"/>
  <c r="N19" i="9"/>
  <c r="I19" i="9"/>
  <c r="H19" i="9"/>
</calcChain>
</file>

<file path=xl/sharedStrings.xml><?xml version="1.0" encoding="utf-8"?>
<sst xmlns="http://schemas.openxmlformats.org/spreadsheetml/2006/main" count="19626" uniqueCount="2635">
  <si>
    <t>REPUBLIC OF THE PHILIPPINES</t>
  </si>
  <si>
    <t>DEPARTMENT OF EDUCATION</t>
  </si>
  <si>
    <t>CY 2017 BASIC EDUCATIONAL FACILITIES FUND</t>
  </si>
  <si>
    <t>ELECTRIFICATION OF UN-ENERGIZED SCHOOLS ON-GRID</t>
  </si>
  <si>
    <t>Region</t>
  </si>
  <si>
    <t>Division</t>
  </si>
  <si>
    <t>School ID</t>
  </si>
  <si>
    <t>School Name</t>
  </si>
  <si>
    <t>Municipality</t>
  </si>
  <si>
    <t>LD</t>
  </si>
  <si>
    <t># of cl Needs Major Repair</t>
  </si>
  <si>
    <t>No of Sites</t>
  </si>
  <si>
    <t>TOTAL PHYSICAL TARGET</t>
  </si>
  <si>
    <t>BLDG. TYPE</t>
  </si>
  <si>
    <t>HAULING</t>
  </si>
  <si>
    <t>REPAIR COST</t>
  </si>
  <si>
    <t>TOTAL COST</t>
  </si>
  <si>
    <t>ALLOCATION</t>
  </si>
  <si>
    <t>SCOPE OF WORK</t>
  </si>
  <si>
    <t>REMARKS</t>
  </si>
  <si>
    <t>SIGNED BY SDS (Y/N)</t>
  </si>
  <si>
    <t>Repair 2017 Allocation</t>
  </si>
  <si>
    <t>WITH POW (yes/no)</t>
  </si>
  <si>
    <t>CAR</t>
  </si>
  <si>
    <t>Abra</t>
  </si>
  <si>
    <t>Liagan PS</t>
  </si>
  <si>
    <t>MANABO</t>
  </si>
  <si>
    <t>Lone District</t>
  </si>
  <si>
    <t>-Baungis</t>
  </si>
  <si>
    <t>Electrification of School Building</t>
  </si>
  <si>
    <t>Benben PS</t>
  </si>
  <si>
    <t>LA PAZ</t>
  </si>
  <si>
    <t>Bacag ES</t>
  </si>
  <si>
    <t>LACUB</t>
  </si>
  <si>
    <t>Buneg PS</t>
  </si>
  <si>
    <t>Kileng PS</t>
  </si>
  <si>
    <t>LICUAN-BAAY (LICUAN)</t>
  </si>
  <si>
    <t>Lan-ag ES</t>
  </si>
  <si>
    <t>Pacoc ES</t>
  </si>
  <si>
    <t>Sap-al PS</t>
  </si>
  <si>
    <t>Talipogo PS</t>
  </si>
  <si>
    <t>Tukipa PS</t>
  </si>
  <si>
    <t>LUBA</t>
  </si>
  <si>
    <t>Maoay PS</t>
  </si>
  <si>
    <t>SAN ISIDRO</t>
  </si>
  <si>
    <t>Lam-aoan PS</t>
  </si>
  <si>
    <t>SALLAPADAN</t>
  </si>
  <si>
    <t>Lawigan PS</t>
  </si>
  <si>
    <t>BOLINEY</t>
  </si>
  <si>
    <t>Nangas-Asan PS</t>
  </si>
  <si>
    <t>Ud-udiao ES</t>
  </si>
  <si>
    <t>Alawa ES</t>
  </si>
  <si>
    <t>TINEG</t>
  </si>
  <si>
    <t>Lukgay PS</t>
  </si>
  <si>
    <t>LAGAYAN</t>
  </si>
  <si>
    <t>Tattawa PS</t>
  </si>
  <si>
    <t>PEÑARRUBIA</t>
  </si>
  <si>
    <t>Apayao</t>
  </si>
  <si>
    <t>Guedeged PS</t>
  </si>
  <si>
    <t>CONNER</t>
  </si>
  <si>
    <t>Mallag PS</t>
  </si>
  <si>
    <t>KABUGAO (Capital)</t>
  </si>
  <si>
    <t>Banan PS</t>
  </si>
  <si>
    <t>Guimitan PS</t>
  </si>
  <si>
    <t>Taracay ES</t>
  </si>
  <si>
    <t>Marag ES</t>
  </si>
  <si>
    <t>LUNA</t>
  </si>
  <si>
    <t>Mataguisi ES</t>
  </si>
  <si>
    <t>PUDTOL</t>
  </si>
  <si>
    <t>Nueva PS</t>
  </si>
  <si>
    <t>SANTA MARCELA</t>
  </si>
  <si>
    <t>San Juan ES</t>
  </si>
  <si>
    <t>Culilimtao PS</t>
  </si>
  <si>
    <t>Aga PS</t>
  </si>
  <si>
    <t>San Jose ES</t>
  </si>
  <si>
    <t>Mabiga PS</t>
  </si>
  <si>
    <t>Lt. Balag PS</t>
  </si>
  <si>
    <t>Turayo PS</t>
  </si>
  <si>
    <t>Conner Central NHS Guina-ang Annex III</t>
  </si>
  <si>
    <t>San Francisco National Agricultural and Trade HS</t>
  </si>
  <si>
    <t>Conner Central NHS Ili Annex</t>
  </si>
  <si>
    <t>Gov. Benjamin Laguiab, Sr. MNHS Sacpil Annex</t>
  </si>
  <si>
    <t>Benguet</t>
  </si>
  <si>
    <t>Bulisay ES</t>
  </si>
  <si>
    <t>BAKUN</t>
  </si>
  <si>
    <t>Legab ES</t>
  </si>
  <si>
    <t>Nagawa ES</t>
  </si>
  <si>
    <t>Mocgao Elementary School</t>
  </si>
  <si>
    <t>KIBUNGAN</t>
  </si>
  <si>
    <t>Barbarit PS</t>
  </si>
  <si>
    <t>2nd District</t>
  </si>
  <si>
    <t>Les-eng Primary School</t>
  </si>
  <si>
    <t>Cadsi-Amoy ES - Poway Annex</t>
  </si>
  <si>
    <t>Ifugao</t>
  </si>
  <si>
    <t>Haitan PS</t>
  </si>
  <si>
    <t>AGUINALDO</t>
  </si>
  <si>
    <t>Halag PS - Halag 1</t>
  </si>
  <si>
    <t>Nepojnoc PS</t>
  </si>
  <si>
    <t>Talite Primary School</t>
  </si>
  <si>
    <t>Busilac ES</t>
  </si>
  <si>
    <t>ALFONSO LISTA (POTIA)</t>
  </si>
  <si>
    <t>Laya ES</t>
  </si>
  <si>
    <t>Kayang PS</t>
  </si>
  <si>
    <t>HINGYON</t>
  </si>
  <si>
    <t>Nattum PS (Proper)</t>
  </si>
  <si>
    <t>MAYOYAO</t>
  </si>
  <si>
    <t>Asipulo CS - Annex</t>
  </si>
  <si>
    <t>ASIPULO</t>
  </si>
  <si>
    <t>Maligaya PS</t>
  </si>
  <si>
    <t>Hulbo PS</t>
  </si>
  <si>
    <t>Hapid NHS</t>
  </si>
  <si>
    <t>LAMUT</t>
  </si>
  <si>
    <t>Hapid NHS - Bimpal Annex</t>
  </si>
  <si>
    <t>Banaue NHS Extension</t>
  </si>
  <si>
    <t>BANAUE</t>
  </si>
  <si>
    <t>Kalinga</t>
  </si>
  <si>
    <t>Bassao PS</t>
  </si>
  <si>
    <t>BALBALAN</t>
  </si>
  <si>
    <t>Bayowong PS</t>
  </si>
  <si>
    <t>Bonong Community School</t>
  </si>
  <si>
    <t>Buaya ES</t>
  </si>
  <si>
    <t>Bullalayao PS</t>
  </si>
  <si>
    <t>Kabugao ES</t>
  </si>
  <si>
    <t>Mabaca ES</t>
  </si>
  <si>
    <t>Tawang ES</t>
  </si>
  <si>
    <t>Ubual PS</t>
  </si>
  <si>
    <t>Colong PS</t>
  </si>
  <si>
    <t>LUBUAGAN</t>
  </si>
  <si>
    <t>Dugnac PS</t>
  </si>
  <si>
    <t>Latawan PS</t>
  </si>
  <si>
    <t>Mallongan ES</t>
  </si>
  <si>
    <t>Cagaluan ES Annex (Da-o PS)</t>
  </si>
  <si>
    <t>PASIL</t>
  </si>
  <si>
    <t>Cagaluan ES Annex (Putao PS)</t>
  </si>
  <si>
    <t>Ballayangon ES</t>
  </si>
  <si>
    <t>PINUKPUK</t>
  </si>
  <si>
    <t>Bonnong PS</t>
  </si>
  <si>
    <t>Liplipoken PS</t>
  </si>
  <si>
    <t>Sagsag PS</t>
  </si>
  <si>
    <t>Baclayam ES</t>
  </si>
  <si>
    <t>TANUDAN</t>
  </si>
  <si>
    <t>Cabugao ES</t>
  </si>
  <si>
    <t>Darulog ES</t>
  </si>
  <si>
    <t>Liyang ES</t>
  </si>
  <si>
    <t>Pangol ES</t>
  </si>
  <si>
    <t>Manubal ES</t>
  </si>
  <si>
    <t>TINGLAYAN</t>
  </si>
  <si>
    <t>Balay PS</t>
  </si>
  <si>
    <t>Payao PS</t>
  </si>
  <si>
    <t>Magtoma PS</t>
  </si>
  <si>
    <t>Baclas PS</t>
  </si>
  <si>
    <t>Coddog PS</t>
  </si>
  <si>
    <t>Aguimitan PS</t>
  </si>
  <si>
    <t>Mt. Province</t>
  </si>
  <si>
    <t>Mog-ao PS</t>
  </si>
  <si>
    <t>BARLIG</t>
  </si>
  <si>
    <t>Nabhar PS</t>
  </si>
  <si>
    <t>NATONIN</t>
  </si>
  <si>
    <t>Pangtor PS</t>
  </si>
  <si>
    <t>Addang ES</t>
  </si>
  <si>
    <t>PARACELIS</t>
  </si>
  <si>
    <t>Apalis PS</t>
  </si>
  <si>
    <t>Bagabag Elementary School</t>
  </si>
  <si>
    <t>additional electrification</t>
  </si>
  <si>
    <t>Camparadi Elementary School</t>
  </si>
  <si>
    <t>Catao Elementary School</t>
  </si>
  <si>
    <t>Gassilang PS</t>
  </si>
  <si>
    <t>Kalao PS</t>
  </si>
  <si>
    <t>Makilo Elementary School</t>
  </si>
  <si>
    <t>Marallag Primary School</t>
  </si>
  <si>
    <t>Natta'Longan PS</t>
  </si>
  <si>
    <t>Dacudac Elementary School</t>
  </si>
  <si>
    <t>TADIAN</t>
  </si>
  <si>
    <t>Vicente Pe ES</t>
  </si>
  <si>
    <t>Catubangan PS</t>
  </si>
  <si>
    <t>Damsite PS</t>
  </si>
  <si>
    <t>Dacudac NHS</t>
  </si>
  <si>
    <t>Lubon NHS - Mabalite Extension</t>
  </si>
  <si>
    <t>Agawa National High School</t>
  </si>
  <si>
    <t>BESAO</t>
  </si>
  <si>
    <t>Bacarri National Trade Agricultural High School-Bunot Extension</t>
  </si>
  <si>
    <t>Tabuk City</t>
  </si>
  <si>
    <t>Bayabat ES</t>
  </si>
  <si>
    <t>CITY OF TABUK (Capital)</t>
  </si>
  <si>
    <t>Magabbangon ES</t>
  </si>
  <si>
    <t>Mallong ES</t>
  </si>
  <si>
    <t>New Bangad ES</t>
  </si>
  <si>
    <t>Sotto PS</t>
  </si>
  <si>
    <t>Tannubong ES</t>
  </si>
  <si>
    <t>Addang PS</t>
  </si>
  <si>
    <t>Balatoc PS</t>
  </si>
  <si>
    <t>Banagan PS</t>
  </si>
  <si>
    <t>Bullaguian ES</t>
  </si>
  <si>
    <t>Guilayon ES</t>
  </si>
  <si>
    <t>Magnao ES</t>
  </si>
  <si>
    <t>Toppan ES</t>
  </si>
  <si>
    <t>Tangbay PS</t>
  </si>
  <si>
    <t>PA-O PS</t>
  </si>
  <si>
    <t>Mansanita PS (Tannubong ES Annex)</t>
  </si>
  <si>
    <t>Madapdappig PS</t>
  </si>
  <si>
    <t>Bulo West ES - Burobor Annex</t>
  </si>
  <si>
    <t>Burayukan PS</t>
  </si>
  <si>
    <t>Bulanao East Annex-Greenhills PS</t>
  </si>
  <si>
    <t>Bulo National High School</t>
  </si>
  <si>
    <t>Naneng National HS-Mosimos Extension</t>
  </si>
  <si>
    <t>CARAGA</t>
  </si>
  <si>
    <t>Agusan del Norte</t>
  </si>
  <si>
    <t>A.P. Quiamjot ES</t>
  </si>
  <si>
    <t>CARMEN</t>
  </si>
  <si>
    <t>Petogo PS</t>
  </si>
  <si>
    <t>JABONGA</t>
  </si>
  <si>
    <t>Zapanta Valley PS</t>
  </si>
  <si>
    <t>KITCHARAO</t>
  </si>
  <si>
    <t>New Cana-an PS</t>
  </si>
  <si>
    <t>LAS NIEVES</t>
  </si>
  <si>
    <t>1st District</t>
  </si>
  <si>
    <t>San Roque ES</t>
  </si>
  <si>
    <t>Labong ES</t>
  </si>
  <si>
    <t>BUENAVISTA</t>
  </si>
  <si>
    <t>Linao-Linao ES</t>
  </si>
  <si>
    <t>Cabayugan ES</t>
  </si>
  <si>
    <t>Bokbokon ES</t>
  </si>
  <si>
    <t>Datu Saldong Domino ES</t>
  </si>
  <si>
    <t>Mangumihay PS</t>
  </si>
  <si>
    <t>NASIPIT</t>
  </si>
  <si>
    <t>Poblacion Doz PS</t>
  </si>
  <si>
    <t>REMEDIOS T. ROMUALDEZ</t>
  </si>
  <si>
    <t>Lawan-Lawan NHS (Durian NHS Annex)</t>
  </si>
  <si>
    <t>Hinandayan NHS (Nasipit NHS Annex))</t>
  </si>
  <si>
    <t>Pupotsan NHS (Magallanes NHS Annex)</t>
  </si>
  <si>
    <t>MAGALLANES</t>
  </si>
  <si>
    <t>Agusan del Sur</t>
  </si>
  <si>
    <t>Agpan ES</t>
  </si>
  <si>
    <t>BUNAWAN</t>
  </si>
  <si>
    <t>Sta. Monica ES</t>
  </si>
  <si>
    <t>Upper Consuelo I ES</t>
  </si>
  <si>
    <t>Calabuan ES</t>
  </si>
  <si>
    <t>ESPERANZA</t>
  </si>
  <si>
    <t>Guibonon PS</t>
  </si>
  <si>
    <t>San Isidro ES</t>
  </si>
  <si>
    <t>Datu Andalique PS (Marang)</t>
  </si>
  <si>
    <t>LORETO</t>
  </si>
  <si>
    <t>Datu Subla ES</t>
  </si>
  <si>
    <t>Ilang-Ilang ES</t>
  </si>
  <si>
    <t>Jandayugong ES</t>
  </si>
  <si>
    <t>Linatawan PS</t>
  </si>
  <si>
    <t>Manawe ES</t>
  </si>
  <si>
    <t>Mansungad PS</t>
  </si>
  <si>
    <t>Natividad PS</t>
  </si>
  <si>
    <t>Angeles PS</t>
  </si>
  <si>
    <t>KM 41 PS</t>
  </si>
  <si>
    <t>Log Pond 3 PS</t>
  </si>
  <si>
    <t>Lope Cortes ES</t>
  </si>
  <si>
    <t>Pinamoyanan elementary School</t>
  </si>
  <si>
    <t>La Fortuna Eementary School</t>
  </si>
  <si>
    <t>PROSPERIDAD (Capital)</t>
  </si>
  <si>
    <t>Inagawan Learning Center</t>
  </si>
  <si>
    <t>Jose U. Cortes ES</t>
  </si>
  <si>
    <t>SAN FRANCISCO</t>
  </si>
  <si>
    <t>VGP Primary School</t>
  </si>
  <si>
    <t>Blocking Elementary School</t>
  </si>
  <si>
    <t>ROSARIO</t>
  </si>
  <si>
    <t>Apogan ES</t>
  </si>
  <si>
    <t>Manangahon ES</t>
  </si>
  <si>
    <t>Ormaca ES</t>
  </si>
  <si>
    <t>Banag-banag ES</t>
  </si>
  <si>
    <t>SIBAGAT</t>
  </si>
  <si>
    <t>Magkalape ES</t>
  </si>
  <si>
    <t>Anilao Primary School</t>
  </si>
  <si>
    <t>VERUELA</t>
  </si>
  <si>
    <t>Anitap ES</t>
  </si>
  <si>
    <t>Bacay ES</t>
  </si>
  <si>
    <t>Basilica PS</t>
  </si>
  <si>
    <t>Caigangan ES</t>
  </si>
  <si>
    <t>Datu Bandahan ES</t>
  </si>
  <si>
    <t>SAN LUIS</t>
  </si>
  <si>
    <t>Datu Sandigan ES</t>
  </si>
  <si>
    <t>Don Pedro PS</t>
  </si>
  <si>
    <t>Galong-galong PS</t>
  </si>
  <si>
    <t>New Davao ES</t>
  </si>
  <si>
    <t>TALACOGON</t>
  </si>
  <si>
    <t>San Marcos ES</t>
  </si>
  <si>
    <t>TRENTO</t>
  </si>
  <si>
    <t>New Israel ES</t>
  </si>
  <si>
    <t>Kahusayan ES</t>
  </si>
  <si>
    <t>P.F. Trillana PS</t>
  </si>
  <si>
    <t>Kaangayan PS</t>
  </si>
  <si>
    <t>SANTA JOSEFA</t>
  </si>
  <si>
    <t>Dona Crucita PS</t>
  </si>
  <si>
    <t>Mambagongon PS</t>
  </si>
  <si>
    <t>Balonbon Elementary School</t>
  </si>
  <si>
    <t>Singapore Elementary School</t>
  </si>
  <si>
    <t>Landing PS</t>
  </si>
  <si>
    <t>Dao PS</t>
  </si>
  <si>
    <t>Mole PS</t>
  </si>
  <si>
    <t>Tagyago PS</t>
  </si>
  <si>
    <t>Jose T. Cuyos, Sr. I PS</t>
  </si>
  <si>
    <t>Jose T. Cuyos, Sr.II ES (II)</t>
  </si>
  <si>
    <t>DATU MADAGNAS PS</t>
  </si>
  <si>
    <t>San Isidro PS</t>
  </si>
  <si>
    <t>San Roque PS</t>
  </si>
  <si>
    <t>Tumalog ES</t>
  </si>
  <si>
    <t>DOP MANGUICAO IP SCHOOL (IPA)</t>
  </si>
  <si>
    <t>DOP BINATUNAN IP SCHOOL (IPA)</t>
  </si>
  <si>
    <t>Waloe NHS</t>
  </si>
  <si>
    <t>Oro Nhs</t>
  </si>
  <si>
    <t>West Prosperidad Nhs</t>
  </si>
  <si>
    <t>Sta. Fe Nhs</t>
  </si>
  <si>
    <t>Veruela NHS Annex - Nueva Era HS</t>
  </si>
  <si>
    <t>Cebolin Hs Annex</t>
  </si>
  <si>
    <t>Bayugan City</t>
  </si>
  <si>
    <t>Mt. Bulawan PS</t>
  </si>
  <si>
    <t>CITY OF BAYUGAN</t>
  </si>
  <si>
    <t>Sto Nino ES</t>
  </si>
  <si>
    <t>New Katipunan ES</t>
  </si>
  <si>
    <t>Datu Hugmakan ES</t>
  </si>
  <si>
    <t>Grace Estate Elementary School</t>
  </si>
  <si>
    <t>Bislig City</t>
  </si>
  <si>
    <t>New Bongga PS</t>
  </si>
  <si>
    <t>CITY OF BISLIG</t>
  </si>
  <si>
    <t>New Jerusalem Primary School</t>
  </si>
  <si>
    <t>Butuan City</t>
  </si>
  <si>
    <t>Dugyaman PS</t>
  </si>
  <si>
    <t>BUTUAN CITY (Capital)</t>
  </si>
  <si>
    <t>Tagkiling Tribal ES</t>
  </si>
  <si>
    <t>Masago PS</t>
  </si>
  <si>
    <t>Mabuhay ES</t>
  </si>
  <si>
    <t>Tud-ol ES</t>
  </si>
  <si>
    <t>Mahay ISS</t>
  </si>
  <si>
    <t>La Soledad ISS</t>
  </si>
  <si>
    <t>Pareja ISS</t>
  </si>
  <si>
    <t>Tagkiling Tribal ISS</t>
  </si>
  <si>
    <t>Cabadbaran City</t>
  </si>
  <si>
    <t>Lusong ES</t>
  </si>
  <si>
    <t>CITY OF CABADBARAN</t>
  </si>
  <si>
    <t>Dagnasay ES</t>
  </si>
  <si>
    <t>CABADBARAN CITY</t>
  </si>
  <si>
    <t>Surigao City</t>
  </si>
  <si>
    <t>Lagundi ES</t>
  </si>
  <si>
    <t>SURIGAO CITY (Capital)</t>
  </si>
  <si>
    <t>Capalayan ES</t>
  </si>
  <si>
    <t>Alang-alang ES</t>
  </si>
  <si>
    <t>Alegria ES</t>
  </si>
  <si>
    <t>Bay-bay ES</t>
  </si>
  <si>
    <t>Bilabid PS</t>
  </si>
  <si>
    <t>Buenavista ES</t>
  </si>
  <si>
    <t>Catadman ES</t>
  </si>
  <si>
    <t>Tomas Florya Eder Memorial Elementary School</t>
  </si>
  <si>
    <t>Alegria NHS</t>
  </si>
  <si>
    <t>Lipata National High School - Annex</t>
  </si>
  <si>
    <t>Siargao</t>
  </si>
  <si>
    <t>Esperanza ES</t>
  </si>
  <si>
    <t>DEL CARMEN</t>
  </si>
  <si>
    <t>Dayaohay PS</t>
  </si>
  <si>
    <t>PILAR</t>
  </si>
  <si>
    <t>San Miguel PS</t>
  </si>
  <si>
    <t>Lanit-ag PS</t>
  </si>
  <si>
    <t>SOCORRO</t>
  </si>
  <si>
    <t>Surigao del Norte</t>
  </si>
  <si>
    <t>Ferlda Elementary School</t>
  </si>
  <si>
    <t>ALEGRIA</t>
  </si>
  <si>
    <t>Lo-oc PS</t>
  </si>
  <si>
    <t>BACUAG</t>
  </si>
  <si>
    <t>Meliton Morales PS</t>
  </si>
  <si>
    <t>MAINIT</t>
  </si>
  <si>
    <t>Surigao del Sur</t>
  </si>
  <si>
    <t>Mam-on ES</t>
  </si>
  <si>
    <t>CAGWAIT</t>
  </si>
  <si>
    <t>Batoto PS</t>
  </si>
  <si>
    <t>CANTILAN</t>
  </si>
  <si>
    <t>Tag-anungan ES</t>
  </si>
  <si>
    <t>CORTES</t>
  </si>
  <si>
    <t>Tuboran PS</t>
  </si>
  <si>
    <t>Almaria PS</t>
  </si>
  <si>
    <t>HINATUAN</t>
  </si>
  <si>
    <t>Balbuena ES</t>
  </si>
  <si>
    <t>Plateau PS</t>
  </si>
  <si>
    <t>Rocky PS</t>
  </si>
  <si>
    <t>Guitamondok ES</t>
  </si>
  <si>
    <t>LINGIG</t>
  </si>
  <si>
    <t>Hamindang PS</t>
  </si>
  <si>
    <t>Mahayahay PS</t>
  </si>
  <si>
    <t>Maubgob PS</t>
  </si>
  <si>
    <t>Mendezona PS</t>
  </si>
  <si>
    <t>Napanpanan PS</t>
  </si>
  <si>
    <t>Rajah Cabungsuan ES</t>
  </si>
  <si>
    <t>Lindoy ES</t>
  </si>
  <si>
    <t>TAGO</t>
  </si>
  <si>
    <t>Banahao ES</t>
  </si>
  <si>
    <t>CITY OF TANDAG (Capital)</t>
  </si>
  <si>
    <t>Hitaob PS</t>
  </si>
  <si>
    <t>Mahanon Elementary School</t>
  </si>
  <si>
    <t>Tambonon PS</t>
  </si>
  <si>
    <t>SAN MIGUEL</t>
  </si>
  <si>
    <t>Libas PS</t>
  </si>
  <si>
    <t>LANUZA</t>
  </si>
  <si>
    <t>Manhulayan PS</t>
  </si>
  <si>
    <t>Sta. Maria PS</t>
  </si>
  <si>
    <t>Himatagan PS</t>
  </si>
  <si>
    <t>Bingcongan IS</t>
  </si>
  <si>
    <t>Matho ISS</t>
  </si>
  <si>
    <t>Bangsud ISS</t>
  </si>
  <si>
    <t>Baculin ISS</t>
  </si>
  <si>
    <t>Malixi ISS</t>
  </si>
  <si>
    <t>TAGBINA</t>
  </si>
  <si>
    <t>Sta. Maria ISS</t>
  </si>
  <si>
    <t>Rizal National High School - Annex</t>
  </si>
  <si>
    <t>BAROBO</t>
  </si>
  <si>
    <t>Rajah Cabungsuan ISS</t>
  </si>
  <si>
    <t>Region I</t>
  </si>
  <si>
    <t>Candon City</t>
  </si>
  <si>
    <t>Candon South Central School SPED Center</t>
  </si>
  <si>
    <t>CITY OF CANDON</t>
  </si>
  <si>
    <t>Ilocos Norte</t>
  </si>
  <si>
    <t>Bucarot PS</t>
  </si>
  <si>
    <t>ADAMS</t>
  </si>
  <si>
    <t>Malaggao PS</t>
  </si>
  <si>
    <t>PAGUDPUD</t>
  </si>
  <si>
    <t>Ilocos Sur</t>
  </si>
  <si>
    <t>Aguiwas PS</t>
  </si>
  <si>
    <t>ALILEM</t>
  </si>
  <si>
    <t>Nagawa Elem. School</t>
  </si>
  <si>
    <t>SUGPON</t>
  </si>
  <si>
    <t>Naonao ES</t>
  </si>
  <si>
    <t>Bantay West Central School</t>
  </si>
  <si>
    <t>BANTAY</t>
  </si>
  <si>
    <t>Caset PS</t>
  </si>
  <si>
    <t>CABUGAO</t>
  </si>
  <si>
    <t>Bucnit PS</t>
  </si>
  <si>
    <t>QUIRINO (ANGKAKI)</t>
  </si>
  <si>
    <t>Saoil PS</t>
  </si>
  <si>
    <t>Turod ES</t>
  </si>
  <si>
    <t>NARVACAN</t>
  </si>
  <si>
    <t>Conconig PS</t>
  </si>
  <si>
    <t>SANTA LUCIA</t>
  </si>
  <si>
    <t>Balangsay PS</t>
  </si>
  <si>
    <t>SUYO</t>
  </si>
  <si>
    <t>San Miguel ES</t>
  </si>
  <si>
    <t>TAGUDIN</t>
  </si>
  <si>
    <t>Dagdag Primary School</t>
  </si>
  <si>
    <t>Caraisan PS</t>
  </si>
  <si>
    <t>MAGSINGAL</t>
  </si>
  <si>
    <t>La Union</t>
  </si>
  <si>
    <t>New Bern (Alaska) ES</t>
  </si>
  <si>
    <t>ARINGAY</t>
  </si>
  <si>
    <t>Bayabas PS</t>
  </si>
  <si>
    <t>SAN GABRIEL</t>
  </si>
  <si>
    <t>Bay-o ES</t>
  </si>
  <si>
    <t>SANTOL</t>
  </si>
  <si>
    <t>Lacong ES-Annex</t>
  </si>
  <si>
    <t>Bungro-Sucoc Integrated School</t>
  </si>
  <si>
    <t>Pangasinan I, Lingayen</t>
  </si>
  <si>
    <t>Aguilar CS</t>
  </si>
  <si>
    <t>AGUILAR</t>
  </si>
  <si>
    <t>Mapita ES</t>
  </si>
  <si>
    <t>Bogtong ES</t>
  </si>
  <si>
    <t>BANI</t>
  </si>
  <si>
    <t>Pita ES</t>
  </si>
  <si>
    <t>INFANTA</t>
  </si>
  <si>
    <t>Dalupang ES</t>
  </si>
  <si>
    <t>MABINI</t>
  </si>
  <si>
    <t>Batidape Comm.Sch.</t>
  </si>
  <si>
    <t>SUAL</t>
  </si>
  <si>
    <t>Pangasinan II, Binalonan</t>
  </si>
  <si>
    <t>South CS</t>
  </si>
  <si>
    <t>ALCALA</t>
  </si>
  <si>
    <t>5th District</t>
  </si>
  <si>
    <t>Cristobal Rodrigo ES</t>
  </si>
  <si>
    <t>SAN NICOLAS</t>
  </si>
  <si>
    <t>6th District</t>
  </si>
  <si>
    <t>Kulangew ES</t>
  </si>
  <si>
    <t>Pastoran ES</t>
  </si>
  <si>
    <t>Puyao ES</t>
  </si>
  <si>
    <t>Sapinit ES</t>
  </si>
  <si>
    <t>Calunetan ES</t>
  </si>
  <si>
    <t>SISON</t>
  </si>
  <si>
    <t>Casilan ES</t>
  </si>
  <si>
    <t>UMINGAN</t>
  </si>
  <si>
    <t>Bila ES</t>
  </si>
  <si>
    <t>Liwa Liwa Integrated School</t>
  </si>
  <si>
    <t>BOLINAO</t>
  </si>
  <si>
    <t>Catubig Integrated School</t>
  </si>
  <si>
    <t>Domalandan Center IS</t>
  </si>
  <si>
    <t>LINGAYEN (Capital)</t>
  </si>
  <si>
    <t>NOT.IN.BEIS</t>
  </si>
  <si>
    <t>Bangar ES</t>
  </si>
  <si>
    <t>San Nicolas</t>
  </si>
  <si>
    <t>REOPENED SCHOOL</t>
  </si>
  <si>
    <t>San Carlos City</t>
  </si>
  <si>
    <t>Don Vicente G. Ferrer Elementary School</t>
  </si>
  <si>
    <t>SAN CARLOS CITY</t>
  </si>
  <si>
    <t>3rd District</t>
  </si>
  <si>
    <t>Urdaneta City</t>
  </si>
  <si>
    <t>Trinidad Perez ES</t>
  </si>
  <si>
    <t>CITY OF URDANETA</t>
  </si>
  <si>
    <t>Region II</t>
  </si>
  <si>
    <t>Cagayan</t>
  </si>
  <si>
    <t>Bulala Sur ES</t>
  </si>
  <si>
    <t>APARRI</t>
  </si>
  <si>
    <t>Plaza PS</t>
  </si>
  <si>
    <t>Daligadig ES</t>
  </si>
  <si>
    <t>BAGGAO</t>
  </si>
  <si>
    <t>Mansarong ES</t>
  </si>
  <si>
    <t>San Antonio ES</t>
  </si>
  <si>
    <t>Tabugan ES</t>
  </si>
  <si>
    <t>Valley Cove IS</t>
  </si>
  <si>
    <t>Hot Spring ES</t>
  </si>
  <si>
    <t>San Luis ES</t>
  </si>
  <si>
    <t>Mala Este PS</t>
  </si>
  <si>
    <t>BUGUEY</t>
  </si>
  <si>
    <t>Paddaya Este ES</t>
  </si>
  <si>
    <t>Sta. Isabel PS Annex</t>
  </si>
  <si>
    <t>Calayan CS</t>
  </si>
  <si>
    <t>CALAYAN</t>
  </si>
  <si>
    <t>Caniwalan ES</t>
  </si>
  <si>
    <t>Dadao ES</t>
  </si>
  <si>
    <t>Magsidel ES</t>
  </si>
  <si>
    <t>Morol ES</t>
  </si>
  <si>
    <t>Kittag ES</t>
  </si>
  <si>
    <t>SANCHEZ-MIRA</t>
  </si>
  <si>
    <t>Santiago Elementary School</t>
  </si>
  <si>
    <t>San Isidro PS - Extension</t>
  </si>
  <si>
    <t>CALAPPAWAN ES</t>
  </si>
  <si>
    <t>BALLESTEROS</t>
  </si>
  <si>
    <t>Caranan-Babbay PS</t>
  </si>
  <si>
    <t>Pannao PS</t>
  </si>
  <si>
    <t>Cabatacan West ES</t>
  </si>
  <si>
    <t>LASAM</t>
  </si>
  <si>
    <t>Bibigsan PS</t>
  </si>
  <si>
    <t>Babayuan PS</t>
  </si>
  <si>
    <t>AMULUNG</t>
  </si>
  <si>
    <t>Pureg PS</t>
  </si>
  <si>
    <t>Alcala West Central School- Cataraoan Annex</t>
  </si>
  <si>
    <t>Laoc Primary School</t>
  </si>
  <si>
    <t>GONZAGA</t>
  </si>
  <si>
    <t>LAGUM PRIMARY SCHOOL</t>
  </si>
  <si>
    <t>SANTO NIÑO (FAIRE)</t>
  </si>
  <si>
    <t>Cagurungan Primary School</t>
  </si>
  <si>
    <t xml:space="preserve"> </t>
  </si>
  <si>
    <t>Baua HS- Cabiraoan Annex</t>
  </si>
  <si>
    <t>Isabela</t>
  </si>
  <si>
    <t>Bannawag PS</t>
  </si>
  <si>
    <t>ANGADANAN</t>
  </si>
  <si>
    <t>Liw-liwa PS</t>
  </si>
  <si>
    <t>Mangandingay PS</t>
  </si>
  <si>
    <t>Guilingan ES</t>
  </si>
  <si>
    <t>BENITO SOLIVEN</t>
  </si>
  <si>
    <t>Santiago ES</t>
  </si>
  <si>
    <t>Aga ES</t>
  </si>
  <si>
    <t>DELFIN ALBANO (MAGSAYSAY)</t>
  </si>
  <si>
    <t>City of Ilagan</t>
  </si>
  <si>
    <t>Alinguigan 2nd ES</t>
  </si>
  <si>
    <t>ILAGAN (Capital)</t>
  </si>
  <si>
    <t>JT Sebastian PS</t>
  </si>
  <si>
    <t>JONES</t>
  </si>
  <si>
    <t>4th District</t>
  </si>
  <si>
    <t>Dadap ES</t>
  </si>
  <si>
    <t>Disukad ES</t>
  </si>
  <si>
    <t>PALANAN</t>
  </si>
  <si>
    <t>Sapinit PS</t>
  </si>
  <si>
    <t>DIVILICAN</t>
  </si>
  <si>
    <t>Gen. Aguinaldo ES - Villa Verde PS Annex</t>
  </si>
  <si>
    <t>RAMON</t>
  </si>
  <si>
    <t>Lanting ES</t>
  </si>
  <si>
    <t>ROXAS</t>
  </si>
  <si>
    <t>Burgos East ES</t>
  </si>
  <si>
    <t>SAN GUILLERMO</t>
  </si>
  <si>
    <t>San Rafael Primary School</t>
  </si>
  <si>
    <t>Caunayan ES</t>
  </si>
  <si>
    <t>SAN MARIANO</t>
  </si>
  <si>
    <t>Malaya ES (Maldam ES)</t>
  </si>
  <si>
    <t>Villa Ancheta PS</t>
  </si>
  <si>
    <t>Panninan ES</t>
  </si>
  <si>
    <t>San Pedro PS</t>
  </si>
  <si>
    <t>Caddangan PS</t>
  </si>
  <si>
    <t>SAN PABLO</t>
  </si>
  <si>
    <t>Binogtungan PS</t>
  </si>
  <si>
    <t>San Pablo-Quimalabasa PS</t>
  </si>
  <si>
    <t>Centro West PS</t>
  </si>
  <si>
    <t>Dimalicu-licu PS</t>
  </si>
  <si>
    <t>Dilucot PS</t>
  </si>
  <si>
    <t>St. Paul Voc'l. &amp; Ind'l. HS-Main</t>
  </si>
  <si>
    <t>Jones Rural School - Dicamay Annex</t>
  </si>
  <si>
    <t>Nueva Vizcaya</t>
  </si>
  <si>
    <t>Ammococan ES</t>
  </si>
  <si>
    <t>BAYOMBONG (Capital)</t>
  </si>
  <si>
    <t>Kakilingan ES</t>
  </si>
  <si>
    <t>Villa Adriano PS</t>
  </si>
  <si>
    <t>Vista Hills ES</t>
  </si>
  <si>
    <t>Giayan ES</t>
  </si>
  <si>
    <t>DUPAX DEL NORTE</t>
  </si>
  <si>
    <t>Papalungan ES</t>
  </si>
  <si>
    <t>KASIBU</t>
  </si>
  <si>
    <t>Pudi PS</t>
  </si>
  <si>
    <t>Dayap PS</t>
  </si>
  <si>
    <t>KAYAPA</t>
  </si>
  <si>
    <t>Macdu ES</t>
  </si>
  <si>
    <t>Oliweg E/S</t>
  </si>
  <si>
    <t>Cauco ES</t>
  </si>
  <si>
    <t>SANTA FE</t>
  </si>
  <si>
    <t>Mandunot ES</t>
  </si>
  <si>
    <t>ALFONSO CASTAÑEDA</t>
  </si>
  <si>
    <t>Tidang Village PS</t>
  </si>
  <si>
    <t>Lihlit PS</t>
  </si>
  <si>
    <t>AMBAGUIO</t>
  </si>
  <si>
    <t>Alfonso Castaneda CS Annex</t>
  </si>
  <si>
    <t>Pogonsino Annex Primary School</t>
  </si>
  <si>
    <t>BAGABAG</t>
  </si>
  <si>
    <t>Pelaway ES Annex</t>
  </si>
  <si>
    <t>Quirino</t>
  </si>
  <si>
    <t>Diawe ES</t>
  </si>
  <si>
    <t>AGLIPAY</t>
  </si>
  <si>
    <t>Osmena PS Annex</t>
  </si>
  <si>
    <t>Pallutan PS</t>
  </si>
  <si>
    <t>DIFFUN</t>
  </si>
  <si>
    <t>Pamungyen PS</t>
  </si>
  <si>
    <t>Dicuraban ES</t>
  </si>
  <si>
    <t>NAGTIPUNAN</t>
  </si>
  <si>
    <t>Kimmabayo ES</t>
  </si>
  <si>
    <t>Macabo ES</t>
  </si>
  <si>
    <t>Tangliyao PS</t>
  </si>
  <si>
    <t>Tilitilan PS</t>
  </si>
  <si>
    <t>Pinahiw ES</t>
  </si>
  <si>
    <t>Didang PS</t>
  </si>
  <si>
    <t>Kakidugen PS</t>
  </si>
  <si>
    <t>Tamsi PS</t>
  </si>
  <si>
    <t>Diodol PS Annex</t>
  </si>
  <si>
    <t>Pukeg PS</t>
  </si>
  <si>
    <t>CABARROGUIS (Capital)</t>
  </si>
  <si>
    <t>Agta Community PS</t>
  </si>
  <si>
    <t>MADDELA</t>
  </si>
  <si>
    <t>Santiago City</t>
  </si>
  <si>
    <t>Divisoria High School - Naggasican Extension</t>
  </si>
  <si>
    <t>CITY OF SANTIAGO</t>
  </si>
  <si>
    <t>Region III</t>
  </si>
  <si>
    <t>Aurora</t>
  </si>
  <si>
    <t>Agues ES</t>
  </si>
  <si>
    <t>CASIGURAN</t>
  </si>
  <si>
    <t>Dumaguipo ES</t>
  </si>
  <si>
    <t>San Ildefonso ES</t>
  </si>
  <si>
    <t>Dicabasan ES</t>
  </si>
  <si>
    <t>DILASAG</t>
  </si>
  <si>
    <t>Kasaysayan ES</t>
  </si>
  <si>
    <t>Lawang ES</t>
  </si>
  <si>
    <t>Pedro Orata ES</t>
  </si>
  <si>
    <t>Ditawini ES</t>
  </si>
  <si>
    <t>DINALUNGAN</t>
  </si>
  <si>
    <t>Dugyan PS</t>
  </si>
  <si>
    <t>DINGALAN</t>
  </si>
  <si>
    <t>C. J. Torre ES</t>
  </si>
  <si>
    <t>Paraiso ES</t>
  </si>
  <si>
    <t>Villa Aurora NHS</t>
  </si>
  <si>
    <t>MARIA AURORA</t>
  </si>
  <si>
    <t>Nueva Ecija</t>
  </si>
  <si>
    <t>Cabatuan PS</t>
  </si>
  <si>
    <t>CUYAPO</t>
  </si>
  <si>
    <t>Mabalacat City</t>
  </si>
  <si>
    <t>Mamatitang PS</t>
  </si>
  <si>
    <t>MABALACAT</t>
  </si>
  <si>
    <t>Santos Ventura PS</t>
  </si>
  <si>
    <t>Santos Ventura NHS</t>
  </si>
  <si>
    <t>Tarlac</t>
  </si>
  <si>
    <t>MONCADA</t>
  </si>
  <si>
    <t>Dueg Resettlement ES</t>
  </si>
  <si>
    <t>SAN CLEMENTE</t>
  </si>
  <si>
    <t>Agus ES</t>
  </si>
  <si>
    <t>SAN JOSE</t>
  </si>
  <si>
    <t>E.V.A. Abelling PS</t>
  </si>
  <si>
    <t>Tala ES</t>
  </si>
  <si>
    <t>Tangan-Tangan ES</t>
  </si>
  <si>
    <t>Dueg High School</t>
  </si>
  <si>
    <t>Josephine M. Cojuangco NTVHS</t>
  </si>
  <si>
    <t>MAYANTOC</t>
  </si>
  <si>
    <t>Zambales</t>
  </si>
  <si>
    <t>Magalawa ES</t>
  </si>
  <si>
    <t>PALAUIG</t>
  </si>
  <si>
    <t>Cabatuan ES</t>
  </si>
  <si>
    <t>BOTOLAN</t>
  </si>
  <si>
    <t>Nacolcol ES</t>
  </si>
  <si>
    <t>Villar ES</t>
  </si>
  <si>
    <t>Maguisguis ES</t>
  </si>
  <si>
    <t>Burgos ES</t>
  </si>
  <si>
    <t>Region IV-A</t>
  </si>
  <si>
    <t>Batangas</t>
  </si>
  <si>
    <t>Bago PS</t>
  </si>
  <si>
    <t>TINGLOY</t>
  </si>
  <si>
    <t>Catandaan Yabut NHS</t>
  </si>
  <si>
    <t>NASUGBU</t>
  </si>
  <si>
    <t>Apolinario Mabini NHS</t>
  </si>
  <si>
    <t>Laguna</t>
  </si>
  <si>
    <t>Saray ES</t>
  </si>
  <si>
    <t>PAKIL</t>
  </si>
  <si>
    <t>Tubog ES</t>
  </si>
  <si>
    <t>PAETE</t>
  </si>
  <si>
    <t>New Little Baguio ES</t>
  </si>
  <si>
    <t>SANTA MARIA</t>
  </si>
  <si>
    <t>Sitio Pulot/Bay ES</t>
  </si>
  <si>
    <t>KALAYAAN</t>
  </si>
  <si>
    <t>Gaudencio Octavio National High School</t>
  </si>
  <si>
    <t>Poten &amp; Eliseo M. Quesada MNHS - Papatahan Annex</t>
  </si>
  <si>
    <t>Quezon</t>
  </si>
  <si>
    <t>San Isidro Ilaya ES</t>
  </si>
  <si>
    <t>Aluyon ES</t>
  </si>
  <si>
    <t>BURDEOS</t>
  </si>
  <si>
    <t>Amot PS (Central Annex)</t>
  </si>
  <si>
    <t>Tulan ES</t>
  </si>
  <si>
    <t>Mambaling ES</t>
  </si>
  <si>
    <t>CALAUAG</t>
  </si>
  <si>
    <t>Anusan ES</t>
  </si>
  <si>
    <t>CATANAUAN</t>
  </si>
  <si>
    <t>Bolo ES</t>
  </si>
  <si>
    <t>Kiborosa ES</t>
  </si>
  <si>
    <t>Miyunod ES</t>
  </si>
  <si>
    <t>Cawayanin ES</t>
  </si>
  <si>
    <t>LOPEZ</t>
  </si>
  <si>
    <t>Sta. Catalina ES</t>
  </si>
  <si>
    <t>VIllaminda Elementary School</t>
  </si>
  <si>
    <t>Pinaninding ES</t>
  </si>
  <si>
    <t>PADRE BURGOS</t>
  </si>
  <si>
    <t>Casuguran ES</t>
  </si>
  <si>
    <t>JOMALIG</t>
  </si>
  <si>
    <t>Guinaygayan ES</t>
  </si>
  <si>
    <t>PATNANUNGAN</t>
  </si>
  <si>
    <t>Tapol ES</t>
  </si>
  <si>
    <t>Milawid ES</t>
  </si>
  <si>
    <t>PANUKULAN</t>
  </si>
  <si>
    <t>Little Baguio ES</t>
  </si>
  <si>
    <t>REAL</t>
  </si>
  <si>
    <t>Maunlad ES</t>
  </si>
  <si>
    <t>Inanuran ES</t>
  </si>
  <si>
    <t>SAN ANDRES</t>
  </si>
  <si>
    <t>Segaras ES</t>
  </si>
  <si>
    <t>Tamnao ES</t>
  </si>
  <si>
    <t>Yugno ES</t>
  </si>
  <si>
    <t>Cawayan II ES</t>
  </si>
  <si>
    <t>SAN FRANCISCO (AURORA)</t>
  </si>
  <si>
    <t>Cumbahan ES</t>
  </si>
  <si>
    <t>Madagoldol ES</t>
  </si>
  <si>
    <t>Pantay ES</t>
  </si>
  <si>
    <t>Pugo PS</t>
  </si>
  <si>
    <t>Bangkuro ES</t>
  </si>
  <si>
    <t>SAN NARCISO</t>
  </si>
  <si>
    <t>Maguiting ES (Manlampong ES)</t>
  </si>
  <si>
    <t>Nangka ES</t>
  </si>
  <si>
    <t>Pinagsama ES</t>
  </si>
  <si>
    <t>Sabang ES</t>
  </si>
  <si>
    <t>TAGKAWAYAN</t>
  </si>
  <si>
    <t>Sto. Niño ES</t>
  </si>
  <si>
    <t>Sabang Primary School</t>
  </si>
  <si>
    <t>Ilayang Ilog-A NHS (Formerly San Francisco B NHS Ilayang Ilog A Ext.)</t>
  </si>
  <si>
    <t>Dao National High School (Formerly San Francisco B NHS - San Miguel Dao II Ext.)</t>
  </si>
  <si>
    <t>Cogorin Ibaba NHS - Jongo Ext.</t>
  </si>
  <si>
    <t>Huyon-Uyon NHS</t>
  </si>
  <si>
    <t>Magallanes NHS-Sta. Catalina Extension</t>
  </si>
  <si>
    <t>Region IV-B</t>
  </si>
  <si>
    <t>Marinduque</t>
  </si>
  <si>
    <t>Mampaitan PS</t>
  </si>
  <si>
    <t>MOGPOG</t>
  </si>
  <si>
    <t>Maniwaya ES</t>
  </si>
  <si>
    <t>SANTA CRUZ</t>
  </si>
  <si>
    <t>Mongpong ES</t>
  </si>
  <si>
    <t>Polo ES</t>
  </si>
  <si>
    <t>Bangwayin ES</t>
  </si>
  <si>
    <t>TORRIJOS</t>
  </si>
  <si>
    <t>Banukbok PS</t>
  </si>
  <si>
    <t>Sinambahan PS</t>
  </si>
  <si>
    <t>Malayak PS</t>
  </si>
  <si>
    <t>Occidental Mindoro</t>
  </si>
  <si>
    <t>Bagolayag Min. ES</t>
  </si>
  <si>
    <t>ABRA DE ILOG</t>
  </si>
  <si>
    <t>Biga MS</t>
  </si>
  <si>
    <t>Cabacao ES Annex (Balantoy PS)</t>
  </si>
  <si>
    <t>Hebron Min. Sch.</t>
  </si>
  <si>
    <t>Kadilawan Min. Sch.</t>
  </si>
  <si>
    <t>Kulanguan PS</t>
  </si>
  <si>
    <t>Matabang-Urilan Min. Sch.</t>
  </si>
  <si>
    <t>Rayusan Min. Sch.</t>
  </si>
  <si>
    <t>Alfonso Valerio ES</t>
  </si>
  <si>
    <t>CALINTAAN</t>
  </si>
  <si>
    <t>Alipondo</t>
  </si>
  <si>
    <t>Balangabong Min. Sch.</t>
  </si>
  <si>
    <t>Don Vicente Ariola Memorial School</t>
  </si>
  <si>
    <t>Layaban Min. Sch.</t>
  </si>
  <si>
    <t>Buli ES</t>
  </si>
  <si>
    <t>LUBANG</t>
  </si>
  <si>
    <t>Cabra ES</t>
  </si>
  <si>
    <t>Kay Sameon ES</t>
  </si>
  <si>
    <t>Bambanay ES</t>
  </si>
  <si>
    <t>MAGSAYSAY</t>
  </si>
  <si>
    <t>Canabang ES</t>
  </si>
  <si>
    <t>Emok PS</t>
  </si>
  <si>
    <t>Hinango ES</t>
  </si>
  <si>
    <t>Magarang ES</t>
  </si>
  <si>
    <t>Sibalat ES - Silad ES Annex</t>
  </si>
  <si>
    <t>Balansay ES - Lanas Min. ES</t>
  </si>
  <si>
    <t>MAMBURAO (Capital)</t>
  </si>
  <si>
    <t>Balansay ES - Tambunakan PS</t>
  </si>
  <si>
    <t>Kabanabahan Min. Sch.</t>
  </si>
  <si>
    <t>Calomintao Settlement &amp; Farm Sch.</t>
  </si>
  <si>
    <t>Karyandangan Min. School</t>
  </si>
  <si>
    <t>Pola Min. Sch.</t>
  </si>
  <si>
    <t>Sahing Min. Sch.</t>
  </si>
  <si>
    <t>Sulong-Ipil Min. Sch.</t>
  </si>
  <si>
    <t>Talapa Min. Sch.</t>
  </si>
  <si>
    <t>Tuguilan Min. Sch.</t>
  </si>
  <si>
    <t>Tilago Min. Sch.</t>
  </si>
  <si>
    <t>Ulanguan Min. Sch.</t>
  </si>
  <si>
    <t>Libagon Min. Sch.</t>
  </si>
  <si>
    <t>SABLAYAN</t>
  </si>
  <si>
    <t>Aplaya PS</t>
  </si>
  <si>
    <t>Balani Min. Sch.</t>
  </si>
  <si>
    <t>Culasisi Min. Sch.</t>
  </si>
  <si>
    <t>Lagutay Min. Sch.</t>
  </si>
  <si>
    <t>Salvacion ES</t>
  </si>
  <si>
    <t>Yapang ES</t>
  </si>
  <si>
    <t>Lagnas Min. Sch.</t>
  </si>
  <si>
    <t>Bunlao ES</t>
  </si>
  <si>
    <t>Buri ES</t>
  </si>
  <si>
    <t>Alitaytayan ES</t>
  </si>
  <si>
    <t>Kalinisan Min. Sch.</t>
  </si>
  <si>
    <t>Narra ES</t>
  </si>
  <si>
    <t>Quintal IMS</t>
  </si>
  <si>
    <t>Yawi-Yawi II PS</t>
  </si>
  <si>
    <t>Bagong Silang ES Annex-Cansaliw</t>
  </si>
  <si>
    <t>Sanog-lakol Min. Sch.</t>
  </si>
  <si>
    <t>Salafay Min. Sch.</t>
  </si>
  <si>
    <t>Banilad PS</t>
  </si>
  <si>
    <t>Puricon Min. Sch.</t>
  </si>
  <si>
    <t>Tilik ES Ext. - Balatan PS</t>
  </si>
  <si>
    <t>Mapaya I ES Annex-Himamara IPS</t>
  </si>
  <si>
    <t>Tamisan Minority School</t>
  </si>
  <si>
    <t>Bato Singit MS</t>
  </si>
  <si>
    <t>RIZAL</t>
  </si>
  <si>
    <t>Qui-anay Minority School</t>
  </si>
  <si>
    <t>Mangarin ES Annex I</t>
  </si>
  <si>
    <t>Abra de Ilog NHS - Biga Extension</t>
  </si>
  <si>
    <t>Oriental Mindoro</t>
  </si>
  <si>
    <t>Dyangdang ES</t>
  </si>
  <si>
    <t>BANSUD</t>
  </si>
  <si>
    <t>Dangkalan ES</t>
  </si>
  <si>
    <t>BULALACAO (SAN PEDRO)</t>
  </si>
  <si>
    <t>Maasin ES</t>
  </si>
  <si>
    <t>Maujao PS</t>
  </si>
  <si>
    <t>Pawikan ES</t>
  </si>
  <si>
    <t>Pakpak Lawin PS</t>
  </si>
  <si>
    <t>GLORIA</t>
  </si>
  <si>
    <t>Felipe C. Anastacio Elementary School</t>
  </si>
  <si>
    <t>MANSALAY</t>
  </si>
  <si>
    <t>Quinomay Elementary School</t>
  </si>
  <si>
    <t>Macangas ES</t>
  </si>
  <si>
    <t>NAUJAN</t>
  </si>
  <si>
    <t>Pambisan Munti ES</t>
  </si>
  <si>
    <t>PINAMALAYAN</t>
  </si>
  <si>
    <t>Bakyaan ES</t>
  </si>
  <si>
    <t>POLA</t>
  </si>
  <si>
    <t>Ambang Mangyan School</t>
  </si>
  <si>
    <t>PUERTO GALERA</t>
  </si>
  <si>
    <t>Malago ES</t>
  </si>
  <si>
    <t>Tauga Diit Elementary School</t>
  </si>
  <si>
    <t>Murangan PS</t>
  </si>
  <si>
    <t>VICTORIA</t>
  </si>
  <si>
    <t>Pamuwisan Min. Sch.</t>
  </si>
  <si>
    <t>Tadyawan Minority School</t>
  </si>
  <si>
    <t>Suyong Mangyan School</t>
  </si>
  <si>
    <t>SAN TEODORO</t>
  </si>
  <si>
    <t>Adong Mangyan School</t>
  </si>
  <si>
    <t>Bucayao Grande Mangyan Sch. - Annex</t>
  </si>
  <si>
    <t>Labo ES</t>
  </si>
  <si>
    <t>Lapantay Mangyan School (Villaflor Ext)</t>
  </si>
  <si>
    <t>Sipit Saburan Mangyan School</t>
  </si>
  <si>
    <t>Sido Mangyan School</t>
  </si>
  <si>
    <t>Kisloyan Mangyan School</t>
  </si>
  <si>
    <t>Abintang ES</t>
  </si>
  <si>
    <t>Bating ES</t>
  </si>
  <si>
    <t>Marcelo I. Cabrera Vocational High School</t>
  </si>
  <si>
    <t>Bulalacao NHS - Maasin Ext.</t>
  </si>
  <si>
    <t>Palawan</t>
  </si>
  <si>
    <t>Apis ES</t>
  </si>
  <si>
    <t>ABORLAN</t>
  </si>
  <si>
    <t>Barake ES</t>
  </si>
  <si>
    <t>Daan ES</t>
  </si>
  <si>
    <t>Cornelio Gonzaga ES (Dilat ES)</t>
  </si>
  <si>
    <t>Gogognan ES</t>
  </si>
  <si>
    <t>Sombrero ES</t>
  </si>
  <si>
    <t>Valderama ES</t>
  </si>
  <si>
    <t>Villa Fria Elementary School</t>
  </si>
  <si>
    <t>AGUTAYA</t>
  </si>
  <si>
    <t>Villa Sol ES</t>
  </si>
  <si>
    <t>Aguinaldo ES</t>
  </si>
  <si>
    <t>DUMARAN</t>
  </si>
  <si>
    <t>Bolocot ES</t>
  </si>
  <si>
    <t>ARACELI</t>
  </si>
  <si>
    <t>Dalayawan ES</t>
  </si>
  <si>
    <t>Lumacad ES</t>
  </si>
  <si>
    <t>Malonlon ES</t>
  </si>
  <si>
    <t>San Jose De Oro ES</t>
  </si>
  <si>
    <t>Sta. Maria ES</t>
  </si>
  <si>
    <t>Taloto ES</t>
  </si>
  <si>
    <t>Tanatanaen ES</t>
  </si>
  <si>
    <t>Agutayan ES</t>
  </si>
  <si>
    <t>BALABAC</t>
  </si>
  <si>
    <t>Banglos ES</t>
  </si>
  <si>
    <t>Caguisan ES</t>
  </si>
  <si>
    <t>Calogcog ES</t>
  </si>
  <si>
    <t>Dumaga ES</t>
  </si>
  <si>
    <t>Indalawan ES</t>
  </si>
  <si>
    <t>Lagdong ES</t>
  </si>
  <si>
    <t>Lindagong ES</t>
  </si>
  <si>
    <t>Look Dahu PS</t>
  </si>
  <si>
    <t>Madarcos PS</t>
  </si>
  <si>
    <t>Malinsuno Elementary School</t>
  </si>
  <si>
    <t>Matangule ES</t>
  </si>
  <si>
    <t>Marabon ES</t>
  </si>
  <si>
    <t>Melville ES</t>
  </si>
  <si>
    <t>Paliisan ES</t>
  </si>
  <si>
    <t>Panaan ES</t>
  </si>
  <si>
    <t>Pasig ES</t>
  </si>
  <si>
    <t>Segumay ES</t>
  </si>
  <si>
    <t>Sibaring ES</t>
  </si>
  <si>
    <t>Timbayan ES</t>
  </si>
  <si>
    <t>Turong ES</t>
  </si>
  <si>
    <t>Barangkas ES</t>
  </si>
  <si>
    <t>BATARAZA</t>
  </si>
  <si>
    <t>Dudungguan ES</t>
  </si>
  <si>
    <t>Gotok ES</t>
  </si>
  <si>
    <t>Katipunan ES</t>
  </si>
  <si>
    <t>Narra-Narra ES</t>
  </si>
  <si>
    <t>Pinuwasan ES</t>
  </si>
  <si>
    <t>Sandoval ES</t>
  </si>
  <si>
    <t>Saray E/S</t>
  </si>
  <si>
    <t>Sarong ES</t>
  </si>
  <si>
    <t>Sayab II PS</t>
  </si>
  <si>
    <t>Sitio Culandanum ES</t>
  </si>
  <si>
    <t>Tabud ES</t>
  </si>
  <si>
    <t>Tagolango ES</t>
  </si>
  <si>
    <t>Bayog ES</t>
  </si>
  <si>
    <t>BROOKE'S POINT</t>
  </si>
  <si>
    <t>Calasaguen Shore ES</t>
  </si>
  <si>
    <t>Mate ES</t>
  </si>
  <si>
    <t>New Panay ES</t>
  </si>
  <si>
    <t>Rizal ES</t>
  </si>
  <si>
    <t>Saraza ES</t>
  </si>
  <si>
    <t>El Salvador ES</t>
  </si>
  <si>
    <t>SOFRONIO ESPAÑOLA</t>
  </si>
  <si>
    <t>Ipaputo PS</t>
  </si>
  <si>
    <t>Luntab PS</t>
  </si>
  <si>
    <t>Malanap Interior PS</t>
  </si>
  <si>
    <t>Naltep PS</t>
  </si>
  <si>
    <t>Olympic PS</t>
  </si>
  <si>
    <t>Pinaupawan PS</t>
  </si>
  <si>
    <t>Pulot Interior ES</t>
  </si>
  <si>
    <t>Suked ES</t>
  </si>
  <si>
    <t>Abud-Abod ES</t>
  </si>
  <si>
    <t>CULION</t>
  </si>
  <si>
    <t>Cabulihan ES</t>
  </si>
  <si>
    <t>Canimango ES</t>
  </si>
  <si>
    <t>Chindonan PS</t>
  </si>
  <si>
    <t>Halsey ES</t>
  </si>
  <si>
    <t>Malaking Patag ES</t>
  </si>
  <si>
    <t>Calusa ES</t>
  </si>
  <si>
    <t>CAGAYANCILLO</t>
  </si>
  <si>
    <t>Cawili Elementary School</t>
  </si>
  <si>
    <t>Magsaysay ES</t>
  </si>
  <si>
    <t>Nusa ES</t>
  </si>
  <si>
    <t>Talaga ES</t>
  </si>
  <si>
    <t>Banuang Daan ES</t>
  </si>
  <si>
    <t>CORON</t>
  </si>
  <si>
    <t>Buluang ES</t>
  </si>
  <si>
    <t>EL NIDO (BACUIT)</t>
  </si>
  <si>
    <t>Lamoro ES</t>
  </si>
  <si>
    <t>Sibaltan ES</t>
  </si>
  <si>
    <t>Villa Libertad ES</t>
  </si>
  <si>
    <t>Aramaywan II ES</t>
  </si>
  <si>
    <t>NARRA</t>
  </si>
  <si>
    <t>Cacarigan ES</t>
  </si>
  <si>
    <t>Bagong Pag-asa ES</t>
  </si>
  <si>
    <t>QUEZON</t>
  </si>
  <si>
    <t>Balite ES</t>
  </si>
  <si>
    <t>RIZAL (MARCOS)</t>
  </si>
  <si>
    <t>Bintat Karis PS</t>
  </si>
  <si>
    <t>Calumpang ES</t>
  </si>
  <si>
    <t>Culasian ES (New)</t>
  </si>
  <si>
    <t>Culasian ES (Old)</t>
  </si>
  <si>
    <t>Cabcungan ES (FLRF Vill.)</t>
  </si>
  <si>
    <t>Magara ES</t>
  </si>
  <si>
    <t>Malapandeg ES</t>
  </si>
  <si>
    <t>Marirong ES</t>
  </si>
  <si>
    <t>Nabugsuan ES</t>
  </si>
  <si>
    <t>Pinaglabanan ES</t>
  </si>
  <si>
    <t>Ransang North ES</t>
  </si>
  <si>
    <t>Salongsong School</t>
  </si>
  <si>
    <t>Sumurum PS</t>
  </si>
  <si>
    <t>Tagpas PS</t>
  </si>
  <si>
    <t>Maragoc ES</t>
  </si>
  <si>
    <t>Rodriguez ES</t>
  </si>
  <si>
    <t>Salvador ES</t>
  </si>
  <si>
    <t>Barongbong Elem. School</t>
  </si>
  <si>
    <t>SAN VICENTE</t>
  </si>
  <si>
    <t>Baybay Daraga ES</t>
  </si>
  <si>
    <t>Buayan ES</t>
  </si>
  <si>
    <t>Bunuangin ES</t>
  </si>
  <si>
    <t>Cauban ES</t>
  </si>
  <si>
    <t>Pamuayan ES</t>
  </si>
  <si>
    <t>Canduyog PS</t>
  </si>
  <si>
    <t>TAYTAY</t>
  </si>
  <si>
    <t>Comalibongbong ES</t>
  </si>
  <si>
    <t>Kawakayan ES</t>
  </si>
  <si>
    <t>Maubog ES</t>
  </si>
  <si>
    <t>Paglaum ES</t>
  </si>
  <si>
    <t>Segpit PS</t>
  </si>
  <si>
    <t>Barakbarakan ES</t>
  </si>
  <si>
    <t>Danat ES</t>
  </si>
  <si>
    <t>San Felipe ES</t>
  </si>
  <si>
    <t>Colandanum es</t>
  </si>
  <si>
    <t>Dignuzon PS</t>
  </si>
  <si>
    <t>Bayang PS</t>
  </si>
  <si>
    <t>Tabud PS</t>
  </si>
  <si>
    <t>Ramon Gacayan Elementary School</t>
  </si>
  <si>
    <t>Latud ES</t>
  </si>
  <si>
    <t>Manggahan ES</t>
  </si>
  <si>
    <t>Caguisan annex</t>
  </si>
  <si>
    <t>Calawit PS</t>
  </si>
  <si>
    <t>BUSUANGA</t>
  </si>
  <si>
    <t>Pinagpala ES</t>
  </si>
  <si>
    <t>Binalabag ES</t>
  </si>
  <si>
    <t>LINAPACAN</t>
  </si>
  <si>
    <t>San Nicolas (Sitio Benekan)</t>
  </si>
  <si>
    <t>Tulapos PS</t>
  </si>
  <si>
    <t>Canipaan ES extension</t>
  </si>
  <si>
    <t>Ransang South ES</t>
  </si>
  <si>
    <t>Diandanao PS</t>
  </si>
  <si>
    <t>Tula Tula PS</t>
  </si>
  <si>
    <t>MATYAG ELEMENTARY SCHOOL</t>
  </si>
  <si>
    <t>Sitio Morzon PS</t>
  </si>
  <si>
    <t>Tina PS</t>
  </si>
  <si>
    <t>Pangatban PS</t>
  </si>
  <si>
    <t>Maribong PS</t>
  </si>
  <si>
    <t>Kambangtule PS</t>
  </si>
  <si>
    <t>Rancho II PS</t>
  </si>
  <si>
    <t>Sincab ES</t>
  </si>
  <si>
    <t>Cumahos ES</t>
  </si>
  <si>
    <t>Malangsee Hilside ES</t>
  </si>
  <si>
    <t>Tagusao NHS</t>
  </si>
  <si>
    <t>Bugsuk NHS - Bancalaan Annex</t>
  </si>
  <si>
    <t>Ransang NHS</t>
  </si>
  <si>
    <t>Tarusan NHS</t>
  </si>
  <si>
    <t>Sibaring NHS</t>
  </si>
  <si>
    <t>Puerto Princesa City</t>
  </si>
  <si>
    <t>Bagong Bayan ES</t>
  </si>
  <si>
    <t>PUERTO PRINCESA CITY (Capital)</t>
  </si>
  <si>
    <t>Bualbualan ES</t>
  </si>
  <si>
    <t>Iwahig ES</t>
  </si>
  <si>
    <t>Napsan ES</t>
  </si>
  <si>
    <t>Simpokan ES</t>
  </si>
  <si>
    <t>Baruang ES</t>
  </si>
  <si>
    <t>Kayasan ES</t>
  </si>
  <si>
    <t>Langogan ES</t>
  </si>
  <si>
    <t>Makandring ES</t>
  </si>
  <si>
    <t>Nasuduan ES</t>
  </si>
  <si>
    <t>Tagabenit ES</t>
  </si>
  <si>
    <t>Talaudyong PS</t>
  </si>
  <si>
    <t>Tagbarungis ES</t>
  </si>
  <si>
    <t>Mabuhay PS</t>
  </si>
  <si>
    <t>Region IX</t>
  </si>
  <si>
    <t>Zamboanga City</t>
  </si>
  <si>
    <t>Zambame ES</t>
  </si>
  <si>
    <t>ZAMBOANGA CITY</t>
  </si>
  <si>
    <t>Sapa Dulian ES</t>
  </si>
  <si>
    <t>Simanta ES</t>
  </si>
  <si>
    <t>Mt. View ES</t>
  </si>
  <si>
    <t>Busay ES</t>
  </si>
  <si>
    <t>Eligna ES</t>
  </si>
  <si>
    <t>Landang Laum ES</t>
  </si>
  <si>
    <t>Pasilmanta ES</t>
  </si>
  <si>
    <t>Mariki ES</t>
  </si>
  <si>
    <t>Sta. Barbara CS</t>
  </si>
  <si>
    <t>Salum ES</t>
  </si>
  <si>
    <t>Mulawin ES</t>
  </si>
  <si>
    <t>Taguiti ES</t>
  </si>
  <si>
    <t>Sibuktok PS (Annex)</t>
  </si>
  <si>
    <t>Matiti ES</t>
  </si>
  <si>
    <t>Latap ES-Lacumba Annex</t>
  </si>
  <si>
    <t>Zamboanga del Norte</t>
  </si>
  <si>
    <t>Nonoyan ES</t>
  </si>
  <si>
    <t>BALIGUIAN</t>
  </si>
  <si>
    <t>Datagan ES</t>
  </si>
  <si>
    <t>GUTALAC</t>
  </si>
  <si>
    <t>Tipan ES</t>
  </si>
  <si>
    <t>Bitoon ES</t>
  </si>
  <si>
    <t>JOSE DALMAN (PONOT)</t>
  </si>
  <si>
    <t>Lumaping ES</t>
  </si>
  <si>
    <t>Palalihan ES</t>
  </si>
  <si>
    <t>KALAWIT</t>
  </si>
  <si>
    <t>Danao PS</t>
  </si>
  <si>
    <t>KATIPUNAN</t>
  </si>
  <si>
    <t>Kitonok PS</t>
  </si>
  <si>
    <t>Macayas ES</t>
  </si>
  <si>
    <t>Cilago ES</t>
  </si>
  <si>
    <t>BACUNGAN (LEON T. POSTIGO)</t>
  </si>
  <si>
    <t>Mateo Denoyo ES</t>
  </si>
  <si>
    <t>PRES. MANUEL A. ROXAS</t>
  </si>
  <si>
    <t>Sibatog ES</t>
  </si>
  <si>
    <t>Sibod ES</t>
  </si>
  <si>
    <t>Serongan ES</t>
  </si>
  <si>
    <t>MANUKAN</t>
  </si>
  <si>
    <t>Bagong Silang PS</t>
  </si>
  <si>
    <t>PIÑAN (NEW PIÑAN)</t>
  </si>
  <si>
    <t>Don Eleno Razo ES</t>
  </si>
  <si>
    <t>SERGIO OSMEÑA SR.</t>
  </si>
  <si>
    <t>Situbo ES</t>
  </si>
  <si>
    <t>Macalibre ES</t>
  </si>
  <si>
    <t>Nazareth ES</t>
  </si>
  <si>
    <t>Balok ES</t>
  </si>
  <si>
    <t>SIAYAN</t>
  </si>
  <si>
    <t>Dumuyog ES</t>
  </si>
  <si>
    <t>Guibo ES</t>
  </si>
  <si>
    <t>Suminogod ES</t>
  </si>
  <si>
    <t>Dumintag ES</t>
  </si>
  <si>
    <t>SIBUCO</t>
  </si>
  <si>
    <t>Guimba Parang ES</t>
  </si>
  <si>
    <t>Lakiki ES</t>
  </si>
  <si>
    <t>Lubay ES</t>
  </si>
  <si>
    <t>Puliran ES</t>
  </si>
  <si>
    <t>Dagum ES</t>
  </si>
  <si>
    <t>SINDANGAN</t>
  </si>
  <si>
    <t>Bato ES</t>
  </si>
  <si>
    <t>Tinaplan ES</t>
  </si>
  <si>
    <t>Cuyan ES</t>
  </si>
  <si>
    <t>SIOCON</t>
  </si>
  <si>
    <t>Matiag ES</t>
  </si>
  <si>
    <t>Bitugan ES</t>
  </si>
  <si>
    <t>SIRAWAI</t>
  </si>
  <si>
    <t>Tapanayan ES</t>
  </si>
  <si>
    <t>Matunoy ES</t>
  </si>
  <si>
    <t>Malinao PS</t>
  </si>
  <si>
    <t>Paduan ES</t>
  </si>
  <si>
    <t>Litawan ES</t>
  </si>
  <si>
    <t>Jolito Camatura ES</t>
  </si>
  <si>
    <t>Tan-awan PS</t>
  </si>
  <si>
    <t>Kono Mais PS</t>
  </si>
  <si>
    <t>Sibuco NHS Annex - Lunday</t>
  </si>
  <si>
    <t>Bartolome C. Lira, Sr. NHS Ext. - Siasin</t>
  </si>
  <si>
    <t>Zamboanga del Sur</t>
  </si>
  <si>
    <t>Bag-Ong Oslob ES</t>
  </si>
  <si>
    <t>AURORA</t>
  </si>
  <si>
    <t>Deporehan IES</t>
  </si>
  <si>
    <t>BAYOG</t>
  </si>
  <si>
    <t>Bacayawan ES</t>
  </si>
  <si>
    <t>DIMATALING</t>
  </si>
  <si>
    <t>Grap ES</t>
  </si>
  <si>
    <t>Upper Ludiong IPS</t>
  </si>
  <si>
    <t>Songayan ES</t>
  </si>
  <si>
    <t>DINAS</t>
  </si>
  <si>
    <t>Sumilom PS</t>
  </si>
  <si>
    <t>Tubopait ES</t>
  </si>
  <si>
    <t>DUMALINAO</t>
  </si>
  <si>
    <t>DUMINGAG</t>
  </si>
  <si>
    <t>Lantawan CPS</t>
  </si>
  <si>
    <t>KUMALARANG</t>
  </si>
  <si>
    <t>Mapao CPS</t>
  </si>
  <si>
    <t>Pegampuan ES</t>
  </si>
  <si>
    <t>LAKEWOOD</t>
  </si>
  <si>
    <t>Cubo ES</t>
  </si>
  <si>
    <t>LAPUYAN</t>
  </si>
  <si>
    <t>Dansal ES</t>
  </si>
  <si>
    <t>Mahalingeb PS</t>
  </si>
  <si>
    <t>Lactayan ES</t>
  </si>
  <si>
    <t>MAHAYAG</t>
  </si>
  <si>
    <t>Pilas ES</t>
  </si>
  <si>
    <t>New Unidos IPS</t>
  </si>
  <si>
    <t>MIDSALIP</t>
  </si>
  <si>
    <t>Sto. Rosario ES</t>
  </si>
  <si>
    <t>MOLAVE</t>
  </si>
  <si>
    <t>Digos ES</t>
  </si>
  <si>
    <t>Mabang Intermediate School</t>
  </si>
  <si>
    <t>Pao ES</t>
  </si>
  <si>
    <t>TUKURAN</t>
  </si>
  <si>
    <t>Maculay ES</t>
  </si>
  <si>
    <t>VINCENZO A. SAGUN</t>
  </si>
  <si>
    <t>Villanueva PS</t>
  </si>
  <si>
    <t>TAMBULIG</t>
  </si>
  <si>
    <t>Lower Conacon Elementary School</t>
  </si>
  <si>
    <t>Paliran ES</t>
  </si>
  <si>
    <t>Panuguton PS</t>
  </si>
  <si>
    <t>Bayog NHS - Mataga Annex</t>
  </si>
  <si>
    <t>San Pablo NHS - Sacbulan Ext.</t>
  </si>
  <si>
    <t>Guinicolalay NHS - Tarakan Ext.</t>
  </si>
  <si>
    <t>Paulino Dari NHS - Punta Flecha Ext.</t>
  </si>
  <si>
    <t>PITOGO</t>
  </si>
  <si>
    <t>Lapuyan NHS - Maralag Extension</t>
  </si>
  <si>
    <t>Zamboanga Sibugay</t>
  </si>
  <si>
    <t>Tantawan PS</t>
  </si>
  <si>
    <t>ALICIA</t>
  </si>
  <si>
    <t>Ligaya PS</t>
  </si>
  <si>
    <t>BUUG</t>
  </si>
  <si>
    <t>DIPLAHAN</t>
  </si>
  <si>
    <t>Malagac ES</t>
  </si>
  <si>
    <t>PNOC Village PS</t>
  </si>
  <si>
    <t>Baluyan ES</t>
  </si>
  <si>
    <t>IMELDA</t>
  </si>
  <si>
    <t>Israel PS</t>
  </si>
  <si>
    <t>Mali Little Baguio PS</t>
  </si>
  <si>
    <t>Caparan Samporna PS</t>
  </si>
  <si>
    <t>IPIL</t>
  </si>
  <si>
    <t>Labe Primary School</t>
  </si>
  <si>
    <t>Goodyear PS</t>
  </si>
  <si>
    <t>KABASALAN</t>
  </si>
  <si>
    <t>Salupan PS</t>
  </si>
  <si>
    <t>Tandu-Comot ES</t>
  </si>
  <si>
    <t>MABUHAY</t>
  </si>
  <si>
    <t>Malongon ES</t>
  </si>
  <si>
    <t>MALANGAS</t>
  </si>
  <si>
    <t>Tigabon PS</t>
  </si>
  <si>
    <t>Galas Primary School</t>
  </si>
  <si>
    <t>OLUTANGA</t>
  </si>
  <si>
    <t>Looc-Sapi PS</t>
  </si>
  <si>
    <t>Mayabo PS</t>
  </si>
  <si>
    <t>PAYAO</t>
  </si>
  <si>
    <t>Minundas PS</t>
  </si>
  <si>
    <t>Talaptap PS</t>
  </si>
  <si>
    <t>Tambon PS</t>
  </si>
  <si>
    <t>Motop PS</t>
  </si>
  <si>
    <t>ROSELLER LIM</t>
  </si>
  <si>
    <t>San Ernesto ES</t>
  </si>
  <si>
    <t>Bagong Silang ES</t>
  </si>
  <si>
    <t>SIAY</t>
  </si>
  <si>
    <t>Samonte ES</t>
  </si>
  <si>
    <t>TALUSAN</t>
  </si>
  <si>
    <t>Pinili ES</t>
  </si>
  <si>
    <t>TITAY</t>
  </si>
  <si>
    <t>Timulan PS</t>
  </si>
  <si>
    <t>Teras Elementary School</t>
  </si>
  <si>
    <t>TUNGAWAN</t>
  </si>
  <si>
    <t>Cose Abdudan PS</t>
  </si>
  <si>
    <t>Gutayan PS</t>
  </si>
  <si>
    <t>Region V</t>
  </si>
  <si>
    <t>Albay</t>
  </si>
  <si>
    <t>Hamorawon ES</t>
  </si>
  <si>
    <t>RAPU-RAPU</t>
  </si>
  <si>
    <t>Nstr. Sra De Guadalupe ES</t>
  </si>
  <si>
    <t>Camarines Norte</t>
  </si>
  <si>
    <t>Melquiades Caldit ES</t>
  </si>
  <si>
    <t>CAPALONGA</t>
  </si>
  <si>
    <t>Camarines Sur</t>
  </si>
  <si>
    <t>Terogo PS</t>
  </si>
  <si>
    <t>CARAMOAN</t>
  </si>
  <si>
    <t>Toboan PS</t>
  </si>
  <si>
    <t>Cabasag Comm. Sch</t>
  </si>
  <si>
    <t>DEL GALLEGO</t>
  </si>
  <si>
    <t>San Pablo Comm Sch</t>
  </si>
  <si>
    <t>Mangogon ES</t>
  </si>
  <si>
    <t>LAGONOY</t>
  </si>
  <si>
    <t>Agawan (Sitio of Tabog)</t>
  </si>
  <si>
    <t>Lip-ac ES (Sitio Catagbacan)</t>
  </si>
  <si>
    <t>GOA</t>
  </si>
  <si>
    <t>NOT INCLUDED (MORE THAN 1.9KM)</t>
  </si>
  <si>
    <t>San Andres ES</t>
  </si>
  <si>
    <t>SIRUMA</t>
  </si>
  <si>
    <t>Masbate</t>
  </si>
  <si>
    <t>Amoroy ES</t>
  </si>
  <si>
    <t>AROROY</t>
  </si>
  <si>
    <t>Madancalan PS</t>
  </si>
  <si>
    <t>BALENO</t>
  </si>
  <si>
    <t>Polot ES</t>
  </si>
  <si>
    <t>Danao ES</t>
  </si>
  <si>
    <t>BALUD</t>
  </si>
  <si>
    <t>Guinbanuahan ES</t>
  </si>
  <si>
    <t>Pin-as ES</t>
  </si>
  <si>
    <t>CAWAYAN</t>
  </si>
  <si>
    <t>Vienteriales ES</t>
  </si>
  <si>
    <t>Villaganas Village ES</t>
  </si>
  <si>
    <t>Divisoria ES</t>
  </si>
  <si>
    <t>DIMASALANG</t>
  </si>
  <si>
    <t>San Vicente ES</t>
  </si>
  <si>
    <t>Libertad PS</t>
  </si>
  <si>
    <t>Rizal PS</t>
  </si>
  <si>
    <t>Centro E/S</t>
  </si>
  <si>
    <t>MANDAON</t>
  </si>
  <si>
    <t>Guincaiptan ES</t>
  </si>
  <si>
    <t>Bonbon ES</t>
  </si>
  <si>
    <t>MILAGROS</t>
  </si>
  <si>
    <t>Matanglad ES</t>
  </si>
  <si>
    <t>MOBO</t>
  </si>
  <si>
    <t>Tubod ES</t>
  </si>
  <si>
    <t>PLACER</t>
  </si>
  <si>
    <t>Cabug ES</t>
  </si>
  <si>
    <t>SAN FERNANDO</t>
  </si>
  <si>
    <t>Acacia PS</t>
  </si>
  <si>
    <t>SAN PASCUAL</t>
  </si>
  <si>
    <t>San Rafael ES (Alimango ES)</t>
  </si>
  <si>
    <t>Boca Chica ES</t>
  </si>
  <si>
    <t>Busing ES</t>
  </si>
  <si>
    <t>Gemino Elementary School</t>
  </si>
  <si>
    <t>Halabangbaybay ES</t>
  </si>
  <si>
    <t>Laurente ES</t>
  </si>
  <si>
    <t>Lukban ES</t>
  </si>
  <si>
    <t>Ramona ES</t>
  </si>
  <si>
    <t>Sulficio Elliot ES</t>
  </si>
  <si>
    <t>Agoho Elementary School</t>
  </si>
  <si>
    <t>Segundina L. Rivera Primary School</t>
  </si>
  <si>
    <t>Nabongsoran High School</t>
  </si>
  <si>
    <t>Masbate City</t>
  </si>
  <si>
    <t>A. delos Reyes Integrated School</t>
  </si>
  <si>
    <t>CITY OF MASBATE (Capital)</t>
  </si>
  <si>
    <t>Region VI</t>
  </si>
  <si>
    <t>Aklan</t>
  </si>
  <si>
    <t>Arcangel Norte Primary School</t>
  </si>
  <si>
    <t>BALETE</t>
  </si>
  <si>
    <t>Cabugao PS</t>
  </si>
  <si>
    <t>BURUANGA</t>
  </si>
  <si>
    <t>Yawan PS</t>
  </si>
  <si>
    <t>IBAJAY</t>
  </si>
  <si>
    <t>Casit-an PS</t>
  </si>
  <si>
    <t>LIBACAO</t>
  </si>
  <si>
    <t>Maytaraw PS</t>
  </si>
  <si>
    <t>Oyang PS</t>
  </si>
  <si>
    <t>Sibalew PS</t>
  </si>
  <si>
    <t>Alas-as PS</t>
  </si>
  <si>
    <t>MADALAG</t>
  </si>
  <si>
    <t>Cabilawan Primary School</t>
  </si>
  <si>
    <t>Catabana PS</t>
  </si>
  <si>
    <t>Pang-itan Elementary School</t>
  </si>
  <si>
    <t>Panipiason PS</t>
  </si>
  <si>
    <t>San Jose PS</t>
  </si>
  <si>
    <t>Bungsod Primary School</t>
  </si>
  <si>
    <t>TANGALAN</t>
  </si>
  <si>
    <t>Lanipga-Napatag PS</t>
  </si>
  <si>
    <t>Cortes Integrated School</t>
  </si>
  <si>
    <t>Dalagsaan Integrated School</t>
  </si>
  <si>
    <t>Mandong Integrated School</t>
  </si>
  <si>
    <t>BATAN</t>
  </si>
  <si>
    <t>San Roque Integrated School</t>
  </si>
  <si>
    <t>MALINAO</t>
  </si>
  <si>
    <t>Antique</t>
  </si>
  <si>
    <t>Tagaytay PS</t>
  </si>
  <si>
    <t>ANINI-Y</t>
  </si>
  <si>
    <t>Nawili ES</t>
  </si>
  <si>
    <t>BUGASONG</t>
  </si>
  <si>
    <t>Bacong ES</t>
  </si>
  <si>
    <t>CALUYA</t>
  </si>
  <si>
    <t>Dionela PS</t>
  </si>
  <si>
    <t>Harigue ES</t>
  </si>
  <si>
    <t>Lim ES</t>
  </si>
  <si>
    <t>Batbatan ES</t>
  </si>
  <si>
    <t>CULASI</t>
  </si>
  <si>
    <t>Mag-ayad PS</t>
  </si>
  <si>
    <t>Buhang - Annex ES</t>
  </si>
  <si>
    <t>HAMTIC</t>
  </si>
  <si>
    <t>Calacja II ES</t>
  </si>
  <si>
    <t>Cantulan ES</t>
  </si>
  <si>
    <t>Alberto Siasat ES (Casalngan ES)</t>
  </si>
  <si>
    <t>Paningayan PS</t>
  </si>
  <si>
    <t>LAUA-AN</t>
  </si>
  <si>
    <t>Tibacan Pascuala PS</t>
  </si>
  <si>
    <t>Villa Flores ES</t>
  </si>
  <si>
    <t>PATNONGON</t>
  </si>
  <si>
    <t>Tigbalogo ES</t>
  </si>
  <si>
    <t>Carmelo I PS</t>
  </si>
  <si>
    <t>SAN REMIGIO</t>
  </si>
  <si>
    <t>Nagbangi II ES</t>
  </si>
  <si>
    <t>Atabay PS</t>
  </si>
  <si>
    <t>P. Javier PS</t>
  </si>
  <si>
    <t>SEBASTE</t>
  </si>
  <si>
    <t>Igbanos PS</t>
  </si>
  <si>
    <t>TOBIAS FORNIER (DAO)</t>
  </si>
  <si>
    <t>Igmasandig PS</t>
  </si>
  <si>
    <t>VALDERRAMA</t>
  </si>
  <si>
    <t>Lublub ES</t>
  </si>
  <si>
    <t>Panagatan ES</t>
  </si>
  <si>
    <t>Cacao PS</t>
  </si>
  <si>
    <t>TIBIAO</t>
  </si>
  <si>
    <t>Omlot PS</t>
  </si>
  <si>
    <t>Sibay NHS</t>
  </si>
  <si>
    <t>Cadiz City</t>
  </si>
  <si>
    <t>Igcamalig ES</t>
  </si>
  <si>
    <t>CADIZ CITY</t>
  </si>
  <si>
    <t>Aluyan ES</t>
  </si>
  <si>
    <t>Capiz</t>
  </si>
  <si>
    <t>Mainit Elementary School</t>
  </si>
  <si>
    <t>CUARTERO</t>
  </si>
  <si>
    <t>Aglibacao PS</t>
  </si>
  <si>
    <t>JAMINDAN</t>
  </si>
  <si>
    <t>Agtupgop ES</t>
  </si>
  <si>
    <t>Das-ag PS</t>
  </si>
  <si>
    <t>Igang PS</t>
  </si>
  <si>
    <t>Masnang PS</t>
  </si>
  <si>
    <t>North Lucero PS</t>
  </si>
  <si>
    <t>Cala-agus ES</t>
  </si>
  <si>
    <t>MAMBUSAO</t>
  </si>
  <si>
    <t>Pangpang Norte PS</t>
  </si>
  <si>
    <t>Agkawayan PS</t>
  </si>
  <si>
    <t>Pangpang Sur PS</t>
  </si>
  <si>
    <t>Sinondojan PS</t>
  </si>
  <si>
    <t>Eugenio Regalado PS</t>
  </si>
  <si>
    <t>PANAY</t>
  </si>
  <si>
    <t>Cabangahan PS (panitan)</t>
  </si>
  <si>
    <t>PANITAN</t>
  </si>
  <si>
    <t>Gabuc ES</t>
  </si>
  <si>
    <t>PONTEVEDRA</t>
  </si>
  <si>
    <t>Calixto Loyola Sr. ES</t>
  </si>
  <si>
    <t>SIGMA</t>
  </si>
  <si>
    <t>Libertad ES</t>
  </si>
  <si>
    <t>TAPAZ</t>
  </si>
  <si>
    <t>Cong. Dinggoy Araneta Roxas Mem. Elem. Sch.</t>
  </si>
  <si>
    <t>Camburanan NHS</t>
  </si>
  <si>
    <t>Guimaras</t>
  </si>
  <si>
    <t>Unisan Multigrade School</t>
  </si>
  <si>
    <t>NUEVA VALENCIA</t>
  </si>
  <si>
    <t>Iloilo</t>
  </si>
  <si>
    <t>Badiangan PS</t>
  </si>
  <si>
    <t>AJUY</t>
  </si>
  <si>
    <t>Inta PS</t>
  </si>
  <si>
    <t>BADIANGAN</t>
  </si>
  <si>
    <t>Tubungan PS</t>
  </si>
  <si>
    <t>BAROTAC NUEVO</t>
  </si>
  <si>
    <t>Marinas PS</t>
  </si>
  <si>
    <t>CALINOG</t>
  </si>
  <si>
    <t>Cahigon ES</t>
  </si>
  <si>
    <t>Ivesa PS</t>
  </si>
  <si>
    <t>CARLES</t>
  </si>
  <si>
    <t>Loguingot ES</t>
  </si>
  <si>
    <t>ESTANCIA</t>
  </si>
  <si>
    <t>Yabon PS</t>
  </si>
  <si>
    <t>JANIUAY</t>
  </si>
  <si>
    <t>Cunsad PS</t>
  </si>
  <si>
    <t>Cabunlawan PS</t>
  </si>
  <si>
    <t>LAMBUNAO</t>
  </si>
  <si>
    <t>Amayong PS</t>
  </si>
  <si>
    <t>SAN DIONISIO</t>
  </si>
  <si>
    <t>Imbaquiran PS</t>
  </si>
  <si>
    <t>SAN ENRIQUE</t>
  </si>
  <si>
    <t>IGDAGMAY ELEMENTARY SCHOOL</t>
  </si>
  <si>
    <t>SAN JOAQUIN</t>
  </si>
  <si>
    <t>Bayuco PS</t>
  </si>
  <si>
    <t>Pasig PS</t>
  </si>
  <si>
    <t>Sagcup PS</t>
  </si>
  <si>
    <t>Bagongbong PS</t>
  </si>
  <si>
    <t>Martin Laguartilla PS</t>
  </si>
  <si>
    <t>DUEÑAS</t>
  </si>
  <si>
    <t>Jawod ES</t>
  </si>
  <si>
    <t>Batuan PS</t>
  </si>
  <si>
    <t>Kabankalan City</t>
  </si>
  <si>
    <t>Ballo ES</t>
  </si>
  <si>
    <t>CITY OF KABANKALAN</t>
  </si>
  <si>
    <t>Basak ES</t>
  </si>
  <si>
    <t>Nahiguin PS</t>
  </si>
  <si>
    <t>Piliopiliohan PS</t>
  </si>
  <si>
    <t>Sampac PS</t>
  </si>
  <si>
    <t>Banman PS</t>
  </si>
  <si>
    <t>Camandaan PS</t>
  </si>
  <si>
    <t>Candiacap ES</t>
  </si>
  <si>
    <t>Ilan PS</t>
  </si>
  <si>
    <t>Mamig Elementary School</t>
  </si>
  <si>
    <t>Sagumayon PS</t>
  </si>
  <si>
    <t>Cara-an ES</t>
  </si>
  <si>
    <t>Mambaog PS</t>
  </si>
  <si>
    <t>Negros Occidental</t>
  </si>
  <si>
    <t>Mabunga PS</t>
  </si>
  <si>
    <t>BINALBAGAN</t>
  </si>
  <si>
    <t>Binadlan ES</t>
  </si>
  <si>
    <t>Bulwang ES</t>
  </si>
  <si>
    <t>Mangahoycahoy ES</t>
  </si>
  <si>
    <t>Nasanagan Elementary School</t>
  </si>
  <si>
    <t>De La Rosa PS</t>
  </si>
  <si>
    <t>CALATRAVA</t>
  </si>
  <si>
    <t>Lagoc ES</t>
  </si>
  <si>
    <t>Ma-aslob ES</t>
  </si>
  <si>
    <t>Telim ES</t>
  </si>
  <si>
    <t>Ecogan ES</t>
  </si>
  <si>
    <t>Minautok ES</t>
  </si>
  <si>
    <t>Tinibiangan Elementary School</t>
  </si>
  <si>
    <t>Winaswasan Elementary School</t>
  </si>
  <si>
    <t>Calamunding ES</t>
  </si>
  <si>
    <t>CANDONI</t>
  </si>
  <si>
    <t>Guinsiliban PS</t>
  </si>
  <si>
    <t>Panacmalan ES</t>
  </si>
  <si>
    <t>Salarongon PS</t>
  </si>
  <si>
    <t>Baluarte PS</t>
  </si>
  <si>
    <t>CAUAYAN</t>
  </si>
  <si>
    <t>Buclao PS</t>
  </si>
  <si>
    <t>M. Ledesma PS</t>
  </si>
  <si>
    <t>Macapula ES</t>
  </si>
  <si>
    <t>Ma-init PS</t>
  </si>
  <si>
    <t>Maloy-a Elementary School</t>
  </si>
  <si>
    <t>Payong PS</t>
  </si>
  <si>
    <t>Sibucao ES</t>
  </si>
  <si>
    <t>Talimagao ES</t>
  </si>
  <si>
    <t>Bajay PS</t>
  </si>
  <si>
    <t>Patol ES</t>
  </si>
  <si>
    <t>Pinamay-an ES</t>
  </si>
  <si>
    <t>San Dionisio PS</t>
  </si>
  <si>
    <t>Tanabog ES</t>
  </si>
  <si>
    <t>Taya-o ES</t>
  </si>
  <si>
    <t>Balatogan ES</t>
  </si>
  <si>
    <t>CITY OF HIMAMAYLAN</t>
  </si>
  <si>
    <t>Casipungan ES</t>
  </si>
  <si>
    <t>Sig-ang ES</t>
  </si>
  <si>
    <t>Nasuli ES</t>
  </si>
  <si>
    <t>HINIGARAN</t>
  </si>
  <si>
    <t>HINOBA-AN (ASIA)</t>
  </si>
  <si>
    <t>Bonifacio ES</t>
  </si>
  <si>
    <t>Cabanbanan PS</t>
  </si>
  <si>
    <t>Cemeco ES</t>
  </si>
  <si>
    <t>Manlawa-an Elementary School</t>
  </si>
  <si>
    <t>Talacagay Elementary School</t>
  </si>
  <si>
    <t>Canlupa PS</t>
  </si>
  <si>
    <t>ISABELA</t>
  </si>
  <si>
    <t>Riverside PS</t>
  </si>
  <si>
    <t>Agogolo ES</t>
  </si>
  <si>
    <t>MOISES PADILLA (MAGALLON)</t>
  </si>
  <si>
    <t>Binata-an ES</t>
  </si>
  <si>
    <t>Cuyaoyao ES</t>
  </si>
  <si>
    <t>E. Basa PS</t>
  </si>
  <si>
    <t>Nacurohan ES</t>
  </si>
  <si>
    <t>Quintin Remo ES</t>
  </si>
  <si>
    <t>Salapid PS</t>
  </si>
  <si>
    <t>Tiguisan PS</t>
  </si>
  <si>
    <t>Camingawan ES</t>
  </si>
  <si>
    <t>Banag PS</t>
  </si>
  <si>
    <t>CITY OF SIPALAY</t>
  </si>
  <si>
    <t>Cansauro ES</t>
  </si>
  <si>
    <t>Hda. Maricalum ES</t>
  </si>
  <si>
    <t>Nauhang PS</t>
  </si>
  <si>
    <t>Vista Alegre ES</t>
  </si>
  <si>
    <t>Bawog ES</t>
  </si>
  <si>
    <t>Macarandan ES</t>
  </si>
  <si>
    <t>Patag Magbanua ES</t>
  </si>
  <si>
    <t>Tabun-ac ES</t>
  </si>
  <si>
    <t>TOBOSO</t>
  </si>
  <si>
    <t>Cuyapan Primary School</t>
  </si>
  <si>
    <t>Tugas ES</t>
  </si>
  <si>
    <t>Binotusan PS</t>
  </si>
  <si>
    <t>MAATOP ELEMENTARY SCHOOL</t>
  </si>
  <si>
    <t>Nava PS</t>
  </si>
  <si>
    <t>Daat ES</t>
  </si>
  <si>
    <t>Soso PS</t>
  </si>
  <si>
    <t>Aguinaldo Primary School</t>
  </si>
  <si>
    <t>Cogon PS</t>
  </si>
  <si>
    <t>Hanot ES</t>
  </si>
  <si>
    <t>Dung-i ES</t>
  </si>
  <si>
    <t>Omas ES</t>
  </si>
  <si>
    <t>Upper Cawas PS</t>
  </si>
  <si>
    <t>ILOG</t>
  </si>
  <si>
    <t>Passi City</t>
  </si>
  <si>
    <t>Magdungao Proper ES</t>
  </si>
  <si>
    <t>CITY OF PASSI</t>
  </si>
  <si>
    <t>Aglalana Elementary School - Annex</t>
  </si>
  <si>
    <t>Cadilang Primary School</t>
  </si>
  <si>
    <t>Sagay City</t>
  </si>
  <si>
    <t>Onofre Dela Paz ES</t>
  </si>
  <si>
    <t>SAGAY CITY</t>
  </si>
  <si>
    <t>Pedro R.Katalbas, Sr. II ES</t>
  </si>
  <si>
    <t>Hamticon ES</t>
  </si>
  <si>
    <t>Laon ES</t>
  </si>
  <si>
    <t>Manara ES</t>
  </si>
  <si>
    <t>Uychiat ES</t>
  </si>
  <si>
    <t>Binone ES</t>
  </si>
  <si>
    <t>Nabataan ES</t>
  </si>
  <si>
    <t>Gigalaman ES</t>
  </si>
  <si>
    <t>Handalago ES</t>
  </si>
  <si>
    <t>Tuburan ES</t>
  </si>
  <si>
    <t>Bedio ES</t>
  </si>
  <si>
    <t>Habuyo ES</t>
  </si>
  <si>
    <t>Igmamatay ES</t>
  </si>
  <si>
    <t>Lagha ES</t>
  </si>
  <si>
    <t>Lagha Elementary School - Extension</t>
  </si>
  <si>
    <t>Napudlan ES</t>
  </si>
  <si>
    <t>Natuyay ES</t>
  </si>
  <si>
    <t>Pinamantawan ES</t>
  </si>
  <si>
    <t>Bairan ES</t>
  </si>
  <si>
    <t>Hunob ES</t>
  </si>
  <si>
    <t>Pagbatangan ES</t>
  </si>
  <si>
    <t>Paniagan ES</t>
  </si>
  <si>
    <t>Region VII</t>
  </si>
  <si>
    <t>Bais City</t>
  </si>
  <si>
    <t>Biso PS</t>
  </si>
  <si>
    <t>BAIS CITY</t>
  </si>
  <si>
    <t>Cambayungon ES</t>
  </si>
  <si>
    <t>Bais City Special Science Elementary School</t>
  </si>
  <si>
    <t>Tagpo National HS</t>
  </si>
  <si>
    <t>Bayawan City</t>
  </si>
  <si>
    <t>Bahian E/S</t>
  </si>
  <si>
    <t>CITY OF BAYAWAN (TULONG)</t>
  </si>
  <si>
    <t>Cadal-ugan E/S</t>
  </si>
  <si>
    <t>Dita ES</t>
  </si>
  <si>
    <t>Kasla ES</t>
  </si>
  <si>
    <t>Canabuan PS</t>
  </si>
  <si>
    <t>Guintana-an ES</t>
  </si>
  <si>
    <t>Hag-um PS</t>
  </si>
  <si>
    <t>Kalumpang PS</t>
  </si>
  <si>
    <t>Kangkawit PS</t>
  </si>
  <si>
    <t>Lunoy Elementary School</t>
  </si>
  <si>
    <t>Napo ES</t>
  </si>
  <si>
    <t>Pagatban HS</t>
  </si>
  <si>
    <t>Cansumalig High School</t>
  </si>
  <si>
    <t>Bohol</t>
  </si>
  <si>
    <t>Bitaugan PS</t>
  </si>
  <si>
    <t>ANTEQUERA</t>
  </si>
  <si>
    <t>Tupas ES</t>
  </si>
  <si>
    <t>Anonang PS</t>
  </si>
  <si>
    <t>Luan ES</t>
  </si>
  <si>
    <t>CANDIJAY</t>
  </si>
  <si>
    <t>Liboron ES</t>
  </si>
  <si>
    <t>CATIGBIAN</t>
  </si>
  <si>
    <t>Mataub PS</t>
  </si>
  <si>
    <t>CLARIN</t>
  </si>
  <si>
    <t>Tontunan ES</t>
  </si>
  <si>
    <t>Can-oling ES</t>
  </si>
  <si>
    <t>DAGOHOY</t>
  </si>
  <si>
    <t>Villa Anunciado PS</t>
  </si>
  <si>
    <t>DANAO</t>
  </si>
  <si>
    <t>Buyog ES</t>
  </si>
  <si>
    <t>JETAFE</t>
  </si>
  <si>
    <t>Cagawasan PS</t>
  </si>
  <si>
    <t>Corte-Baud ES</t>
  </si>
  <si>
    <t>Causlan PS</t>
  </si>
  <si>
    <t>INABANGA</t>
  </si>
  <si>
    <t>Ilaya PS</t>
  </si>
  <si>
    <t>Ma. Rosario PS</t>
  </si>
  <si>
    <t>Canlinte PS</t>
  </si>
  <si>
    <t>Cabilao ES</t>
  </si>
  <si>
    <t>LOON</t>
  </si>
  <si>
    <t>Cambaquiz ES</t>
  </si>
  <si>
    <t>Badbad ES</t>
  </si>
  <si>
    <t>Lintuan ES</t>
  </si>
  <si>
    <t>Bayacabac ES</t>
  </si>
  <si>
    <t>MARIBOJOC</t>
  </si>
  <si>
    <t>Lagtangon ES</t>
  </si>
  <si>
    <t>Toril PS</t>
  </si>
  <si>
    <t>Kabangkalan PS</t>
  </si>
  <si>
    <t>PRES. CARLOS P. GARCIA (PITOGO)</t>
  </si>
  <si>
    <t>SAGBAYAN (BORJA)</t>
  </si>
  <si>
    <t>Candungao ES</t>
  </si>
  <si>
    <t>Guinob-an PS</t>
  </si>
  <si>
    <t>SEVILLA</t>
  </si>
  <si>
    <t>Batasan ES</t>
  </si>
  <si>
    <t>TUBIGON</t>
  </si>
  <si>
    <t>Bilang-Bilangan ES</t>
  </si>
  <si>
    <t>Mocaboc PS</t>
  </si>
  <si>
    <t>Pangapasan ES</t>
  </si>
  <si>
    <t>Cuya Elem School</t>
  </si>
  <si>
    <t>UBAY</t>
  </si>
  <si>
    <t>Cabacungan ES</t>
  </si>
  <si>
    <t>San Rafael PS</t>
  </si>
  <si>
    <t>Tunaan-Daku ES</t>
  </si>
  <si>
    <t>TALIBON</t>
  </si>
  <si>
    <t>Pandol PS</t>
  </si>
  <si>
    <t>CORELLA</t>
  </si>
  <si>
    <t>Merryland PS</t>
  </si>
  <si>
    <t>Canlaas High School</t>
  </si>
  <si>
    <t>Cuaming HS</t>
  </si>
  <si>
    <t>Basiao High School</t>
  </si>
  <si>
    <t>Lourdes High School</t>
  </si>
  <si>
    <t>Bangwalog HS</t>
  </si>
  <si>
    <t>DUERO</t>
  </si>
  <si>
    <t>Carcar City</t>
  </si>
  <si>
    <t>TAL-UT NATIONAL HIGH SCHOOL</t>
  </si>
  <si>
    <t>CITY OF CARCAR</t>
  </si>
  <si>
    <t>Cebu</t>
  </si>
  <si>
    <t>Caidiocan PS</t>
  </si>
  <si>
    <t>ALCOY</t>
  </si>
  <si>
    <t>San Agustin Elementary School</t>
  </si>
  <si>
    <t>Anislag PS</t>
  </si>
  <si>
    <t>Cangcalape PS</t>
  </si>
  <si>
    <t>Compostela ES</t>
  </si>
  <si>
    <t>Lingatong PS</t>
  </si>
  <si>
    <t>Mayana ES</t>
  </si>
  <si>
    <t>Candolonon PS</t>
  </si>
  <si>
    <t>ARGAO</t>
  </si>
  <si>
    <t>Tulang PS</t>
  </si>
  <si>
    <t>Kaluangan I PS</t>
  </si>
  <si>
    <t>ASTURIAS</t>
  </si>
  <si>
    <t>Guinabinhan PS</t>
  </si>
  <si>
    <t>BALAMBAN</t>
  </si>
  <si>
    <t>Malingin ES</t>
  </si>
  <si>
    <t>Botigues ES</t>
  </si>
  <si>
    <t>BANTAYAN</t>
  </si>
  <si>
    <t>Hilotongan ES</t>
  </si>
  <si>
    <t>Dita PS</t>
  </si>
  <si>
    <t>BARILI</t>
  </si>
  <si>
    <t>Corte Elementary School</t>
  </si>
  <si>
    <t>Taguini ES</t>
  </si>
  <si>
    <t>Mulao ES</t>
  </si>
  <si>
    <t>COMPOSTELA</t>
  </si>
  <si>
    <t>Calipay PS</t>
  </si>
  <si>
    <t>MALABUYOC</t>
  </si>
  <si>
    <t>Palaypay PS</t>
  </si>
  <si>
    <t>Duangan ES</t>
  </si>
  <si>
    <t>PINAMUNGAHAN</t>
  </si>
  <si>
    <t>Hilantagaan ES</t>
  </si>
  <si>
    <t>Kinatarcan Elementary School</t>
  </si>
  <si>
    <t>Guimbangcoan PS</t>
  </si>
  <si>
    <t>SIBONGA</t>
  </si>
  <si>
    <t>Inocoyan PS</t>
  </si>
  <si>
    <t>SOGOD</t>
  </si>
  <si>
    <t>Lib-og ES</t>
  </si>
  <si>
    <t>Manahaw PS</t>
  </si>
  <si>
    <t>Mag-agta PS</t>
  </si>
  <si>
    <t>TUBURAN</t>
  </si>
  <si>
    <t>Tomugpa PS</t>
  </si>
  <si>
    <t>Luyongbaybay PS</t>
  </si>
  <si>
    <t>CANINGAG PRIMARY SCHOOL</t>
  </si>
  <si>
    <t>Hilotongan Integrated School</t>
  </si>
  <si>
    <t>Mahanlud NHS</t>
  </si>
  <si>
    <t>Bunakan Integrated School</t>
  </si>
  <si>
    <t>MADRIDEJOS</t>
  </si>
  <si>
    <t>Liki Integrated School</t>
  </si>
  <si>
    <t>Guihulngan City</t>
  </si>
  <si>
    <t>Antibalas ES</t>
  </si>
  <si>
    <t>CITY OF GUIHULNGAN</t>
  </si>
  <si>
    <t>Busay Elementary School</t>
  </si>
  <si>
    <t>Laos ES</t>
  </si>
  <si>
    <t>Magkanaway PS</t>
  </si>
  <si>
    <t>Panagtugas PS</t>
  </si>
  <si>
    <t>Trinidad ES</t>
  </si>
  <si>
    <t>Agulang PS</t>
  </si>
  <si>
    <t>Dadiangao PS</t>
  </si>
  <si>
    <t>Kapudlusan PS</t>
  </si>
  <si>
    <t>Planas ES</t>
  </si>
  <si>
    <t>Tominhao PS</t>
  </si>
  <si>
    <t>Benil-iwan PS</t>
  </si>
  <si>
    <t>Mandii ES</t>
  </si>
  <si>
    <t>Guihulngan NHS - P. Zamora Extension</t>
  </si>
  <si>
    <t>Negros Oriental</t>
  </si>
  <si>
    <t>Canlukduhan ES</t>
  </si>
  <si>
    <t>AYUNGON</t>
  </si>
  <si>
    <t>Libtacon PS</t>
  </si>
  <si>
    <t>Cabigti-an ES</t>
  </si>
  <si>
    <t>BASAY</t>
  </si>
  <si>
    <t>Guibawan PS</t>
  </si>
  <si>
    <t>CANLAON CITY</t>
  </si>
  <si>
    <t>Kalubihan PS</t>
  </si>
  <si>
    <t>Minabuntod PS</t>
  </si>
  <si>
    <t>Apo ES</t>
  </si>
  <si>
    <t>DAUIN</t>
  </si>
  <si>
    <t>Irene ES</t>
  </si>
  <si>
    <t>JIMALALUD</t>
  </si>
  <si>
    <t>Mongpong PS</t>
  </si>
  <si>
    <t>Barang-barang PS</t>
  </si>
  <si>
    <t>MABINAY</t>
  </si>
  <si>
    <t>Basakan ES</t>
  </si>
  <si>
    <t>Binantangan ES</t>
  </si>
  <si>
    <t>Campo-aling ES</t>
  </si>
  <si>
    <t>Mampalasan ES</t>
  </si>
  <si>
    <t>Nabaliwan ES</t>
  </si>
  <si>
    <t>Palay ES</t>
  </si>
  <si>
    <t>MANJUYOD</t>
  </si>
  <si>
    <t>Caningay ES</t>
  </si>
  <si>
    <t>PAMPLONA</t>
  </si>
  <si>
    <t>Tigbao ES</t>
  </si>
  <si>
    <t>Calañan E/S</t>
  </si>
  <si>
    <t>SIATON</t>
  </si>
  <si>
    <t>Cruz Gadiane ES</t>
  </si>
  <si>
    <t>Nawacat ES</t>
  </si>
  <si>
    <t>Pagang ES</t>
  </si>
  <si>
    <t>Talaptap ES</t>
  </si>
  <si>
    <t>Bagtic PS (Tubod)</t>
  </si>
  <si>
    <t>SIBULAN</t>
  </si>
  <si>
    <t>SANTA CATALINA</t>
  </si>
  <si>
    <t>Kanggabok ES</t>
  </si>
  <si>
    <t>Sto. Tomas ES</t>
  </si>
  <si>
    <t>Baknit ES</t>
  </si>
  <si>
    <t>Marcelino E. Elligan-Banlas ES</t>
  </si>
  <si>
    <t>Pinayon-an ES</t>
  </si>
  <si>
    <t>Tubod PS</t>
  </si>
  <si>
    <t>Alagasihan PS</t>
  </si>
  <si>
    <t>Jose B. Cardenas MHS - Pula Ext.</t>
  </si>
  <si>
    <t>Mabinay NHS-Manlingay Annex</t>
  </si>
  <si>
    <t>Palayuhan High School</t>
  </si>
  <si>
    <t>Caticugan High School</t>
  </si>
  <si>
    <t>Siquijor</t>
  </si>
  <si>
    <t>Cantugbas PS</t>
  </si>
  <si>
    <t>MARIA</t>
  </si>
  <si>
    <t>Cabulihan Integrated School</t>
  </si>
  <si>
    <t>LARENA</t>
  </si>
  <si>
    <t>Talisay City</t>
  </si>
  <si>
    <t>Campinsa ES</t>
  </si>
  <si>
    <t>CITY OF TALISAY</t>
  </si>
  <si>
    <t>Tanjay City</t>
  </si>
  <si>
    <t>Ballacag ES</t>
  </si>
  <si>
    <t>CITY OF TANJAY</t>
  </si>
  <si>
    <t>Camuyogan ES</t>
  </si>
  <si>
    <t>Canghatap Elementary School</t>
  </si>
  <si>
    <t>Lamwas Elementary School</t>
  </si>
  <si>
    <t>Mato-Bato Elementary School</t>
  </si>
  <si>
    <t>Ponglo Elementary School</t>
  </si>
  <si>
    <t>Toyupan Elementary School</t>
  </si>
  <si>
    <t>Mandalamon Elementary School</t>
  </si>
  <si>
    <t>Bulo Elementary School</t>
  </si>
  <si>
    <t>Namonbon HS</t>
  </si>
  <si>
    <t>Toledo City</t>
  </si>
  <si>
    <t>Loay ES</t>
  </si>
  <si>
    <t>TOLEDO CITY</t>
  </si>
  <si>
    <t>New Bucao ES</t>
  </si>
  <si>
    <t>Region VIII</t>
  </si>
  <si>
    <t>Borongan City</t>
  </si>
  <si>
    <t>Canyupay ES</t>
  </si>
  <si>
    <t>CITY OF BORONGAN (Capital)</t>
  </si>
  <si>
    <t>Eastern Samar</t>
  </si>
  <si>
    <t>ARTECHE</t>
  </si>
  <si>
    <t>Bigo ES</t>
  </si>
  <si>
    <t>Cagsalay ES</t>
  </si>
  <si>
    <t>Campacion ES</t>
  </si>
  <si>
    <t>Casidman Elementary School</t>
  </si>
  <si>
    <t>Macarthur Elementary School</t>
  </si>
  <si>
    <t>Tibalawon Elementary School</t>
  </si>
  <si>
    <t>LAWAAN</t>
  </si>
  <si>
    <t>Baruk ES</t>
  </si>
  <si>
    <t>CAN-AVID</t>
  </si>
  <si>
    <t>Caghalong PS</t>
  </si>
  <si>
    <t>Obong PS</t>
  </si>
  <si>
    <t>Del Pilar ES</t>
  </si>
  <si>
    <t>DOLORES</t>
  </si>
  <si>
    <t>Tamsion PS</t>
  </si>
  <si>
    <t>Cabago-an ES</t>
  </si>
  <si>
    <t>Cagtabon ES</t>
  </si>
  <si>
    <t>Gap-ang ES</t>
  </si>
  <si>
    <t>Osmena ES</t>
  </si>
  <si>
    <t>Pasak ES</t>
  </si>
  <si>
    <t>San Miguel Elementary School</t>
  </si>
  <si>
    <t>MASLOG</t>
  </si>
  <si>
    <t>Sta. Catalina PS</t>
  </si>
  <si>
    <t>Tan-awan ES</t>
  </si>
  <si>
    <t>Villahermosa ES</t>
  </si>
  <si>
    <t>Alang-alang PS</t>
  </si>
  <si>
    <t>GENERAL MACARTHUR</t>
  </si>
  <si>
    <t>Cacatmonan PS</t>
  </si>
  <si>
    <t>HERNANI</t>
  </si>
  <si>
    <t>Calutan PS</t>
  </si>
  <si>
    <t>Limbujan PS</t>
  </si>
  <si>
    <t>Quirino PS</t>
  </si>
  <si>
    <t>Roxas PS</t>
  </si>
  <si>
    <t>Tugop ES</t>
  </si>
  <si>
    <t>Pres. Roxas ES</t>
  </si>
  <si>
    <t>GIPORLOS</t>
  </si>
  <si>
    <t>GUIUAN</t>
  </si>
  <si>
    <t>Banuyo ES</t>
  </si>
  <si>
    <t>MERCEDES</t>
  </si>
  <si>
    <t>Cabunga-an PS</t>
  </si>
  <si>
    <t>Cambante PS</t>
  </si>
  <si>
    <t>San Antonio PS</t>
  </si>
  <si>
    <t>Casapa PS</t>
  </si>
  <si>
    <t>JIPAPAD</t>
  </si>
  <si>
    <t>Jiwaran PS</t>
  </si>
  <si>
    <t>Recare ES</t>
  </si>
  <si>
    <t>Roxas ES</t>
  </si>
  <si>
    <t>MAYDOLONG</t>
  </si>
  <si>
    <t>San Gabriel ES</t>
  </si>
  <si>
    <t>Tagasli-an Elementary School</t>
  </si>
  <si>
    <t>Agsam ES</t>
  </si>
  <si>
    <t>ORAS</t>
  </si>
  <si>
    <t>Balingasag ES</t>
  </si>
  <si>
    <t>Gamot PS</t>
  </si>
  <si>
    <t>Naga ES</t>
  </si>
  <si>
    <t>Cambilla ES</t>
  </si>
  <si>
    <t>QUINAPONDAN</t>
  </si>
  <si>
    <t>Cantinio PS</t>
  </si>
  <si>
    <t>Maliwaliw ES</t>
  </si>
  <si>
    <t>SALCEDO</t>
  </si>
  <si>
    <t>Bangon PS</t>
  </si>
  <si>
    <t>SAN POLICARPO</t>
  </si>
  <si>
    <t>Sta. Cruz ES</t>
  </si>
  <si>
    <t>Kandalakit ES</t>
  </si>
  <si>
    <t>SULAT</t>
  </si>
  <si>
    <t>Mabini ES</t>
  </si>
  <si>
    <t>Beto PS</t>
  </si>
  <si>
    <t>TAFT</t>
  </si>
  <si>
    <t>Bongdo PS</t>
  </si>
  <si>
    <t>Del Remedios ES</t>
  </si>
  <si>
    <t>Gayam PS</t>
  </si>
  <si>
    <t>Inayawan Elementary School</t>
  </si>
  <si>
    <t>Inu-olanguhan PS</t>
  </si>
  <si>
    <t>Quiatan ES</t>
  </si>
  <si>
    <t>Pangabutan PS</t>
  </si>
  <si>
    <t>Cagdanao ES</t>
  </si>
  <si>
    <t>Taytay PS</t>
  </si>
  <si>
    <t>Tagporo ES</t>
  </si>
  <si>
    <t>San Juan  ES</t>
  </si>
  <si>
    <t>Lapgap NHS</t>
  </si>
  <si>
    <t>Maasin City</t>
  </si>
  <si>
    <t>Maasin City NHS Night</t>
  </si>
  <si>
    <t>CITY OF MAASIN (Capital)</t>
  </si>
  <si>
    <t>Lunas National High School</t>
  </si>
  <si>
    <t>Hinapu Daku National High School</t>
  </si>
  <si>
    <t>Southern Leyte</t>
  </si>
  <si>
    <t>Banahao Primary School</t>
  </si>
  <si>
    <t>BONTOC</t>
  </si>
  <si>
    <t>Bahay Elementary School</t>
  </si>
  <si>
    <t>LILOAN</t>
  </si>
  <si>
    <t>Camang Elementary School</t>
  </si>
  <si>
    <t>SAN RICARDO</t>
  </si>
  <si>
    <t>Tuba-on Elementary School</t>
  </si>
  <si>
    <t>SILAGO</t>
  </si>
  <si>
    <t>Hilaan NHS</t>
  </si>
  <si>
    <t>Region X</t>
  </si>
  <si>
    <t>Bukidnon</t>
  </si>
  <si>
    <t>Don Antonio O. Floirendo Sr. Primary School</t>
  </si>
  <si>
    <t>Camiguin</t>
  </si>
  <si>
    <t>Mahinog National High School II</t>
  </si>
  <si>
    <t>MAHINOG</t>
  </si>
  <si>
    <t>Bugang Integrated School</t>
  </si>
  <si>
    <t>SAGAY</t>
  </si>
  <si>
    <t>Lanao del Norte</t>
  </si>
  <si>
    <t>Bago Ingud PS</t>
  </si>
  <si>
    <t>BALOI</t>
  </si>
  <si>
    <t>Bubong-Olango PS</t>
  </si>
  <si>
    <t>Datu Pascan PS</t>
  </si>
  <si>
    <t>Kurmatan PS</t>
  </si>
  <si>
    <t>Sigayan PS</t>
  </si>
  <si>
    <t>Bubong Paco PS</t>
  </si>
  <si>
    <t>Olango ES</t>
  </si>
  <si>
    <t>Patpangkat PS</t>
  </si>
  <si>
    <t>Gadongan PS</t>
  </si>
  <si>
    <t>TAGOLOAN</t>
  </si>
  <si>
    <t>Region XI</t>
  </si>
  <si>
    <t>Compostela Valley</t>
  </si>
  <si>
    <t>Bongkilaton ES</t>
  </si>
  <si>
    <t>Longanapan ES</t>
  </si>
  <si>
    <t>LAAK (SAN VICENTE)</t>
  </si>
  <si>
    <t>Mambatang ES</t>
  </si>
  <si>
    <t>MABINI (DOÑA ALICIA)</t>
  </si>
  <si>
    <t>Kinuban ES</t>
  </si>
  <si>
    <t>MACO</t>
  </si>
  <si>
    <t>New Barili PS</t>
  </si>
  <si>
    <t>Singanan PS</t>
  </si>
  <si>
    <t>Calabcab PS</t>
  </si>
  <si>
    <t>Mahayahay ES</t>
  </si>
  <si>
    <t>MARAGUSAN (SAN MARIANO)</t>
  </si>
  <si>
    <t>New Negros ES</t>
  </si>
  <si>
    <t>Lonolono ES</t>
  </si>
  <si>
    <t>MAWAB</t>
  </si>
  <si>
    <t>Mahayag PS</t>
  </si>
  <si>
    <t>San Vicente PS</t>
  </si>
  <si>
    <t>Tan-Awan ES</t>
  </si>
  <si>
    <t>Anagase Elementary School</t>
  </si>
  <si>
    <t>MONKAYO</t>
  </si>
  <si>
    <t>Mabanda PS</t>
  </si>
  <si>
    <t>MONTEVISTA</t>
  </si>
  <si>
    <t>Prosperidad Tribal PS</t>
  </si>
  <si>
    <t>Andap ES</t>
  </si>
  <si>
    <t>NEW BATAAN</t>
  </si>
  <si>
    <t>Boringot ES</t>
  </si>
  <si>
    <t>PANTUKAN</t>
  </si>
  <si>
    <t>Diat ES</t>
  </si>
  <si>
    <t>Liniputan ES</t>
  </si>
  <si>
    <t>Panganason ES</t>
  </si>
  <si>
    <t>Pulang Lupa PS</t>
  </si>
  <si>
    <t>Tagaytay ES</t>
  </si>
  <si>
    <t>NABUNTURAN (Capital)</t>
  </si>
  <si>
    <t>Sapawan ES</t>
  </si>
  <si>
    <t>Paco ES</t>
  </si>
  <si>
    <t>Tadya PS</t>
  </si>
  <si>
    <t>Tugunan ES</t>
  </si>
  <si>
    <t>Upper Camili ES</t>
  </si>
  <si>
    <t>Liboac PS</t>
  </si>
  <si>
    <t>Cabanggatan PS</t>
  </si>
  <si>
    <t>Limot ES</t>
  </si>
  <si>
    <t>Bango NHS</t>
  </si>
  <si>
    <t>Davao del Norte</t>
  </si>
  <si>
    <t>ASUNCION (SAUG)</t>
  </si>
  <si>
    <t>Kauswagan PS</t>
  </si>
  <si>
    <t>NEW CORELLA</t>
  </si>
  <si>
    <t>Paiton ES</t>
  </si>
  <si>
    <t>TALAINGOD</t>
  </si>
  <si>
    <t>Davao del Sur</t>
  </si>
  <si>
    <t>Fred Johnson ES</t>
  </si>
  <si>
    <t>DON MARCELINO</t>
  </si>
  <si>
    <t>Linadasan ES</t>
  </si>
  <si>
    <t>Maltusan ES</t>
  </si>
  <si>
    <t>Thomas Jhonson ES</t>
  </si>
  <si>
    <t>Mangili ES</t>
  </si>
  <si>
    <t>JOSE ABAD SANTOS (TRINIDAD)</t>
  </si>
  <si>
    <t>Domino ES</t>
  </si>
  <si>
    <t>KIBLAWAN</t>
  </si>
  <si>
    <t>Nodilla PS</t>
  </si>
  <si>
    <t>Aglaungan ES</t>
  </si>
  <si>
    <t>MALITA</t>
  </si>
  <si>
    <t>Biao ES</t>
  </si>
  <si>
    <t>Domingo Bautista Sr. ES</t>
  </si>
  <si>
    <t>Guisok PS</t>
  </si>
  <si>
    <t>Kitana PS</t>
  </si>
  <si>
    <t>Lafeud PS</t>
  </si>
  <si>
    <t>Lorenzo Manuel PS</t>
  </si>
  <si>
    <t>Mote PS</t>
  </si>
  <si>
    <t>Nawan PS</t>
  </si>
  <si>
    <t>Sarawagon PS</t>
  </si>
  <si>
    <t>Datu Danwata ES</t>
  </si>
  <si>
    <t>Santagose ES</t>
  </si>
  <si>
    <t>Tical ES</t>
  </si>
  <si>
    <t>Asinan ES</t>
  </si>
  <si>
    <t>MATANAO</t>
  </si>
  <si>
    <t>Langa-an ES</t>
  </si>
  <si>
    <t>Langan ES</t>
  </si>
  <si>
    <t>Tubison ES</t>
  </si>
  <si>
    <t>Patulangon ES</t>
  </si>
  <si>
    <t>Kinilidan ES</t>
  </si>
  <si>
    <t>Lanete ES</t>
  </si>
  <si>
    <t>Malagsom PS</t>
  </si>
  <si>
    <t>Kangko ES</t>
  </si>
  <si>
    <t>Kisawel ES</t>
  </si>
  <si>
    <t>Sitio Guisok-BEAM PS</t>
  </si>
  <si>
    <t>TFS-Makalong ES</t>
  </si>
  <si>
    <t>Bolo-bolo ES</t>
  </si>
  <si>
    <t>TFS-Kitastas PS</t>
  </si>
  <si>
    <t>TFS-Malandeg PS</t>
  </si>
  <si>
    <t>TFS-Bilibak PS</t>
  </si>
  <si>
    <t>TFS-Tabunan PS</t>
  </si>
  <si>
    <t>TFS-Kamugna ES</t>
  </si>
  <si>
    <t>TFS-Tambelang PS</t>
  </si>
  <si>
    <t>TFS-Kalamagan PS</t>
  </si>
  <si>
    <t>Gusatbak PS</t>
  </si>
  <si>
    <t>Fagligdong PS</t>
  </si>
  <si>
    <t>Malandog PS</t>
  </si>
  <si>
    <t>Davao Oriental</t>
  </si>
  <si>
    <t>Poo ES</t>
  </si>
  <si>
    <t>BAGANGA</t>
  </si>
  <si>
    <t>Sunlon ES</t>
  </si>
  <si>
    <t>Batiano ES</t>
  </si>
  <si>
    <t>Coog ES</t>
  </si>
  <si>
    <t>Tigbawan ES</t>
  </si>
  <si>
    <t>Baclinan PS</t>
  </si>
  <si>
    <t>BOSTON</t>
  </si>
  <si>
    <t>Buko-Buko PS</t>
  </si>
  <si>
    <t>Cabasagan ES</t>
  </si>
  <si>
    <t>Carabatuan ES</t>
  </si>
  <si>
    <t>Cauwayanan PS</t>
  </si>
  <si>
    <t>Sibajay ES</t>
  </si>
  <si>
    <t>DRFS Estate PS</t>
  </si>
  <si>
    <t>Mailum PS</t>
  </si>
  <si>
    <t>Papag PS</t>
  </si>
  <si>
    <t>Payag PS</t>
  </si>
  <si>
    <t>Balete PS</t>
  </si>
  <si>
    <t>Bantay ES</t>
  </si>
  <si>
    <t>Caningag ES</t>
  </si>
  <si>
    <t>Diat PS</t>
  </si>
  <si>
    <t>Maglahos PS</t>
  </si>
  <si>
    <t>Magsayap ES</t>
  </si>
  <si>
    <t>Abihod ES</t>
  </si>
  <si>
    <t>CATEEL</t>
  </si>
  <si>
    <t>Baybay PS</t>
  </si>
  <si>
    <t>Judge Ernesto Nombrado MPS</t>
  </si>
  <si>
    <t>Mainit ES</t>
  </si>
  <si>
    <t>Aliwagwag ES</t>
  </si>
  <si>
    <t>Maglahus ES</t>
  </si>
  <si>
    <t>Malibago ES</t>
  </si>
  <si>
    <t>Patong PS</t>
  </si>
  <si>
    <t>Sabangan ES</t>
  </si>
  <si>
    <t>San Lorenzo PS</t>
  </si>
  <si>
    <t>Spur-2 ES</t>
  </si>
  <si>
    <t>Yapsay ES</t>
  </si>
  <si>
    <t>Mati City</t>
  </si>
  <si>
    <t>Badiang Elementary School</t>
  </si>
  <si>
    <t>GOVERNOR GENEROSO</t>
  </si>
  <si>
    <t>Matigdao ES</t>
  </si>
  <si>
    <t>LUPON</t>
  </si>
  <si>
    <t>Immaculada ES</t>
  </si>
  <si>
    <t>Malig ES</t>
  </si>
  <si>
    <t>Tiombocan Elementary School</t>
  </si>
  <si>
    <t>Bongan Taleon Tinggoy PS</t>
  </si>
  <si>
    <t>MANAY</t>
  </si>
  <si>
    <t>Caipoc PS</t>
  </si>
  <si>
    <t>Calinawan ES</t>
  </si>
  <si>
    <t>Catabuanan PS</t>
  </si>
  <si>
    <t>New Macopa ES</t>
  </si>
  <si>
    <t>New Madsayap ES</t>
  </si>
  <si>
    <t>Pagsilaan ES</t>
  </si>
  <si>
    <t>Tengson ES</t>
  </si>
  <si>
    <t>A.S. Manjoorsa ES</t>
  </si>
  <si>
    <t>TARRAGONA</t>
  </si>
  <si>
    <t>Baisan ES</t>
  </si>
  <si>
    <t>D. Andan PS</t>
  </si>
  <si>
    <t>P-Basog ES</t>
  </si>
  <si>
    <t>Sigang Elementary School</t>
  </si>
  <si>
    <t>Boston NHS</t>
  </si>
  <si>
    <t>Digos City</t>
  </si>
  <si>
    <t>Digos City NHS - Balabag HS Annex</t>
  </si>
  <si>
    <t>CITY OF DIGOS (Capital)</t>
  </si>
  <si>
    <t>Digos City NHS - Soong HS Annex</t>
  </si>
  <si>
    <t>Island Garden City of Samal</t>
  </si>
  <si>
    <t>Tagluno ES</t>
  </si>
  <si>
    <t>ISLAND GARDEN CITY OF SAMAL</t>
  </si>
  <si>
    <t>Tayapoc ES</t>
  </si>
  <si>
    <t>Cangusan Elementary School</t>
  </si>
  <si>
    <t>CITY OF MATI (Capital)</t>
  </si>
  <si>
    <t>Region XII</t>
  </si>
  <si>
    <t>Kidapawan City</t>
  </si>
  <si>
    <t>Macebolig IS</t>
  </si>
  <si>
    <t>CITY OF KIDAPAWAN (Capital)</t>
  </si>
  <si>
    <t>Nuangan Integrated School</t>
  </si>
  <si>
    <t>Puasinda Integrated School</t>
  </si>
  <si>
    <t>Koronadal City</t>
  </si>
  <si>
    <t>Olu-mlao ES</t>
  </si>
  <si>
    <t>CITY OF KORONADAL (Capital)</t>
  </si>
  <si>
    <t>El Gawel Primary School</t>
  </si>
  <si>
    <t>North Cotabato</t>
  </si>
  <si>
    <t>Maracabac ES</t>
  </si>
  <si>
    <t>ALAMADA</t>
  </si>
  <si>
    <t>Dungguan ES</t>
  </si>
  <si>
    <t>ALEOSAN</t>
  </si>
  <si>
    <t>Datu Embangan PS</t>
  </si>
  <si>
    <t>ANTIPAS</t>
  </si>
  <si>
    <t>Anuling PS</t>
  </si>
  <si>
    <t>ARAKAN</t>
  </si>
  <si>
    <t>Kapayahan PS</t>
  </si>
  <si>
    <t>Katindu ES</t>
  </si>
  <si>
    <t>Kiatao PS</t>
  </si>
  <si>
    <t>Kulaman ES</t>
  </si>
  <si>
    <t>Lumbo PS</t>
  </si>
  <si>
    <t>Balindong PS</t>
  </si>
  <si>
    <t>BANISILAN</t>
  </si>
  <si>
    <t>Kudon Elementary School</t>
  </si>
  <si>
    <t>Sabang PS</t>
  </si>
  <si>
    <t>BAROYON ELEMENTARY SCHOOL</t>
  </si>
  <si>
    <t>Macabenban ES</t>
  </si>
  <si>
    <t>Mesopa PS</t>
  </si>
  <si>
    <t>New Bentangan PS</t>
  </si>
  <si>
    <t>Old Bentangan ES</t>
  </si>
  <si>
    <t>Tawagon PS</t>
  </si>
  <si>
    <t>Bai Matabay Piang MPS</t>
  </si>
  <si>
    <t>Kibenes ES</t>
  </si>
  <si>
    <t>Langogan Elementary School</t>
  </si>
  <si>
    <t>Palanggalan ES</t>
  </si>
  <si>
    <t>Sambag PS</t>
  </si>
  <si>
    <t>Buluan ES</t>
  </si>
  <si>
    <t>KABACAN</t>
  </si>
  <si>
    <t>Malabuaya ES</t>
  </si>
  <si>
    <t>Don Panaca ES</t>
  </si>
  <si>
    <t>MAGPET</t>
  </si>
  <si>
    <t>Lubas PS</t>
  </si>
  <si>
    <t>Owas ES</t>
  </si>
  <si>
    <t>Timodos PS</t>
  </si>
  <si>
    <t>Datu Celo ES</t>
  </si>
  <si>
    <t>Balawan ES</t>
  </si>
  <si>
    <t>MAKILALA</t>
  </si>
  <si>
    <t>Layangan ES</t>
  </si>
  <si>
    <t>MATALAM</t>
  </si>
  <si>
    <t>New Xavier ES</t>
  </si>
  <si>
    <t>Arakan PS</t>
  </si>
  <si>
    <t>Ilian ES</t>
  </si>
  <si>
    <t>Kudarangan ES</t>
  </si>
  <si>
    <t>MIDSAYAP</t>
  </si>
  <si>
    <t>Macasendeg ES</t>
  </si>
  <si>
    <t>Mudseng ES</t>
  </si>
  <si>
    <t>Kadingilan ES (Pagao Memorial)</t>
  </si>
  <si>
    <t>Datu Guilem Piang ES (Upper Olandang ES)</t>
  </si>
  <si>
    <t>Balacayon Primary School</t>
  </si>
  <si>
    <t>PIGKAWAYAN</t>
  </si>
  <si>
    <t>Buricain Elementary School</t>
  </si>
  <si>
    <t>KADINGILAN ELEMENTARY SCHOOL</t>
  </si>
  <si>
    <t>Matilac ES</t>
  </si>
  <si>
    <t>Balongis ES</t>
  </si>
  <si>
    <t>PIKIT</t>
  </si>
  <si>
    <t>Bulod ES</t>
  </si>
  <si>
    <t>Binandal PS</t>
  </si>
  <si>
    <t>Langayen ES</t>
  </si>
  <si>
    <t>Dulangan M. Abid ES</t>
  </si>
  <si>
    <t>Calixta Daguman ES</t>
  </si>
  <si>
    <t>PRESIDENT ROXAS</t>
  </si>
  <si>
    <t>Guinto ES</t>
  </si>
  <si>
    <t>Hope PS</t>
  </si>
  <si>
    <t>Kimahuring PS</t>
  </si>
  <si>
    <t>Lamalama ES</t>
  </si>
  <si>
    <t>Kabinuangan PS (Lawitan)</t>
  </si>
  <si>
    <t>Tahongtong PS</t>
  </si>
  <si>
    <t>Tarinan PS</t>
  </si>
  <si>
    <t>Sumakwelan PS</t>
  </si>
  <si>
    <t>Batang ES</t>
  </si>
  <si>
    <t>TULUNAN</t>
  </si>
  <si>
    <t>Kulawan ES</t>
  </si>
  <si>
    <t>Paco-Paco ES</t>
  </si>
  <si>
    <t>West Patadon PS</t>
  </si>
  <si>
    <t>Buay-Buay PS</t>
  </si>
  <si>
    <t>Noa PS Annex</t>
  </si>
  <si>
    <t>Guntong ES</t>
  </si>
  <si>
    <t>Malugasa PS</t>
  </si>
  <si>
    <t>Dabpil Sampulna ES</t>
  </si>
  <si>
    <t>Tabunan ES</t>
  </si>
  <si>
    <t>Kulog ES</t>
  </si>
  <si>
    <t>Kilabao PS</t>
  </si>
  <si>
    <t>Mahongkog PS Annex</t>
  </si>
  <si>
    <t>Kalalagan PS</t>
  </si>
  <si>
    <t>Temporan PS Annex</t>
  </si>
  <si>
    <t>Datu Mantil PS</t>
  </si>
  <si>
    <t>Senior Malao ES</t>
  </si>
  <si>
    <t>Sinayawan ES</t>
  </si>
  <si>
    <t>Dilanggalen PS</t>
  </si>
  <si>
    <t>Tamped ES - Dilutan PS Annex</t>
  </si>
  <si>
    <t>Simbuhay ES - Mulita PS Annex</t>
  </si>
  <si>
    <t>Pidatan ES</t>
  </si>
  <si>
    <t>Talha ES</t>
  </si>
  <si>
    <t>Dangleg Primary School</t>
  </si>
  <si>
    <t>Eden Elementary School-Maligaya Primary School Annex</t>
  </si>
  <si>
    <t>Cebomailo Primary School Annex</t>
  </si>
  <si>
    <t>Agustin Doneza PS</t>
  </si>
  <si>
    <t>Busay PS</t>
  </si>
  <si>
    <t>Sitio Mainit PS</t>
  </si>
  <si>
    <t>Rajah Sumonsang Dilangalen PS</t>
  </si>
  <si>
    <t>Migcuan ElementarySchool</t>
  </si>
  <si>
    <t>Malik Mem. ES</t>
  </si>
  <si>
    <t>Lower Saguing PS</t>
  </si>
  <si>
    <t>Banawa ES</t>
  </si>
  <si>
    <t>M'LANG</t>
  </si>
  <si>
    <t>Tulunan ES</t>
  </si>
  <si>
    <t>Diosdado Almarines ES</t>
  </si>
  <si>
    <t>Langka ES</t>
  </si>
  <si>
    <t>Matilac HS</t>
  </si>
  <si>
    <t>Salunayan NHS-Dabpil Sampulna Olandang HS Annex</t>
  </si>
  <si>
    <t>Bagumbayan HS</t>
  </si>
  <si>
    <t>Kitubod HS</t>
  </si>
  <si>
    <t>LIBUNGAN</t>
  </si>
  <si>
    <t>Datu Ladayon  HS</t>
  </si>
  <si>
    <t>Kiaring HS</t>
  </si>
  <si>
    <t>Simone HS</t>
  </si>
  <si>
    <t>Sarangani</t>
  </si>
  <si>
    <t>Datal Conde Elementary School</t>
  </si>
  <si>
    <t>ALABEL (Capital)</t>
  </si>
  <si>
    <t>Kiangkos ES</t>
  </si>
  <si>
    <t>Latian ES</t>
  </si>
  <si>
    <t>Pait IS</t>
  </si>
  <si>
    <t>Pongoleel IS</t>
  </si>
  <si>
    <t>Upper Domolok ES</t>
  </si>
  <si>
    <t>Alejandro Escobar ES</t>
  </si>
  <si>
    <t>GLAN</t>
  </si>
  <si>
    <t>Banlas ES</t>
  </si>
  <si>
    <t>Kaltuad ES</t>
  </si>
  <si>
    <t>Kapanal ES</t>
  </si>
  <si>
    <t>KIAMBA</t>
  </si>
  <si>
    <t>Bo. Site Primary School</t>
  </si>
  <si>
    <t>MAASIM</t>
  </si>
  <si>
    <t>Kyumad IS</t>
  </si>
  <si>
    <t>Lamlabong Integrated School</t>
  </si>
  <si>
    <t>Virginia Tanedo Garcia (Balunok) ES</t>
  </si>
  <si>
    <t>MAITUM</t>
  </si>
  <si>
    <t>Batian PS</t>
  </si>
  <si>
    <t>Reganit (Maguling) ES</t>
  </si>
  <si>
    <t>Tuanadatu ES</t>
  </si>
  <si>
    <t>Del Hilado ES</t>
  </si>
  <si>
    <t>MALAPATAN</t>
  </si>
  <si>
    <t>Malkahi Elementary School</t>
  </si>
  <si>
    <t>Baliton ES</t>
  </si>
  <si>
    <t>MALUNGON</t>
  </si>
  <si>
    <t>Kibawalan Elementary School</t>
  </si>
  <si>
    <t>Tangali IS</t>
  </si>
  <si>
    <t>Ambang ES</t>
  </si>
  <si>
    <t>Balitangan ES</t>
  </si>
  <si>
    <t>Datal Baca ES</t>
  </si>
  <si>
    <t>Kisablay ES</t>
  </si>
  <si>
    <t>Lamlinol ES</t>
  </si>
  <si>
    <t>Manabawon ES</t>
  </si>
  <si>
    <t>Mateo ES</t>
  </si>
  <si>
    <t>Blat ES</t>
  </si>
  <si>
    <t>Pitak ES</t>
  </si>
  <si>
    <t>Pikong ES</t>
  </si>
  <si>
    <t>Aspang Elementary School</t>
  </si>
  <si>
    <t>Lanao Kapanglao ES</t>
  </si>
  <si>
    <t>Nop ES</t>
  </si>
  <si>
    <t>Saliluk L. Macantal ES</t>
  </si>
  <si>
    <t>Nicomedes I. Sunio ES</t>
  </si>
  <si>
    <t>Pedro Cabales PS</t>
  </si>
  <si>
    <t>Pedro M. Buen Sr. ES</t>
  </si>
  <si>
    <t>Tabotong ES</t>
  </si>
  <si>
    <t>James Alfred Strong ES</t>
  </si>
  <si>
    <t>Adelina Tuardon Recto PS</t>
  </si>
  <si>
    <t>Severino Ibon, Sr. ES</t>
  </si>
  <si>
    <t>Matingao PS</t>
  </si>
  <si>
    <t>Langaran PS</t>
  </si>
  <si>
    <t>Lebe PS</t>
  </si>
  <si>
    <t>Kisoy PS</t>
  </si>
  <si>
    <t>D. Masalon Y. Recto PS</t>
  </si>
  <si>
    <t>Green Valley PS</t>
  </si>
  <si>
    <t>Kalbangan PS</t>
  </si>
  <si>
    <t>Kanyugan PS</t>
  </si>
  <si>
    <t>Lamlangil PS</t>
  </si>
  <si>
    <t>Nian Integrated School</t>
  </si>
  <si>
    <t>Roque Adarna IS</t>
  </si>
  <si>
    <t>Datal Bila IS</t>
  </si>
  <si>
    <t>Malabod IS</t>
  </si>
  <si>
    <t>Cablalan IS</t>
  </si>
  <si>
    <t>Alabel Central Integrated SPED Center</t>
  </si>
  <si>
    <t>Lamlabong IS</t>
  </si>
  <si>
    <t>Dalamuan IS</t>
  </si>
  <si>
    <t>South Cotabato</t>
  </si>
  <si>
    <t>Kataan ES</t>
  </si>
  <si>
    <t>BANGA</t>
  </si>
  <si>
    <t>Lamtabong ES</t>
  </si>
  <si>
    <t>Sancho ES</t>
  </si>
  <si>
    <t>Ebenezer ES</t>
  </si>
  <si>
    <t>Lam-asam ES</t>
  </si>
  <si>
    <t>Lamkot Elementary School</t>
  </si>
  <si>
    <t>T'boyung ES</t>
  </si>
  <si>
    <t>LAKE SEBU</t>
  </si>
  <si>
    <t>Ubo ES</t>
  </si>
  <si>
    <t>El Kuda ES</t>
  </si>
  <si>
    <t>NORALA</t>
  </si>
  <si>
    <t>Bukay-eel PS</t>
  </si>
  <si>
    <t>POLOMOLOK</t>
  </si>
  <si>
    <t>Guaza PS</t>
  </si>
  <si>
    <t>Kawit ES</t>
  </si>
  <si>
    <t>Defensor ES</t>
  </si>
  <si>
    <t>SURALLAH</t>
  </si>
  <si>
    <t>Upper Talahik ES</t>
  </si>
  <si>
    <t>Datal Nabong ES</t>
  </si>
  <si>
    <t>T'BOLI</t>
  </si>
  <si>
    <t>Datal Tablo PS</t>
  </si>
  <si>
    <t>Demamis ES</t>
  </si>
  <si>
    <t>Kebuling PS</t>
  </si>
  <si>
    <t>Lamla ES</t>
  </si>
  <si>
    <t>Tabudtod ES</t>
  </si>
  <si>
    <t>Maltana ES</t>
  </si>
  <si>
    <t>TAMPAKAN</t>
  </si>
  <si>
    <t>Tokay Mal ES</t>
  </si>
  <si>
    <t>Balnabo PS</t>
  </si>
  <si>
    <t>Coong ES</t>
  </si>
  <si>
    <t>Bato PS</t>
  </si>
  <si>
    <t>Lambusong ES</t>
  </si>
  <si>
    <t>Gumama PS</t>
  </si>
  <si>
    <t>Talambongan ES</t>
  </si>
  <si>
    <t>TANTANGAN</t>
  </si>
  <si>
    <t>Lembotu PS</t>
  </si>
  <si>
    <t>Salabanog ES</t>
  </si>
  <si>
    <t>Lake Soluton Integrated HS</t>
  </si>
  <si>
    <t>Sultan Kudarat</t>
  </si>
  <si>
    <t>Alas-as Upper PS</t>
  </si>
  <si>
    <t>BAGUMBAYAN</t>
  </si>
  <si>
    <t>Bacalto ES</t>
  </si>
  <si>
    <t>Campo 3 ES</t>
  </si>
  <si>
    <t>Kipuso PS</t>
  </si>
  <si>
    <t>New Datal PS</t>
  </si>
  <si>
    <t>Balisan PS</t>
  </si>
  <si>
    <t>COLUMBIO</t>
  </si>
  <si>
    <t>New Ilocos ES</t>
  </si>
  <si>
    <t>Lasak ES</t>
  </si>
  <si>
    <t>Limonzo PS</t>
  </si>
  <si>
    <t>New Bantangan ES</t>
  </si>
  <si>
    <t>Old Bantangan ES</t>
  </si>
  <si>
    <t>Sal-naong PS</t>
  </si>
  <si>
    <t>Mantisao ES</t>
  </si>
  <si>
    <t>ISULAN (Capital)</t>
  </si>
  <si>
    <t>Minorok ES</t>
  </si>
  <si>
    <t>KALAMANSIG</t>
  </si>
  <si>
    <t>SEN. NINOY AQUINO</t>
  </si>
  <si>
    <t>Bunay ES</t>
  </si>
  <si>
    <t>Malegdeg Primary School</t>
  </si>
  <si>
    <t>Sapale PS</t>
  </si>
  <si>
    <t>Bagsing PS</t>
  </si>
  <si>
    <t>Paraiso PS</t>
  </si>
  <si>
    <t>Pinandian ES</t>
  </si>
  <si>
    <t>Pinguiman PS</t>
  </si>
  <si>
    <t>LAMBAYONG (MARIANO MARCOS)</t>
  </si>
  <si>
    <t>Caridad ES</t>
  </si>
  <si>
    <t>New Cebu PS</t>
  </si>
  <si>
    <t>Tinumigues ES</t>
  </si>
  <si>
    <t>Kimakang ES</t>
  </si>
  <si>
    <t>LEBAK</t>
  </si>
  <si>
    <t>Badiangon ES</t>
  </si>
  <si>
    <t>PALIMBANG</t>
  </si>
  <si>
    <t>Baranayan PS</t>
  </si>
  <si>
    <t>Dumolol E/S</t>
  </si>
  <si>
    <t>Plamango ES (transfer from Kalamansig II, St. Andrew B)</t>
  </si>
  <si>
    <t>Spur 2 PS</t>
  </si>
  <si>
    <t>Wal ES</t>
  </si>
  <si>
    <t>Lifi-Lifian PS</t>
  </si>
  <si>
    <t>Mauno PS</t>
  </si>
  <si>
    <t>Ugis PS</t>
  </si>
  <si>
    <t>Manobo Village PS</t>
  </si>
  <si>
    <t>Tudog PS</t>
  </si>
  <si>
    <t>Montani Pelangking PS</t>
  </si>
  <si>
    <t>Baumol ES</t>
  </si>
  <si>
    <t>Balnate PS</t>
  </si>
  <si>
    <t>Kabanalian PS</t>
  </si>
  <si>
    <t>Tiger ES</t>
  </si>
  <si>
    <t>Laguilayan NHS - Sultan Ali Akbar Sinenggayan HS Annex</t>
  </si>
  <si>
    <t>Tacurong City</t>
  </si>
  <si>
    <t>Upper Katungal National High School-TNHS Annex</t>
  </si>
  <si>
    <t>CITY OF TACURONG</t>
  </si>
  <si>
    <t>Danipas NHS Labisma Annex</t>
  </si>
  <si>
    <t>NIR</t>
  </si>
  <si>
    <t>Approved by:</t>
  </si>
  <si>
    <t>BASIC EDUCATIONAL FACILITIES FUND</t>
  </si>
  <si>
    <t>Category</t>
  </si>
  <si>
    <t>Batch</t>
  </si>
  <si>
    <t>CONTRACT AMOUNT</t>
  </si>
  <si>
    <t>PERCENTAGE OF COMPLETION</t>
  </si>
  <si>
    <t xml:space="preserve"> Target Completion Date </t>
  </si>
  <si>
    <t>Actual Date of Completion</t>
  </si>
  <si>
    <t>Project ID</t>
  </si>
  <si>
    <t>Contract ID</t>
  </si>
  <si>
    <t>Issuance of Invitation to Bid</t>
  </si>
  <si>
    <t>Issuance of Notice to Proceed</t>
  </si>
  <si>
    <t>Name of Contractor</t>
  </si>
  <si>
    <t>Other Remarks</t>
  </si>
  <si>
    <t>No. of Sites Reverted</t>
  </si>
  <si>
    <t>No. of Sites Not yet started</t>
  </si>
  <si>
    <t>No. of Sites Under Procurement</t>
  </si>
  <si>
    <t>No. of Sites On Going</t>
  </si>
  <si>
    <t>No. of Sites Completed</t>
  </si>
  <si>
    <t>No. of Sites Terminated</t>
  </si>
  <si>
    <t>No. of Site Reverted</t>
  </si>
  <si>
    <t>No. of Site Not yet started</t>
  </si>
  <si>
    <t>No. of Site Under Procurement</t>
  </si>
  <si>
    <t>No. of Site On Going</t>
  </si>
  <si>
    <t>No. of Site Completed</t>
  </si>
  <si>
    <t>No. of Site Terminated</t>
  </si>
  <si>
    <t>WITH TRANSFOPMER (Y/N)</t>
  </si>
  <si>
    <t>PREVIOUS ACCOMPLISHMENT</t>
  </si>
  <si>
    <t>DIFFERENCE</t>
  </si>
  <si>
    <t>Projected Date of Completion</t>
  </si>
  <si>
    <t>Month Completed</t>
  </si>
  <si>
    <t>CATEGORY 2</t>
  </si>
  <si>
    <t>UPGRADING</t>
  </si>
  <si>
    <t>Y</t>
  </si>
  <si>
    <t>QUIRINO</t>
  </si>
  <si>
    <t>Bulacan</t>
  </si>
  <si>
    <t>CAPIZ</t>
  </si>
  <si>
    <t>Mabini NHS</t>
  </si>
  <si>
    <t>Davao City</t>
  </si>
  <si>
    <t>DAVAO CITY</t>
  </si>
  <si>
    <t>E. Ramos NHS</t>
  </si>
  <si>
    <t>Binugao NHS</t>
  </si>
  <si>
    <t>Los Amigos NHS</t>
  </si>
  <si>
    <t>Marilog High School of Agriculture (Tech-Voc School)</t>
  </si>
  <si>
    <t>Marilog National High School</t>
  </si>
  <si>
    <t>Sirib NHS</t>
  </si>
  <si>
    <t>Sto. Niño National High School</t>
  </si>
  <si>
    <t>Calaocan ES</t>
  </si>
  <si>
    <t>Batolusa ES</t>
  </si>
  <si>
    <t>CANCELLED</t>
  </si>
  <si>
    <t>failure of bid and SARO lapsed</t>
  </si>
  <si>
    <t>ON GOING</t>
  </si>
  <si>
    <t>insufficient amount for transformer bill deposit</t>
  </si>
  <si>
    <t>ABRA</t>
  </si>
  <si>
    <t>ABRA Total</t>
  </si>
  <si>
    <t>ALAIN DEL B. PASCUA</t>
  </si>
  <si>
    <t>ANNALYN M. SEVILLA</t>
  </si>
  <si>
    <t>Undersecretary for Administration</t>
  </si>
  <si>
    <t>Undersecretary for Finance - BPM</t>
  </si>
  <si>
    <t>BENGUET</t>
  </si>
  <si>
    <t>BENGUET Total</t>
  </si>
  <si>
    <t>IFUGAO</t>
  </si>
  <si>
    <t>IFUGAO Total</t>
  </si>
  <si>
    <t>KALINGA</t>
  </si>
  <si>
    <t>KALINGA Total</t>
  </si>
  <si>
    <t>MOUNTAIN PROVINCE</t>
  </si>
  <si>
    <t>MOUNTAIN PROVINCE Total</t>
  </si>
  <si>
    <t>AGUSAN DEL NORTE</t>
  </si>
  <si>
    <t>FOR VERIFICATION OF AM</t>
  </si>
  <si>
    <t>AGUSAN DEL NORTE Total</t>
  </si>
  <si>
    <t>AGUSAN DEL SUR</t>
  </si>
  <si>
    <t>AGUSAN DEL SUR Total</t>
  </si>
  <si>
    <t>Bayugan City Total</t>
  </si>
  <si>
    <t>SURIGAO DEL NORTE</t>
  </si>
  <si>
    <t>SURIGAO DEL NORTE Total</t>
  </si>
  <si>
    <t>NEGROS OCCIDENTAL</t>
  </si>
  <si>
    <t>NEGROS OCCIDENTAL Total</t>
  </si>
  <si>
    <t>NEGROS ORIENTAL</t>
  </si>
  <si>
    <t>NEGROS ORIENTAL Total</t>
  </si>
  <si>
    <t>PANGASINAN</t>
  </si>
  <si>
    <t>PANGASINAN Total</t>
  </si>
  <si>
    <t>CAGAYAN</t>
  </si>
  <si>
    <t>CAGAYAN Total</t>
  </si>
  <si>
    <t>Isabela Total</t>
  </si>
  <si>
    <t>NUEVA VIZCAYA</t>
  </si>
  <si>
    <t>NUEVA VIZCAYA Total</t>
  </si>
  <si>
    <t>QUIRINO Total</t>
  </si>
  <si>
    <t>PAMPANGA</t>
  </si>
  <si>
    <t>PAMPANGA Total</t>
  </si>
  <si>
    <t>LAGUNA</t>
  </si>
  <si>
    <t>LAGUNA Total</t>
  </si>
  <si>
    <t>QUEZON Total</t>
  </si>
  <si>
    <t>MARINDUQUE</t>
  </si>
  <si>
    <t>MARINDUQUE Total</t>
  </si>
  <si>
    <t>OCCIDENTAL MINDORO</t>
  </si>
  <si>
    <t>OCCIDENTAL MINDORO Total</t>
  </si>
  <si>
    <t>PALAWAN</t>
  </si>
  <si>
    <t>PALAWAN Total</t>
  </si>
  <si>
    <t>Puerto Princesa City Total</t>
  </si>
  <si>
    <t>ZAMBOANGA DEL NORTE</t>
  </si>
  <si>
    <t>ZAMBOANGA DEL NORTE Total</t>
  </si>
  <si>
    <t>ZAMBOANGA DEL SUR</t>
  </si>
  <si>
    <t>ZAMBOANGA DEL SUR Total</t>
  </si>
  <si>
    <t>ZAMBOANGA SIBUGAY</t>
  </si>
  <si>
    <t>ZAMBOANGA SIBUGAY Total</t>
  </si>
  <si>
    <t>ALBAY</t>
  </si>
  <si>
    <t>ALBAY Total</t>
  </si>
  <si>
    <t>CAMARINES SUR</t>
  </si>
  <si>
    <t>CAMARINES SUR Total</t>
  </si>
  <si>
    <t>MASBATE</t>
  </si>
  <si>
    <t>MASBATE Total</t>
  </si>
  <si>
    <t>AKLAN</t>
  </si>
  <si>
    <t>AKLAN Total</t>
  </si>
  <si>
    <t>ANTIQUE</t>
  </si>
  <si>
    <t>ANTIQUE Total</t>
  </si>
  <si>
    <t>CAPIZ Total</t>
  </si>
  <si>
    <t>ILOILO</t>
  </si>
  <si>
    <t>ILOILO Total</t>
  </si>
  <si>
    <t>BOHOL</t>
  </si>
  <si>
    <t>BOHOL Total</t>
  </si>
  <si>
    <t>SIQUIJOR</t>
  </si>
  <si>
    <t>SIQUIJOR Total</t>
  </si>
  <si>
    <t>EASTERN SAMAR</t>
  </si>
  <si>
    <t>EASTERN SAMAR Total</t>
  </si>
  <si>
    <t>BUKIDNON</t>
  </si>
  <si>
    <t>BUKIDNON Total</t>
  </si>
  <si>
    <t>CAMIGUIN</t>
  </si>
  <si>
    <t>CAMIGUIN Total</t>
  </si>
  <si>
    <t>Lanao del Norte Total</t>
  </si>
  <si>
    <t>COMPOSTELA VALLEY</t>
  </si>
  <si>
    <t>COMPOSTELA VALLEY Total</t>
  </si>
  <si>
    <t>DAVAO DEL NORTE</t>
  </si>
  <si>
    <t>DAVAO DEL NORTE Total</t>
  </si>
  <si>
    <t>DAVAO DEL SUR</t>
  </si>
  <si>
    <t>DAVAO DEL SUR Total</t>
  </si>
  <si>
    <t>DAVAO ORIENTAL</t>
  </si>
  <si>
    <t>DAVAO ORIENTAL Total</t>
  </si>
  <si>
    <t>NORTH COTABATO</t>
  </si>
  <si>
    <t>NORTH COTABATO Total</t>
  </si>
  <si>
    <t>SOUTH COTABATO</t>
  </si>
  <si>
    <t>SOUTH COTABATO Total</t>
  </si>
  <si>
    <t>SULTAN KUDARAT</t>
  </si>
  <si>
    <t>SULTAN KUDARAT Total</t>
  </si>
  <si>
    <t>LMS 2024</t>
  </si>
  <si>
    <t>REGION I</t>
  </si>
  <si>
    <t>Cirilo Rabanal ES</t>
  </si>
  <si>
    <t>Iteb PS</t>
  </si>
  <si>
    <t>Mangayang ES</t>
  </si>
  <si>
    <t>Namanparan ES</t>
  </si>
  <si>
    <t>Calumpit ES</t>
  </si>
  <si>
    <t>Panagan ES</t>
  </si>
  <si>
    <t>Camagong ES</t>
  </si>
  <si>
    <t>REGION V</t>
  </si>
  <si>
    <t>REGION III</t>
  </si>
  <si>
    <t>REGION II</t>
  </si>
  <si>
    <t>LOT 2</t>
  </si>
  <si>
    <t>as of March 2026</t>
  </si>
  <si>
    <t>Santo Domingo</t>
  </si>
  <si>
    <t>Quirno (Angkaki)</t>
  </si>
  <si>
    <t>Naguilian</t>
  </si>
  <si>
    <t>Dupax Del Sur</t>
  </si>
  <si>
    <t>Diadi</t>
  </si>
  <si>
    <t>Done Remedios Trinidad</t>
  </si>
  <si>
    <t>Lagonoy</t>
  </si>
  <si>
    <t>Tinambac</t>
  </si>
  <si>
    <t>Caparispisan PS</t>
  </si>
  <si>
    <t>Pagudpud</t>
  </si>
  <si>
    <t>REGION IV-A</t>
  </si>
  <si>
    <t>REGION IV-B</t>
  </si>
  <si>
    <t>Cabanuangan ES</t>
  </si>
  <si>
    <t>Pitugo ES</t>
  </si>
  <si>
    <t>Ligpit Bantayan ES</t>
  </si>
  <si>
    <t>Banti ES</t>
  </si>
  <si>
    <t>Dilasag</t>
  </si>
  <si>
    <t>Bauan</t>
  </si>
  <si>
    <t>Guinayangan</t>
  </si>
  <si>
    <t>Bulalacao (San Pedro)</t>
  </si>
  <si>
    <t>LOT 1</t>
  </si>
  <si>
    <t>ONGOING</t>
  </si>
  <si>
    <t>Hawkstow Construction &amp; Development Corp</t>
  </si>
  <si>
    <t>December 30, 2025</t>
  </si>
  <si>
    <t>December 29, 2025</t>
  </si>
  <si>
    <t>December 2, 2025</t>
  </si>
  <si>
    <t>2025c-EFD(008)-BIII-CB025a-C145</t>
  </si>
  <si>
    <t>2025C-EFD-008-B3-NP2FB-087-C060</t>
  </si>
  <si>
    <t>May 2, 2026</t>
  </si>
  <si>
    <t>December 23, 2025</t>
  </si>
  <si>
    <t>November 8, 2025</t>
  </si>
  <si>
    <t>Waiting for the revised DAED</t>
  </si>
  <si>
    <t>LAST MILE  SCHOOLS</t>
  </si>
  <si>
    <t>District I</t>
  </si>
  <si>
    <t>District II</t>
  </si>
  <si>
    <t>LONE</t>
  </si>
  <si>
    <t>District III</t>
  </si>
  <si>
    <t>District IV</t>
  </si>
  <si>
    <t>STATUS
of DESIGN PHASE</t>
  </si>
  <si>
    <t>STATUS
of CONSTRUCTION PHASE</t>
  </si>
  <si>
    <t>NOT YET STARTED</t>
  </si>
  <si>
    <t>Pre-Bid Conference</t>
  </si>
  <si>
    <t>Opening of Technical Proposal</t>
  </si>
  <si>
    <t>Opening of Financial Proposal Proposal</t>
  </si>
  <si>
    <t>November 19, 2025</t>
  </si>
  <si>
    <t>December 9, 2025</t>
  </si>
  <si>
    <t>Dipaculao</t>
  </si>
  <si>
    <t>1 Storey - 3 CL (Rainwater Collector; Solar PV Energy 
System; Water System; SF)</t>
  </si>
  <si>
    <t>2 Storey - 3 CL (Rainwater Collector; Solar PV Energy 
System; Water System; SF)</t>
  </si>
  <si>
    <t>3 Storey - 3 CL (Rainwater Collector; Solar PV Energy 
System; Water System; SF)</t>
  </si>
  <si>
    <t>4 Storey - 3 CL (Rainwater Collector; Solar PV Energy 
System; Water System; SF)</t>
  </si>
  <si>
    <t>5 Storey - 3 CL (Rainwater Collector; Solar PV Energy 
System; Water System; SF)</t>
  </si>
  <si>
    <t>6 Storey - 3 CL (Rainwater Collector; Solar PV Energy 
System; Water System; SF)</t>
  </si>
  <si>
    <t>7 Storey - 3 CL (Rainwater Collector; Solar PV Energy 
System; Water System; SF)</t>
  </si>
  <si>
    <t>8 Storey - 3 CL (Rainwater Collector; Solar PV Energy 
System; Water System; SF)</t>
  </si>
  <si>
    <t>9 Storey - 3 CL (Rainwater Collector; Solar PV Energy 
System; Water System; SF)</t>
  </si>
  <si>
    <t>10 Storey - 3 CL (Rainwater Collector; Solar PV Energy 
System; Water System; SF)</t>
  </si>
  <si>
    <t>11 Storey - 3 CL (Rainwater Collector; Solar PV Energy 
System; Water System; SF)</t>
  </si>
  <si>
    <t>12 Storey - 3 CL (Rainwater Collector; Solar PV Energy 
System; Water System; SF)</t>
  </si>
  <si>
    <t>13 Storey - 3 CL (Rainwater Collector; Solar PV Energy 
System; Water System; SF)</t>
  </si>
  <si>
    <t>14 Storey - 3 CL (Rainwater Collector; Solar PV Energy 
System; Water System; SF)</t>
  </si>
  <si>
    <t xml:space="preserve">Project Allocation </t>
  </si>
  <si>
    <t>Issuance of Notice of Award</t>
  </si>
  <si>
    <t>Negotiation</t>
  </si>
  <si>
    <t>Opening of Quotation</t>
  </si>
  <si>
    <t>December 22, 2025</t>
  </si>
  <si>
    <t>-</t>
  </si>
  <si>
    <t>Request for Quotation</t>
  </si>
  <si>
    <t>December 19, 2025</t>
  </si>
  <si>
    <t>Division Engineer</t>
  </si>
  <si>
    <t>Engr. Danilo Torres</t>
  </si>
  <si>
    <t>0991-629-0014</t>
  </si>
  <si>
    <t>danilo.torres@deped.gov.ph</t>
  </si>
  <si>
    <t>Engr. John Albert Tiquis</t>
  </si>
  <si>
    <t>0917-790-2979</t>
  </si>
  <si>
    <t>johnalbert.tiquis@deped.gov.ph</t>
  </si>
  <si>
    <t>Engr. Daniel Hutamares</t>
  </si>
  <si>
    <t>0917-154-9980</t>
  </si>
  <si>
    <t>danieljr.hutamares@deped.gov.ph</t>
  </si>
  <si>
    <t>Engr. Apolinario Dimaculangan</t>
  </si>
  <si>
    <t>0917-123-3600</t>
  </si>
  <si>
    <t>jnarvato@gmail.com</t>
  </si>
  <si>
    <t>Engr. Teddy Quiba</t>
  </si>
  <si>
    <t>0917-706-7432</t>
  </si>
  <si>
    <t>teddy.quiba@deped.gov.ph</t>
  </si>
  <si>
    <t>Engr. Jerwin Flores</t>
  </si>
  <si>
    <t>0999-175-2373</t>
  </si>
  <si>
    <t>jerwin.flores@deped.gov.ph</t>
  </si>
  <si>
    <t>Ar. Christopher Dominguez</t>
  </si>
  <si>
    <t>0906-131-5604</t>
  </si>
  <si>
    <t>christopher.dominguez@deped.gov.ph</t>
  </si>
  <si>
    <t>Engr. Carl Paulo Fernando</t>
  </si>
  <si>
    <t>0977-845-8054</t>
  </si>
  <si>
    <t>carlpaulo.fernando@deped.gov.ph</t>
  </si>
  <si>
    <t>Engr. Jonathan Narvato</t>
  </si>
  <si>
    <t>0908-262-0197</t>
  </si>
  <si>
    <t>Engr. Ericson Agustin</t>
  </si>
  <si>
    <t>0927-001-2007</t>
  </si>
  <si>
    <t>ericson.agustin@deped.gov.ph</t>
  </si>
  <si>
    <t>Cellphone Number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</si>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</sst>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409]mmmm\ d\,\ yyyy"/>
    <numFmt numFmtId="167" formatCode="[$-409]d\-mmm\-yy"/>
    <numFmt numFmtId="168" formatCode="[$-409]mmmm\ d\,\ yyyy;@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3"/>
      <color theme="1"/>
      <name val="Calibri"/>
      <family val="2"/>
    </font>
    <font>
      <b/>
      <u/>
      <sz val="13"/>
      <color theme="1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ajor"/>
    </font>
    <font>
      <b/>
      <sz val="20"/>
      <name val="Calibri"/>
      <family val="2"/>
      <scheme val="major"/>
    </font>
    <font>
      <b/>
      <sz val="20"/>
      <color theme="1"/>
      <name val="Calibri"/>
      <family val="2"/>
    </font>
    <font>
      <b/>
      <sz val="22"/>
      <color theme="1"/>
      <name val="Calibri"/>
      <family val="2"/>
      <scheme val="major"/>
    </font>
    <font>
      <sz val="22"/>
      <color theme="1"/>
      <name val="Calibri"/>
      <family val="2"/>
      <scheme val="major"/>
    </font>
    <font>
      <sz val="2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u/>
      <sz val="11"/>
      <color theme="10"/>
      <name val="Calibri"/>
      <scheme val="minor"/>
    </font>
    <font>
      <sz val="16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rgb="FFFFC000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5" fillId="0" borderId="2" applyFont="0" applyFill="0" applyBorder="0" applyAlignment="0" applyProtection="0"/>
    <xf numFmtId="0" fontId="4" fillId="0" borderId="2"/>
    <xf numFmtId="0" fontId="14" fillId="0" borderId="2"/>
    <xf numFmtId="0" fontId="4" fillId="0" borderId="2"/>
    <xf numFmtId="9" fontId="4" fillId="0" borderId="2" applyFont="0" applyFill="0" applyBorder="0" applyAlignment="0" applyProtection="0"/>
    <xf numFmtId="0" fontId="3" fillId="0" borderId="2"/>
    <xf numFmtId="164" fontId="3" fillId="0" borderId="2" applyFont="0" applyFill="0" applyBorder="0" applyAlignment="0" applyProtection="0"/>
    <xf numFmtId="0" fontId="2" fillId="0" borderId="2"/>
    <xf numFmtId="43" fontId="2" fillId="0" borderId="2" applyFont="0" applyFill="0" applyBorder="0" applyAlignment="0" applyProtection="0"/>
    <xf numFmtId="43" fontId="2" fillId="0" borderId="2" applyFont="0" applyFill="0" applyBorder="0" applyAlignment="0" applyProtection="0"/>
    <xf numFmtId="0" fontId="15" fillId="0" borderId="2"/>
    <xf numFmtId="0" fontId="15" fillId="0" borderId="2"/>
    <xf numFmtId="0" fontId="2" fillId="0" borderId="2"/>
    <xf numFmtId="0" fontId="26" fillId="0" borderId="0" applyNumberFormat="0" applyFill="0" applyBorder="0" applyAlignment="0" applyProtection="0"/>
  </cellStyleXfs>
  <cellXfs count="175">
    <xf numFmtId="0" fontId="0" fillId="0" borderId="0" xfId="0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/>
    <xf numFmtId="165" fontId="6" fillId="0" borderId="1" xfId="0" applyNumberFormat="1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/>
    <xf numFmtId="165" fontId="8" fillId="0" borderId="0" xfId="0" applyNumberFormat="1" applyFont="1"/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/>
    <xf numFmtId="4" fontId="8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0" fontId="6" fillId="0" borderId="0" xfId="0" applyFont="1"/>
    <xf numFmtId="4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/>
    </xf>
    <xf numFmtId="165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9" fontId="8" fillId="0" borderId="0" xfId="2" applyFont="1"/>
    <xf numFmtId="9" fontId="0" fillId="0" borderId="0" xfId="2" applyFont="1"/>
    <xf numFmtId="164" fontId="8" fillId="0" borderId="0" xfId="1" applyFont="1"/>
    <xf numFmtId="164" fontId="0" fillId="0" borderId="0" xfId="1" applyFont="1"/>
    <xf numFmtId="164" fontId="8" fillId="0" borderId="0" xfId="1" applyFont="1" applyAlignment="1">
      <alignment horizontal="right"/>
    </xf>
    <xf numFmtId="0" fontId="13" fillId="0" borderId="2" xfId="0" applyFont="1" applyBorder="1"/>
    <xf numFmtId="0" fontId="0" fillId="0" borderId="2" xfId="0" applyBorder="1"/>
    <xf numFmtId="0" fontId="13" fillId="0" borderId="0" xfId="0" applyFont="1"/>
    <xf numFmtId="168" fontId="8" fillId="0" borderId="0" xfId="0" applyNumberFormat="1" applyFont="1"/>
    <xf numFmtId="168" fontId="0" fillId="0" borderId="0" xfId="0" applyNumberFormat="1"/>
    <xf numFmtId="168" fontId="3" fillId="0" borderId="0" xfId="0" applyNumberFormat="1" applyFont="1"/>
    <xf numFmtId="9" fontId="0" fillId="0" borderId="2" xfId="2" applyFont="1" applyBorder="1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164" fontId="19" fillId="2" borderId="7" xfId="1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168" fontId="19" fillId="3" borderId="7" xfId="0" applyNumberFormat="1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9" fontId="20" fillId="5" borderId="7" xfId="2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164" fontId="19" fillId="3" borderId="7" xfId="1" applyFont="1" applyFill="1" applyBorder="1" applyAlignment="1">
      <alignment horizontal="center" vertical="center" wrapText="1" shrinkToFit="1"/>
    </xf>
    <xf numFmtId="9" fontId="19" fillId="3" borderId="7" xfId="2" applyFont="1" applyFill="1" applyBorder="1" applyAlignment="1">
      <alignment horizontal="center" vertical="center" wrapText="1" shrinkToFit="1"/>
    </xf>
    <xf numFmtId="166" fontId="19" fillId="3" borderId="7" xfId="0" applyNumberFormat="1" applyFont="1" applyFill="1" applyBorder="1" applyAlignment="1">
      <alignment horizontal="center" vertical="center" wrapText="1" shrinkToFit="1"/>
    </xf>
    <xf numFmtId="168" fontId="19" fillId="3" borderId="7" xfId="0" applyNumberFormat="1" applyFont="1" applyFill="1" applyBorder="1" applyAlignment="1">
      <alignment horizontal="center" vertical="center" wrapText="1" shrinkToFit="1"/>
    </xf>
    <xf numFmtId="167" fontId="19" fillId="3" borderId="7" xfId="0" applyNumberFormat="1" applyFont="1" applyFill="1" applyBorder="1" applyAlignment="1">
      <alignment horizontal="center" vertical="center" wrapText="1" shrinkToFit="1"/>
    </xf>
    <xf numFmtId="0" fontId="18" fillId="0" borderId="2" xfId="0" applyFont="1" applyBorder="1" applyAlignment="1">
      <alignment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7" fillId="0" borderId="7" xfId="0" applyFont="1" applyBorder="1" applyAlignment="1">
      <alignment vertical="center" wrapText="1"/>
    </xf>
    <xf numFmtId="0" fontId="13" fillId="0" borderId="7" xfId="0" applyFont="1" applyBorder="1"/>
    <xf numFmtId="0" fontId="13" fillId="0" borderId="7" xfId="0" applyFont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9" fontId="0" fillId="0" borderId="7" xfId="2" applyFont="1" applyBorder="1"/>
    <xf numFmtId="168" fontId="0" fillId="0" borderId="7" xfId="0" applyNumberFormat="1" applyBorder="1"/>
    <xf numFmtId="9" fontId="13" fillId="0" borderId="7" xfId="2" applyFont="1" applyBorder="1"/>
    <xf numFmtId="168" fontId="13" fillId="0" borderId="7" xfId="0" applyNumberFormat="1" applyFont="1" applyBorder="1"/>
    <xf numFmtId="0" fontId="0" fillId="0" borderId="0" xfId="0" applyAlignment="1">
      <alignment horizontal="center" vertical="center" wrapText="1"/>
    </xf>
    <xf numFmtId="164" fontId="8" fillId="0" borderId="0" xfId="1" applyFont="1" applyAlignment="1">
      <alignment vertical="center"/>
    </xf>
    <xf numFmtId="164" fontId="0" fillId="0" borderId="0" xfId="1" applyFont="1" applyAlignment="1">
      <alignment vertical="center"/>
    </xf>
    <xf numFmtId="9" fontId="13" fillId="0" borderId="7" xfId="2" applyFont="1" applyBorder="1" applyAlignment="1">
      <alignment vertical="center"/>
    </xf>
    <xf numFmtId="168" fontId="13" fillId="0" borderId="7" xfId="0" applyNumberFormat="1" applyFont="1" applyBorder="1" applyAlignment="1">
      <alignment vertical="center"/>
    </xf>
    <xf numFmtId="0" fontId="13" fillId="0" borderId="8" xfId="0" applyFont="1" applyBorder="1"/>
    <xf numFmtId="168" fontId="13" fillId="0" borderId="7" xfId="0" applyNumberFormat="1" applyFont="1" applyBorder="1" applyAlignment="1">
      <alignment horizontal="center" vertical="center"/>
    </xf>
    <xf numFmtId="0" fontId="21" fillId="0" borderId="0" xfId="0" applyFont="1"/>
    <xf numFmtId="0" fontId="23" fillId="0" borderId="2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165" fontId="22" fillId="0" borderId="2" xfId="1" applyNumberFormat="1" applyFont="1" applyBorder="1" applyAlignment="1">
      <alignment horizontal="center" vertical="center"/>
    </xf>
    <xf numFmtId="164" fontId="22" fillId="0" borderId="2" xfId="1" applyNumberFormat="1" applyFont="1" applyBorder="1" applyAlignment="1">
      <alignment horizontal="center" vertical="center"/>
    </xf>
    <xf numFmtId="164" fontId="23" fillId="0" borderId="2" xfId="1" applyFont="1" applyBorder="1" applyAlignment="1">
      <alignment vertical="center"/>
    </xf>
    <xf numFmtId="9" fontId="22" fillId="0" borderId="2" xfId="2" applyFont="1" applyBorder="1" applyAlignment="1">
      <alignment horizontal="center"/>
    </xf>
    <xf numFmtId="168" fontId="23" fillId="0" borderId="2" xfId="0" applyNumberFormat="1" applyFont="1" applyBorder="1"/>
    <xf numFmtId="9" fontId="23" fillId="0" borderId="2" xfId="2" applyFont="1" applyBorder="1"/>
    <xf numFmtId="0" fontId="24" fillId="0" borderId="2" xfId="0" applyFont="1" applyBorder="1"/>
    <xf numFmtId="9" fontId="24" fillId="0" borderId="2" xfId="2" applyFont="1" applyBorder="1"/>
    <xf numFmtId="0" fontId="1" fillId="0" borderId="7" xfId="0" applyFont="1" applyBorder="1" applyAlignment="1">
      <alignment horizontal="center" vertical="center"/>
    </xf>
    <xf numFmtId="9" fontId="13" fillId="0" borderId="7" xfId="2" applyFont="1" applyBorder="1" applyAlignment="1">
      <alignment horizontal="center" vertical="center"/>
    </xf>
    <xf numFmtId="164" fontId="25" fillId="0" borderId="7" xfId="1" applyFont="1" applyBorder="1" applyAlignment="1">
      <alignment vertical="top"/>
    </xf>
    <xf numFmtId="0" fontId="27" fillId="0" borderId="7" xfId="0" applyFont="1" applyBorder="1" applyAlignment="1">
      <alignment vertical="center"/>
    </xf>
    <xf numFmtId="0" fontId="28" fillId="0" borderId="7" xfId="16" applyFont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28" fillId="7" borderId="7" xfId="16" applyFont="1" applyFill="1" applyBorder="1" applyAlignment="1">
      <alignment vertical="center"/>
    </xf>
    <xf numFmtId="0" fontId="13" fillId="7" borderId="2" xfId="0" applyFont="1" applyFill="1" applyBorder="1"/>
    <xf numFmtId="168" fontId="8" fillId="0" borderId="0" xfId="0" applyNumberFormat="1" applyFont="1" applyProtection="1"/>
    <xf numFmtId="168" fontId="23" fillId="0" borderId="2" xfId="0" applyNumberFormat="1" applyFont="1" applyBorder="1" applyProtection="1"/>
    <xf numFmtId="168" fontId="19" fillId="3" borderId="7" xfId="0" applyNumberFormat="1" applyFont="1" applyFill="1" applyBorder="1" applyAlignment="1" applyProtection="1">
      <alignment horizontal="center" vertical="center" wrapText="1" shrinkToFit="1"/>
    </xf>
    <xf numFmtId="168" fontId="13" fillId="0" borderId="7" xfId="0" applyNumberFormat="1" applyFont="1" applyBorder="1" applyAlignment="1" applyProtection="1">
      <alignment horizontal="center" vertical="center" wrapText="1"/>
    </xf>
    <xf numFmtId="168" fontId="0" fillId="0" borderId="0" xfId="0" applyNumberFormat="1" applyProtection="1"/>
    <xf numFmtId="0" fontId="0" fillId="0" borderId="0" xfId="0" applyProtection="1"/>
    <xf numFmtId="167" fontId="19" fillId="8" borderId="7" xfId="0" applyNumberFormat="1" applyFont="1" applyFill="1" applyBorder="1" applyAlignment="1">
      <alignment horizontal="center" vertical="center" wrapText="1" shrinkToFit="1"/>
    </xf>
    <xf numFmtId="164" fontId="19" fillId="3" borderId="9" xfId="1" applyFont="1" applyFill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vertical="center" wrapText="1"/>
    </xf>
    <xf numFmtId="164" fontId="25" fillId="9" borderId="7" xfId="1" applyFont="1" applyFill="1" applyBorder="1" applyAlignment="1">
      <alignment vertical="top"/>
    </xf>
    <xf numFmtId="9" fontId="13" fillId="9" borderId="7" xfId="2" applyFont="1" applyFill="1" applyBorder="1" applyAlignment="1">
      <alignment horizontal="center" vertical="center"/>
    </xf>
    <xf numFmtId="168" fontId="13" fillId="9" borderId="7" xfId="0" applyNumberFormat="1" applyFont="1" applyFill="1" applyBorder="1" applyAlignment="1">
      <alignment horizontal="center" vertical="center"/>
    </xf>
    <xf numFmtId="168" fontId="13" fillId="9" borderId="7" xfId="0" applyNumberFormat="1" applyFont="1" applyFill="1" applyBorder="1"/>
    <xf numFmtId="0" fontId="13" fillId="9" borderId="7" xfId="0" applyFont="1" applyFill="1" applyBorder="1"/>
    <xf numFmtId="168" fontId="13" fillId="9" borderId="7" xfId="0" applyNumberFormat="1" applyFont="1" applyFill="1" applyBorder="1" applyAlignment="1" applyProtection="1">
      <alignment horizontal="center" vertical="center" wrapText="1"/>
    </xf>
    <xf numFmtId="9" fontId="13" fillId="9" borderId="7" xfId="2" applyFont="1" applyFill="1" applyBorder="1"/>
    <xf numFmtId="0" fontId="13" fillId="9" borderId="8" xfId="0" applyFont="1" applyFill="1" applyBorder="1"/>
    <xf numFmtId="0" fontId="27" fillId="9" borderId="7" xfId="0" applyFont="1" applyFill="1" applyBorder="1" applyAlignment="1">
      <alignment vertical="center"/>
    </xf>
    <xf numFmtId="0" fontId="28" fillId="9" borderId="7" xfId="16" applyFont="1" applyFill="1" applyBorder="1" applyAlignment="1">
      <alignment vertical="center"/>
    </xf>
    <xf numFmtId="0" fontId="13" fillId="9" borderId="2" xfId="0" applyFont="1" applyFill="1" applyBorder="1"/>
    <xf numFmtId="0" fontId="22" fillId="0" borderId="12" xfId="0" applyFont="1" applyBorder="1" applyAlignment="1">
      <alignment horizontal="center"/>
    </xf>
    <xf numFmtId="164" fontId="13" fillId="0" borderId="9" xfId="1" applyFont="1" applyBorder="1" applyAlignment="1">
      <alignment vertical="center"/>
    </xf>
    <xf numFmtId="164" fontId="13" fillId="0" borderId="11" xfId="1" applyFont="1" applyBorder="1" applyAlignment="1">
      <alignment vertical="center"/>
    </xf>
    <xf numFmtId="164" fontId="13" fillId="0" borderId="10" xfId="1" applyFont="1" applyBorder="1" applyAlignment="1">
      <alignment vertical="center"/>
    </xf>
    <xf numFmtId="0" fontId="19" fillId="2" borderId="8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29" fillId="9" borderId="8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/>
    <xf numFmtId="0" fontId="11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</cellXfs>
  <cellStyles count="17">
    <cellStyle name="Comma" xfId="1" builtinId="3"/>
    <cellStyle name="Comma 2" xfId="9" xr:uid="{5833FE37-69CE-4604-BB66-B5FF2D23AEB4}"/>
    <cellStyle name="Comma 2 2" xfId="3" xr:uid="{00000000-0005-0000-0000-000001000000}"/>
    <cellStyle name="Comma 3" xfId="12" xr:uid="{B3948956-27D3-40B6-B606-2AC471D6AD63}"/>
    <cellStyle name="Comma 4" xfId="11" xr:uid="{D956A4ED-354C-458B-A049-4DCD717ACC81}"/>
    <cellStyle name="Hyperlink" xfId="16" builtinId="8"/>
    <cellStyle name="Normal" xfId="0" builtinId="0"/>
    <cellStyle name="Normal 2" xfId="4" xr:uid="{00000000-0005-0000-0000-000003000000}"/>
    <cellStyle name="Normal 2 2 2" xfId="13" xr:uid="{4E2D083D-C1D0-40D0-838A-7038233C3F6A}"/>
    <cellStyle name="Normal 2_navotas nhs" xfId="14" xr:uid="{A3071993-EE3E-4632-9243-F3C84D9A33E9}"/>
    <cellStyle name="Normal 3" xfId="5" xr:uid="{00000000-0005-0000-0000-000004000000}"/>
    <cellStyle name="Normal 3 2" xfId="6" xr:uid="{00000000-0005-0000-0000-000005000000}"/>
    <cellStyle name="Normal 4" xfId="10" xr:uid="{CC241F6E-6A24-4D19-916E-22676EFB540E}"/>
    <cellStyle name="Normal 41" xfId="8" xr:uid="{00000000-0005-0000-0000-000006000000}"/>
    <cellStyle name="Normal 5" xfId="15" xr:uid="{CE6C472C-D160-48E9-82D3-7AD50DF4C4DB}"/>
    <cellStyle name="Percent" xfId="2" builtinId="5"/>
    <cellStyle name="Percent 2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T\Program%20Planning.Oct%209\BSE%20STAFF%20-OT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REGION%208%20&amp;%20CARAGA\QRF-FILES\2022-QRF-REPLENISHMENT\QRF-2022-REPLENISH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epEd\AppData\Local\Temp\Rar$DI00.967\Users\Save%20the\Downloads\1-20-16\MONITORING\2016validation%20sir%20andrew%2012016\jointvalidationpriority12\2016%20Schools%20for%20Site%20Validation%20(Priority%202%20&amp;%203)_Bulacan%202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pedph-my.sharepoint.com/Zaida%20FILES/Allocation/Allocation%20FY%202016/2016%20ALLOCATION%20FOR%20SHS/NON-TEACHING%20POS/1ST%20BATCH/2016%20SHS%20NON-TEACHING%20PROPOSED%20ALLOCATION%20FINAL%20REvised%20as%20of%206April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T\Users\LENOVO\Desktop\2014%20Triangulation\Day%201\HRDS\SDD\budget\2014\Users\dmnievarez.DMNIEVAREZ-PPD\Desktop\BSE%20STAFF%20-OT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lenn%20Orteza_for%20read-only!\NCR\Change%20Order%20Estim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EADER\Glen\manila\Lupang%20Pangako%20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T\Program%20Planning.Oct%209\Noynoy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pedph-my.sharepoint.com/Users/E420s/Downloads/GJHSP_2016%20Revised%20draft%200723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U4"/>
      <sheetName val="edu May -ot"/>
      <sheetName val="LYDS4"/>
      <sheetName val="MIMAY4"/>
      <sheetName val="HELEN4"/>
      <sheetName val="OT-PAYROLL"/>
      <sheetName val="ALOBS"/>
      <sheetName val="Edu-5"/>
      <sheetName val="LYDS4 (2)"/>
      <sheetName val="Database"/>
      <sheetName val="Sheet2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S AND DIVISIONS"/>
      <sheetName val="Sheet1"/>
      <sheetName val="SCHOOL LEVEL DATA"/>
      <sheetName val="RAW"/>
      <sheetName val="Baseline"/>
      <sheetName val="Sheet5"/>
      <sheetName val="RAW_TRU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ORITY 2"/>
      <sheetName val="PRIORITY 3"/>
      <sheetName val="Costs and Types"/>
      <sheetName val="Databas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DBM"/>
      <sheetName val="FINAL ALLOCATION"/>
      <sheetName val="Standards w Reqmnts"/>
      <sheetName val="Alloc working w formula"/>
      <sheetName val="Funding Reqmts"/>
      <sheetName val="Nurse GC &amp; PDO Requirements"/>
      <sheetName val="Stand Alone"/>
      <sheetName val="School Info"/>
      <sheetName val="list"/>
      <sheetName val="Sheet2"/>
      <sheetName val="Databas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U4"/>
      <sheetName val="edu May -ot"/>
      <sheetName val="LYDS4"/>
      <sheetName val="MIMAY4"/>
      <sheetName val="HELEN4"/>
      <sheetName val="OT-PAYROLL"/>
      <sheetName val="ALOBS"/>
      <sheetName val="Edu-5"/>
      <sheetName val="LYDS4 (2)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raceano Lopez"/>
      <sheetName val="Ernesto Rondon HS"/>
      <sheetName val="Juan Luna ES"/>
      <sheetName val="Pamplona ES"/>
      <sheetName val="Ilaya ES"/>
      <sheetName val="Ernesto Rondon HS (2)"/>
      <sheetName val="RESPSCI"/>
      <sheetName val="Paranaque NHS"/>
      <sheetName val="Talon ES"/>
      <sheetName val="Zapote ES"/>
      <sheetName val="Quantity Take-off"/>
      <sheetName val="Graceano Lopez Jaena ES"/>
      <sheetName val="A. Albert ES"/>
      <sheetName val="Las Pinas HS (CAA)"/>
      <sheetName val="Database"/>
      <sheetName val="Graceano_Lopez2"/>
      <sheetName val="Ernesto_Rondon_HS2"/>
      <sheetName val="Juan_Luna_ES2"/>
      <sheetName val="Pamplona_ES2"/>
      <sheetName val="Ilaya_ES2"/>
      <sheetName val="Ernesto_Rondon_HS_(2)2"/>
      <sheetName val="Paranaque_NHS2"/>
      <sheetName val="Talon_ES2"/>
      <sheetName val="Zapote_ES2"/>
      <sheetName val="Quantity_Take-off2"/>
      <sheetName val="Graceano_Lopez_Jaena_ES2"/>
      <sheetName val="A__Albert_ES2"/>
      <sheetName val="Las_Pinas_HS_(CAA)2"/>
      <sheetName val="Graceano_Lopez"/>
      <sheetName val="Ernesto_Rondon_HS"/>
      <sheetName val="Juan_Luna_ES"/>
      <sheetName val="Pamplona_ES"/>
      <sheetName val="Ilaya_ES"/>
      <sheetName val="Ernesto_Rondon_HS_(2)"/>
      <sheetName val="Paranaque_NHS"/>
      <sheetName val="Talon_ES"/>
      <sheetName val="Zapote_ES"/>
      <sheetName val="Quantity_Take-off"/>
      <sheetName val="Graceano_Lopez_Jaena_ES"/>
      <sheetName val="A__Albert_ES"/>
      <sheetName val="Las_Pinas_HS_(CAA)"/>
      <sheetName val="Graceano_Lopez1"/>
      <sheetName val="Ernesto_Rondon_HS1"/>
      <sheetName val="Juan_Luna_ES1"/>
      <sheetName val="Pamplona_ES1"/>
      <sheetName val="Ilaya_ES1"/>
      <sheetName val="Ernesto_Rondon_HS_(2)1"/>
      <sheetName val="Paranaque_NHS1"/>
      <sheetName val="Talon_ES1"/>
      <sheetName val="Zapote_ES1"/>
      <sheetName val="Quantity_Take-off1"/>
      <sheetName val="Graceano_Lopez_Jaena_ES1"/>
      <sheetName val="A__Albert_ES1"/>
      <sheetName val="Las_Pinas_HS_(CAA)1"/>
      <sheetName val="Contractor"/>
      <sheetName val="buhelebongES"/>
      <sheetName val="Max"/>
      <sheetName val="DECS 2cl OMS (2)"/>
      <sheetName val="EDU4"/>
      <sheetName val="Alloc working w formula"/>
      <sheetName val="Costs and Types"/>
      <sheetName val="Liminangcong"/>
      <sheetName val="Recommendation"/>
      <sheetName val="Liminangcong-SWA"/>
      <sheetName val="Liminangcong-WPR"/>
      <sheetName val="Template"/>
      <sheetName val="DataInput"/>
      <sheetName val="1cl 7x9 modified wo ceiling "/>
      <sheetName val="pow (final)"/>
      <sheetName val="2cl 7x9 modified"/>
      <sheetName val="1cl 7x9 Ramon"/>
      <sheetName val="1cl 7x7 modified"/>
      <sheetName val="2cl 7x7 modified"/>
      <sheetName val="dbase"/>
      <sheetName val="industrial"/>
      <sheetName val="1cl 7x9 modified"/>
      <sheetName val="3cl 7x9 modified"/>
      <sheetName val="1cl"/>
      <sheetName val="2cl"/>
      <sheetName val="3cl"/>
      <sheetName val="5cl"/>
      <sheetName val="2sty4cl "/>
      <sheetName val="2sty6cl "/>
      <sheetName val="2sty8cl "/>
      <sheetName val="3sty9cl"/>
      <sheetName val="h.e."/>
      <sheetName val="cr attached"/>
      <sheetName val="cr detached"/>
      <sheetName val="rc septic vault"/>
      <sheetName val="chb septic vault"/>
      <sheetName val="1cl (2)"/>
      <sheetName val="PROGRAM of WORK"/>
      <sheetName val="1cl 7x7 M"/>
      <sheetName val="1cl_7x9_modified_wo_ceiling_5"/>
      <sheetName val="pow_(final)5"/>
      <sheetName val="2cl_7x9_modified5"/>
      <sheetName val="1cl_7x9_Ramon5"/>
      <sheetName val="1cl_7x7_modified5"/>
      <sheetName val="2cl_7x7_modified5"/>
      <sheetName val="1cl_7x9_modified5"/>
      <sheetName val="3cl_7x9_modified5"/>
      <sheetName val="2sty4cl_5"/>
      <sheetName val="2sty6cl_5"/>
      <sheetName val="2sty8cl_5"/>
      <sheetName val="h_e_5"/>
      <sheetName val="cr_attached5"/>
      <sheetName val="cr_detached5"/>
      <sheetName val="rc_septic_vault5"/>
      <sheetName val="chb_septic_vault5"/>
      <sheetName val="1cl_(2)5"/>
      <sheetName val="PROGRAM_of_WORK5"/>
      <sheetName val="1cl_7x7_M5"/>
      <sheetName val="1cl_7x9_modified_wo_ceiling_"/>
      <sheetName val="pow_(final)"/>
      <sheetName val="2cl_7x9_modified"/>
      <sheetName val="1cl_7x9_Ramon"/>
      <sheetName val="1cl_7x7_modified"/>
      <sheetName val="2cl_7x7_modified"/>
      <sheetName val="1cl_7x9_modified"/>
      <sheetName val="3cl_7x9_modified"/>
      <sheetName val="2sty4cl_"/>
      <sheetName val="2sty6cl_"/>
      <sheetName val="2sty8cl_"/>
      <sheetName val="h_e_"/>
      <sheetName val="cr_attached"/>
      <sheetName val="cr_detached"/>
      <sheetName val="rc_septic_vault"/>
      <sheetName val="chb_septic_vault"/>
      <sheetName val="1cl_(2)"/>
      <sheetName val="PROGRAM_of_WORK"/>
      <sheetName val="1cl_7x7_M"/>
      <sheetName val="1cl_7x9_modified_wo_ceiling_1"/>
      <sheetName val="pow_(final)1"/>
      <sheetName val="2cl_7x9_modified1"/>
      <sheetName val="1cl_7x9_Ramon1"/>
      <sheetName val="1cl_7x7_modified1"/>
      <sheetName val="2cl_7x7_modified1"/>
      <sheetName val="1cl_7x9_modified1"/>
      <sheetName val="3cl_7x9_modified1"/>
      <sheetName val="2sty4cl_1"/>
      <sheetName val="2sty6cl_1"/>
      <sheetName val="2sty8cl_1"/>
      <sheetName val="h_e_1"/>
      <sheetName val="cr_attached1"/>
      <sheetName val="cr_detached1"/>
      <sheetName val="rc_septic_vault1"/>
      <sheetName val="chb_septic_vault1"/>
      <sheetName val="1cl_(2)1"/>
      <sheetName val="PROGRAM_of_WORK1"/>
      <sheetName val="1cl_7x7_M1"/>
      <sheetName val="1cl_7x9_modified_wo_ceiling_3"/>
      <sheetName val="pow_(final)3"/>
      <sheetName val="2cl_7x9_modified3"/>
      <sheetName val="1cl_7x9_Ramon3"/>
      <sheetName val="1cl_7x7_modified3"/>
      <sheetName val="2cl_7x7_modified3"/>
      <sheetName val="1cl_7x9_modified3"/>
      <sheetName val="3cl_7x9_modified3"/>
      <sheetName val="2sty4cl_3"/>
      <sheetName val="2sty6cl_3"/>
      <sheetName val="2sty8cl_3"/>
      <sheetName val="h_e_3"/>
      <sheetName val="cr_attached3"/>
      <sheetName val="cr_detached3"/>
      <sheetName val="rc_septic_vault3"/>
      <sheetName val="chb_septic_vault3"/>
      <sheetName val="1cl_(2)3"/>
      <sheetName val="PROGRAM_of_WORK3"/>
      <sheetName val="1cl_7x7_M3"/>
      <sheetName val="1cl_7x9_modified_wo_ceiling_2"/>
      <sheetName val="pow_(final)2"/>
      <sheetName val="2cl_7x9_modified2"/>
      <sheetName val="1cl_7x9_Ramon2"/>
      <sheetName val="1cl_7x7_modified2"/>
      <sheetName val="2cl_7x7_modified2"/>
      <sheetName val="1cl_7x9_modified2"/>
      <sheetName val="3cl_7x9_modified2"/>
      <sheetName val="2sty4cl_2"/>
      <sheetName val="2sty6cl_2"/>
      <sheetName val="2sty8cl_2"/>
      <sheetName val="h_e_2"/>
      <sheetName val="cr_attached2"/>
      <sheetName val="cr_detached2"/>
      <sheetName val="rc_septic_vault2"/>
      <sheetName val="chb_septic_vault2"/>
      <sheetName val="1cl_(2)2"/>
      <sheetName val="PROGRAM_of_WORK2"/>
      <sheetName val="1cl_7x7_M2"/>
      <sheetName val="1cl_7x9_modified_wo_ceiling_4"/>
      <sheetName val="pow_(final)4"/>
      <sheetName val="2cl_7x9_modified4"/>
      <sheetName val="1cl_7x9_Ramon4"/>
      <sheetName val="1cl_7x7_modified4"/>
      <sheetName val="2cl_7x7_modified4"/>
      <sheetName val="1cl_7x9_modified4"/>
      <sheetName val="3cl_7x9_modified4"/>
      <sheetName val="2sty4cl_4"/>
      <sheetName val="2sty6cl_4"/>
      <sheetName val="2sty8cl_4"/>
      <sheetName val="h_e_4"/>
      <sheetName val="cr_attached4"/>
      <sheetName val="cr_detached4"/>
      <sheetName val="rc_septic_vault4"/>
      <sheetName val="chb_septic_vault4"/>
      <sheetName val="1cl_(2)4"/>
      <sheetName val="PROGRAM_of_WORK4"/>
      <sheetName val="1cl_7x7_M4"/>
      <sheetName val="1cl_7x9_modified_wo_ceiling_6"/>
      <sheetName val="pow_(final)6"/>
      <sheetName val="2cl_7x9_modified6"/>
      <sheetName val="1cl_7x9_Ramon6"/>
      <sheetName val="1cl_7x7_modified6"/>
      <sheetName val="2cl_7x7_modified6"/>
      <sheetName val="1cl_7x9_modified6"/>
      <sheetName val="3cl_7x9_modified6"/>
      <sheetName val="2sty4cl_6"/>
      <sheetName val="2sty6cl_6"/>
      <sheetName val="2sty8cl_6"/>
      <sheetName val="h_e_6"/>
      <sheetName val="cr_attached6"/>
      <sheetName val="cr_detached6"/>
      <sheetName val="rc_septic_vault6"/>
      <sheetName val="chb_septic_vault6"/>
      <sheetName val="1cl_(2)6"/>
      <sheetName val="PROGRAM_of_WORK6"/>
      <sheetName val="1cl_7x7_M6"/>
      <sheetName val="1cl_7x9_modified_wo_ceiling_7"/>
      <sheetName val="pow_(final)7"/>
      <sheetName val="2cl_7x9_modified7"/>
      <sheetName val="1cl_7x9_Ramon7"/>
      <sheetName val="1cl_7x7_modified7"/>
      <sheetName val="2cl_7x7_modified7"/>
      <sheetName val="1cl_7x9_modified7"/>
      <sheetName val="3cl_7x9_modified7"/>
      <sheetName val="2sty4cl_7"/>
      <sheetName val="2sty6cl_7"/>
      <sheetName val="2sty8cl_7"/>
      <sheetName val="h_e_7"/>
      <sheetName val="cr_attached7"/>
      <sheetName val="cr_detached7"/>
      <sheetName val="rc_septic_vault7"/>
      <sheetName val="chb_septic_vault7"/>
      <sheetName val="1cl_(2)7"/>
      <sheetName val="PROGRAM_of_WORK7"/>
      <sheetName val="1cl_7x7_M7"/>
      <sheetName val="1cl_7x9_modified_wo_ceiling_8"/>
      <sheetName val="pow_(final)8"/>
      <sheetName val="2cl_7x9_modified8"/>
      <sheetName val="1cl_7x9_Ramon8"/>
      <sheetName val="1cl_7x7_modified8"/>
      <sheetName val="2cl_7x7_modified8"/>
      <sheetName val="1cl_7x9_modified8"/>
      <sheetName val="3cl_7x9_modified8"/>
      <sheetName val="2sty4cl_8"/>
      <sheetName val="2sty6cl_8"/>
      <sheetName val="2sty8cl_8"/>
      <sheetName val="h_e_8"/>
      <sheetName val="cr_attached8"/>
      <sheetName val="cr_detached8"/>
      <sheetName val="rc_septic_vault8"/>
      <sheetName val="chb_septic_vault8"/>
      <sheetName val="1cl_(2)8"/>
      <sheetName val="PROGRAM_of_WORK8"/>
      <sheetName val="1cl_7x7_M8"/>
      <sheetName val="POW"/>
      <sheetName val="repair det est"/>
      <sheetName val="program of works"/>
      <sheetName val="2cl 7x7 M"/>
      <sheetName val="3cl 7x7 M"/>
      <sheetName val="1cl 7x9 M"/>
      <sheetName val="2cl 7x9 M"/>
      <sheetName val="3cl 7x9 M"/>
      <sheetName val="4cl 7x9 M"/>
      <sheetName val="1cl 7x9 O"/>
      <sheetName val="2cl 7x9 O"/>
      <sheetName val="2cl 7x9 O_sphere"/>
      <sheetName val="3cl 7x9 O"/>
      <sheetName val="multipurpose"/>
      <sheetName val="science lab"/>
      <sheetName val="Typhoon Resistance_2CL"/>
      <sheetName val="RC_SV"/>
      <sheetName val="CHB_SV"/>
      <sheetName val="1cl_7x9_modified_wo_ceiling_9"/>
      <sheetName val="pow_(final)9"/>
      <sheetName val="2cl_7x9_modified9"/>
      <sheetName val="1cl_7x9_Ramon9"/>
      <sheetName val="1cl_7x7_modified9"/>
      <sheetName val="2cl_7x7_modified9"/>
      <sheetName val="1cl_7x9_modified9"/>
      <sheetName val="3cl_7x9_modified9"/>
      <sheetName val="2sty4cl_9"/>
      <sheetName val="2sty6cl_9"/>
      <sheetName val="2sty8cl_9"/>
      <sheetName val="h_e_9"/>
      <sheetName val="cr_attached9"/>
      <sheetName val="cr_detached9"/>
      <sheetName val="rc_septic_vault9"/>
      <sheetName val="chb_septic_vault9"/>
      <sheetName val="1cl_(2)9"/>
      <sheetName val="PROGRAM_of_WORK9"/>
      <sheetName val="1cl_7x7_M9"/>
      <sheetName val="repair_det_est"/>
      <sheetName val="program_of_works"/>
      <sheetName val="2cl_7x7_M"/>
      <sheetName val="3cl_7x7_M"/>
      <sheetName val="1cl_7x9_M"/>
      <sheetName val="2cl_7x9_M"/>
      <sheetName val="3cl_7x9_M"/>
      <sheetName val="4cl_7x9_M"/>
      <sheetName val="1cl_7x9_O"/>
      <sheetName val="2cl_7x9_O"/>
      <sheetName val="2cl_7x9_O_sphere"/>
      <sheetName val="3cl_7x9_O"/>
      <sheetName val="science_lab"/>
      <sheetName val="Typhoon_Resistance_2CL"/>
      <sheetName val="1cl_7x9_modified_wo_ceiling_10"/>
      <sheetName val="1cl_7x9_modified_wo_ceiling_11"/>
      <sheetName val="3sty15cl-1"/>
      <sheetName val="COP2 okiot tabuac bcps(100)"/>
      <sheetName val="Detailed Estimate"/>
      <sheetName val="Sheet2"/>
      <sheetName val="Sheet1"/>
      <sheetName val="unit weight of angle bars"/>
      <sheetName val="unit weight of purlins"/>
      <sheetName val="NEWCON 2017 (CL)"/>
      <sheetName val="BEFF 2016"/>
      <sheetName val="Account Type"/>
      <sheetName val="1cl_7x9_modified_wo_ceiling_12"/>
      <sheetName val="pow_(final)10"/>
      <sheetName val="2cl_7x9_modified10"/>
      <sheetName val="1cl_7x9_Ramon10"/>
      <sheetName val="1cl_7x7_modified10"/>
      <sheetName val="2cl_7x7_modified10"/>
      <sheetName val="1cl_7x9_modified10"/>
      <sheetName val="3cl_7x9_modified10"/>
      <sheetName val="2sty4cl_10"/>
      <sheetName val="2sty6cl_10"/>
      <sheetName val="2sty8cl_10"/>
      <sheetName val="h_e_10"/>
      <sheetName val="cr_attached10"/>
      <sheetName val="cr_detached10"/>
      <sheetName val="rc_septic_vault10"/>
      <sheetName val="chb_septic_vault10"/>
      <sheetName val="1cl_(2)10"/>
      <sheetName val="PROGRAM_of_WORK10"/>
      <sheetName val="1cl_7x7_M10"/>
      <sheetName val="repair_det_est1"/>
      <sheetName val="program_of_works1"/>
      <sheetName val="2cl_7x7_M1"/>
      <sheetName val="3cl_7x7_M1"/>
      <sheetName val="1cl_7x9_M1"/>
      <sheetName val="2cl_7x9_M1"/>
      <sheetName val="3cl_7x9_M1"/>
      <sheetName val="4cl_7x9_M1"/>
      <sheetName val="1cl_7x9_O1"/>
      <sheetName val="2cl_7x9_O1"/>
      <sheetName val="2cl_7x9_O_sphere1"/>
      <sheetName val="3cl_7x9_O1"/>
      <sheetName val="science_lab1"/>
      <sheetName val="Typhoon_Resistance_2CL1"/>
      <sheetName val="DECS_2cl_OMS_(2)"/>
      <sheetName val="COP2_okiot_tabuac_bcps(100)"/>
      <sheetName val="Detailed_Estimate"/>
      <sheetName val="unit_weight_of_angle_bars"/>
      <sheetName val="unit_weight_of_purlins"/>
      <sheetName val="NEWCON_2017_(CL)"/>
      <sheetName val="BEFF_2016"/>
      <sheetName val="Account_Type"/>
      <sheetName val="Source of data"/>
      <sheetName val="900b"/>
      <sheetName val="900a"/>
      <sheetName val="1cl_7x9_Ramn1"/>
      <sheetName val="⊹≣駤_≚7≎≭믧ì⋡뭦ꫭ⋬餱"/>
      <sheetName val="⋜ú曆衟Ùꩋᄷ}衭_x0009_d駒ÿ꫏ì蠱"/>
      <sheetName val="1_x0005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⋜ú曆衟Ùꩋᄷ}衭 d駒ÿ꫏ì蠱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1cl_7x9_modified_wo_ceiling_13"/>
      <sheetName val="pow_(final)11"/>
      <sheetName val="2cl_7x9_modified11"/>
      <sheetName val="1cl_7x9_Ramon11"/>
      <sheetName val="1cl_7x7_modified11"/>
      <sheetName val="2cl_7x7_modified11"/>
      <sheetName val="1cl_7x9_modified11"/>
      <sheetName val="3cl_7x9_modified11"/>
      <sheetName val="2sty4cl_11"/>
      <sheetName val="2sty6cl_11"/>
      <sheetName val="2sty8cl_11"/>
      <sheetName val="h_e_11"/>
      <sheetName val="cr_attached11"/>
      <sheetName val="cr_detached11"/>
      <sheetName val="rc_septic_vault11"/>
      <sheetName val="chb_septic_vault11"/>
      <sheetName val="1cl_(2)11"/>
      <sheetName val="PROGRAM_of_WORK11"/>
      <sheetName val="1cl_7x7_M11"/>
      <sheetName val="repair_det_est2"/>
      <sheetName val="program_of_works2"/>
      <sheetName val="2cl_7x7_M2"/>
      <sheetName val="3cl_7x7_M2"/>
      <sheetName val="1cl_7x9_M2"/>
      <sheetName val="2cl_7x9_M2"/>
      <sheetName val="3cl_7x9_M2"/>
      <sheetName val="4cl_7x9_M2"/>
      <sheetName val="1cl_7x9_O2"/>
      <sheetName val="2cl_7x9_O2"/>
      <sheetName val="2cl_7x9_O_sphere2"/>
      <sheetName val="3cl_7x9_O2"/>
      <sheetName val="science_lab2"/>
      <sheetName val="Typhoon_Resistance_2CL2"/>
      <sheetName val="1cl_7x9_modified_wo_ceiling_19"/>
      <sheetName val="pow_(final)17"/>
      <sheetName val="2cl_7x9_modified17"/>
      <sheetName val="1cl_7x9_Ramon17"/>
      <sheetName val="1cl_7x7_modified17"/>
      <sheetName val="2cl_7x7_modified17"/>
      <sheetName val="1cl_7x9_modified17"/>
      <sheetName val="3cl_7x9_modified17"/>
      <sheetName val="2sty4cl_17"/>
      <sheetName val="2sty6cl_17"/>
      <sheetName val="2sty8cl_17"/>
      <sheetName val="h_e_17"/>
      <sheetName val="cr_attached17"/>
      <sheetName val="cr_detached17"/>
      <sheetName val="rc_septic_vault17"/>
      <sheetName val="chb_septic_vault17"/>
      <sheetName val="1cl_(2)17"/>
      <sheetName val="PROGRAM_of_WORK17"/>
      <sheetName val="1cl_7x7_M17"/>
      <sheetName val="repair_det_est8"/>
      <sheetName val="program_of_works8"/>
      <sheetName val="2cl_7x7_M8"/>
      <sheetName val="3cl_7x7_M8"/>
      <sheetName val="1cl_7x9_M8"/>
      <sheetName val="2cl_7x9_M8"/>
      <sheetName val="3cl_7x9_M8"/>
      <sheetName val="4cl_7x9_M8"/>
      <sheetName val="1cl_7x9_O8"/>
      <sheetName val="2cl_7x9_O8"/>
      <sheetName val="2cl_7x9_O_sphere8"/>
      <sheetName val="3cl_7x9_O8"/>
      <sheetName val="science_lab8"/>
      <sheetName val="Typhoon_Resistance_2CL8"/>
      <sheetName val="1cl_7x9_modified_wo_ceiling_16"/>
      <sheetName val="pow_(final)14"/>
      <sheetName val="2cl_7x9_modified14"/>
      <sheetName val="1cl_7x9_Ramon14"/>
      <sheetName val="1cl_7x7_modified14"/>
      <sheetName val="2cl_7x7_modified14"/>
      <sheetName val="1cl_7x9_modified14"/>
      <sheetName val="3cl_7x9_modified14"/>
      <sheetName val="2sty4cl_14"/>
      <sheetName val="2sty6cl_14"/>
      <sheetName val="2sty8cl_14"/>
      <sheetName val="h_e_14"/>
      <sheetName val="cr_attached14"/>
      <sheetName val="cr_detached14"/>
      <sheetName val="rc_septic_vault14"/>
      <sheetName val="chb_septic_vault14"/>
      <sheetName val="1cl_(2)14"/>
      <sheetName val="PROGRAM_of_WORK14"/>
      <sheetName val="1cl_7x7_M14"/>
      <sheetName val="repair_det_est5"/>
      <sheetName val="program_of_works5"/>
      <sheetName val="2cl_7x7_M5"/>
      <sheetName val="3cl_7x7_M5"/>
      <sheetName val="1cl_7x9_M5"/>
      <sheetName val="2cl_7x9_M5"/>
      <sheetName val="3cl_7x9_M5"/>
      <sheetName val="4cl_7x9_M5"/>
      <sheetName val="1cl_7x9_O5"/>
      <sheetName val="2cl_7x9_O5"/>
      <sheetName val="2cl_7x9_O_sphere5"/>
      <sheetName val="3cl_7x9_O5"/>
      <sheetName val="science_lab5"/>
      <sheetName val="Typhoon_Resistance_2CL5"/>
      <sheetName val="1cl_7x9_modified_wo_ceiling_14"/>
      <sheetName val="pow_(final)12"/>
      <sheetName val="2cl_7x9_modified12"/>
      <sheetName val="1cl_7x9_Ramon12"/>
      <sheetName val="1cl_7x7_modified12"/>
      <sheetName val="2cl_7x7_modified12"/>
      <sheetName val="1cl_7x9_modified12"/>
      <sheetName val="3cl_7x9_modified12"/>
      <sheetName val="2sty4cl_12"/>
      <sheetName val="2sty6cl_12"/>
      <sheetName val="2sty8cl_12"/>
      <sheetName val="h_e_12"/>
      <sheetName val="cr_attached12"/>
      <sheetName val="cr_detached12"/>
      <sheetName val="rc_septic_vault12"/>
      <sheetName val="chb_septic_vault12"/>
      <sheetName val="1cl_(2)12"/>
      <sheetName val="PROGRAM_of_WORK12"/>
      <sheetName val="1cl_7x7_M12"/>
      <sheetName val="repair_det_est3"/>
      <sheetName val="program_of_works3"/>
      <sheetName val="2cl_7x7_M3"/>
      <sheetName val="3cl_7x7_M3"/>
      <sheetName val="1cl_7x9_M3"/>
      <sheetName val="2cl_7x9_M3"/>
      <sheetName val="3cl_7x9_M3"/>
      <sheetName val="4cl_7x9_M3"/>
      <sheetName val="1cl_7x9_O3"/>
      <sheetName val="2cl_7x9_O3"/>
      <sheetName val="2cl_7x9_O_sphere3"/>
      <sheetName val="3cl_7x9_O3"/>
      <sheetName val="science_lab3"/>
      <sheetName val="Typhoon_Resistance_2CL3"/>
      <sheetName val="1cl_7x9_modified_wo_ceiling_15"/>
      <sheetName val="pow_(final)13"/>
      <sheetName val="2cl_7x9_modified13"/>
      <sheetName val="1cl_7x9_Ramon13"/>
      <sheetName val="1cl_7x7_modified13"/>
      <sheetName val="2cl_7x7_modified13"/>
      <sheetName val="1cl_7x9_modified13"/>
      <sheetName val="3cl_7x9_modified13"/>
      <sheetName val="2sty4cl_13"/>
      <sheetName val="2sty6cl_13"/>
      <sheetName val="2sty8cl_13"/>
      <sheetName val="h_e_13"/>
      <sheetName val="cr_attached13"/>
      <sheetName val="cr_detached13"/>
      <sheetName val="rc_septic_vault13"/>
      <sheetName val="chb_septic_vault13"/>
      <sheetName val="1cl_(2)13"/>
      <sheetName val="PROGRAM_of_WORK13"/>
      <sheetName val="1cl_7x7_M13"/>
      <sheetName val="repair_det_est4"/>
      <sheetName val="program_of_works4"/>
      <sheetName val="2cl_7x7_M4"/>
      <sheetName val="3cl_7x7_M4"/>
      <sheetName val="1cl_7x9_M4"/>
      <sheetName val="2cl_7x9_M4"/>
      <sheetName val="3cl_7x9_M4"/>
      <sheetName val="4cl_7x9_M4"/>
      <sheetName val="1cl_7x9_O4"/>
      <sheetName val="2cl_7x9_O4"/>
      <sheetName val="2cl_7x9_O_sphere4"/>
      <sheetName val="3cl_7x9_O4"/>
      <sheetName val="science_lab4"/>
      <sheetName val="Typhoon_Resistance_2CL4"/>
      <sheetName val="1cl_7x9_modified_wo_ceiling_17"/>
      <sheetName val="pow_(final)15"/>
      <sheetName val="2cl_7x9_modified15"/>
      <sheetName val="1cl_7x9_Ramon15"/>
      <sheetName val="1cl_7x7_modified15"/>
      <sheetName val="2cl_7x7_modified15"/>
      <sheetName val="1cl_7x9_modified15"/>
      <sheetName val="3cl_7x9_modified15"/>
      <sheetName val="2sty4cl_15"/>
      <sheetName val="2sty6cl_15"/>
      <sheetName val="2sty8cl_15"/>
      <sheetName val="h_e_15"/>
      <sheetName val="cr_attached15"/>
      <sheetName val="cr_detached15"/>
      <sheetName val="rc_septic_vault15"/>
      <sheetName val="chb_septic_vault15"/>
      <sheetName val="1cl_(2)15"/>
      <sheetName val="PROGRAM_of_WORK15"/>
      <sheetName val="1cl_7x7_M15"/>
      <sheetName val="repair_det_est6"/>
      <sheetName val="program_of_works6"/>
      <sheetName val="2cl_7x7_M6"/>
      <sheetName val="3cl_7x7_M6"/>
      <sheetName val="1cl_7x9_M6"/>
      <sheetName val="2cl_7x9_M6"/>
      <sheetName val="3cl_7x9_M6"/>
      <sheetName val="4cl_7x9_M6"/>
      <sheetName val="1cl_7x9_O6"/>
      <sheetName val="2cl_7x9_O6"/>
      <sheetName val="2cl_7x9_O_sphere6"/>
      <sheetName val="3cl_7x9_O6"/>
      <sheetName val="science_lab6"/>
      <sheetName val="Typhoon_Resistance_2CL6"/>
      <sheetName val="DECS_2cl_OMS_(2)5"/>
      <sheetName val="COP2_okiot_tabuac_bcps(100)5"/>
      <sheetName val="DECS_2cl_OMS_(2)3"/>
      <sheetName val="COP2_okiot_tabuac_bcps(100)3"/>
      <sheetName val="DECS_2cl_OMS_(2)1"/>
      <sheetName val="COP2_okiot_tabuac_bcps(100)1"/>
      <sheetName val="DECS_2cl_OMS_(2)2"/>
      <sheetName val="COP2_okiot_tabuac_bcps(100)2"/>
      <sheetName val="DECS_2cl_OMS_(2)4"/>
      <sheetName val="COP2_okiot_tabuac_bcps(100)4"/>
      <sheetName val="1cl_7x9_modified_wo_ceiling_18"/>
      <sheetName val="pow_(final)16"/>
      <sheetName val="2cl_7x9_modified16"/>
      <sheetName val="1cl_7x9_Ramon16"/>
      <sheetName val="1cl_7x7_modified16"/>
      <sheetName val="2cl_7x7_modified16"/>
      <sheetName val="1cl_7x9_modified16"/>
      <sheetName val="3cl_7x9_modified16"/>
      <sheetName val="2sty4cl_16"/>
      <sheetName val="2sty6cl_16"/>
      <sheetName val="2sty8cl_16"/>
      <sheetName val="h_e_16"/>
      <sheetName val="cr_attached16"/>
      <sheetName val="cr_detached16"/>
      <sheetName val="rc_septic_vault16"/>
      <sheetName val="chb_septic_vault16"/>
      <sheetName val="1cl_(2)16"/>
      <sheetName val="PROGRAM_of_WORK16"/>
      <sheetName val="1cl_7x7_M16"/>
      <sheetName val="repair_det_est7"/>
      <sheetName val="program_of_works7"/>
      <sheetName val="2cl_7x7_M7"/>
      <sheetName val="3cl_7x7_M7"/>
      <sheetName val="1cl_7x9_M7"/>
      <sheetName val="2cl_7x9_M7"/>
      <sheetName val="3cl_7x9_M7"/>
      <sheetName val="4cl_7x9_M7"/>
      <sheetName val="1cl_7x9_O7"/>
      <sheetName val="2cl_7x9_O7"/>
      <sheetName val="2cl_7x9_O_sphere7"/>
      <sheetName val="3cl_7x9_O7"/>
      <sheetName val="science_lab7"/>
      <sheetName val="Typhoon_Resistance_2CL7"/>
      <sheetName val="1cl_7x9_modified_wo_ceiling_20"/>
      <sheetName val="pow_(final)18"/>
      <sheetName val="2cl_7x9_modified18"/>
      <sheetName val="1cl_7x9_Ramon18"/>
      <sheetName val="1cl_7x7_modified18"/>
      <sheetName val="2cl_7x7_modified18"/>
      <sheetName val="1cl_7x9_modified18"/>
      <sheetName val="3cl_7x9_modified18"/>
      <sheetName val="2sty4cl_18"/>
      <sheetName val="2sty6cl_18"/>
      <sheetName val="2sty8cl_18"/>
      <sheetName val="h_e_18"/>
      <sheetName val="cr_attached18"/>
      <sheetName val="cr_detached18"/>
      <sheetName val="rc_septic_vault18"/>
      <sheetName val="chb_septic_vault18"/>
      <sheetName val="1cl_(2)18"/>
      <sheetName val="PROGRAM_of_WORK18"/>
      <sheetName val="1cl_7x7_M18"/>
      <sheetName val="repair_det_est9"/>
      <sheetName val="program_of_works9"/>
      <sheetName val="2cl_7x7_M9"/>
      <sheetName val="3cl_7x7_M9"/>
      <sheetName val="1cl_7x9_M9"/>
      <sheetName val="2cl_7x9_M9"/>
      <sheetName val="3cl_7x9_M9"/>
      <sheetName val="4cl_7x9_M9"/>
      <sheetName val="1cl_7x9_O9"/>
      <sheetName val="2cl_7x9_O9"/>
      <sheetName val="2cl_7x9_O_sphere9"/>
      <sheetName val="3cl_7x9_O9"/>
      <sheetName val="science_lab9"/>
      <sheetName val="Typhoon_Resistance_2CL9"/>
      <sheetName val="1cl_7x9_modified_wo_ceiling_22"/>
      <sheetName val="pow_(final)20"/>
      <sheetName val="2cl_7x9_modified20"/>
      <sheetName val="1cl_7x9_Ramon20"/>
      <sheetName val="1cl_7x7_modified20"/>
      <sheetName val="2cl_7x7_modified20"/>
      <sheetName val="1cl_7x9_modified20"/>
      <sheetName val="3cl_7x9_modified20"/>
      <sheetName val="2sty4cl_20"/>
      <sheetName val="2sty6cl_20"/>
      <sheetName val="2sty8cl_20"/>
      <sheetName val="h_e_20"/>
      <sheetName val="cr_attached20"/>
      <sheetName val="cr_detached20"/>
      <sheetName val="rc_septic_vault20"/>
      <sheetName val="chb_septic_vault20"/>
      <sheetName val="1cl_(2)20"/>
      <sheetName val="PROGRAM_of_WORK20"/>
      <sheetName val="1cl_7x7_M20"/>
      <sheetName val="repair_det_est11"/>
      <sheetName val="program_of_works11"/>
      <sheetName val="2cl_7x7_M11"/>
      <sheetName val="3cl_7x7_M11"/>
      <sheetName val="1cl_7x9_M11"/>
      <sheetName val="2cl_7x9_M11"/>
      <sheetName val="3cl_7x9_M11"/>
      <sheetName val="4cl_7x9_M11"/>
      <sheetName val="1cl_7x9_O11"/>
      <sheetName val="2cl_7x9_O11"/>
      <sheetName val="2cl_7x9_O_sphere11"/>
      <sheetName val="3cl_7x9_O11"/>
      <sheetName val="science_lab11"/>
      <sheetName val="Typhoon_Resistance_2CL11"/>
      <sheetName val="1cl_7x9_modified_wo_ceiling_21"/>
      <sheetName val="pow_(final)19"/>
      <sheetName val="2cl_7x9_modified19"/>
      <sheetName val="1cl_7x9_Ramon19"/>
      <sheetName val="1cl_7x7_modified19"/>
      <sheetName val="2cl_7x7_modified19"/>
      <sheetName val="1cl_7x9_modified19"/>
      <sheetName val="3cl_7x9_modified19"/>
      <sheetName val="2sty4cl_19"/>
      <sheetName val="2sty6cl_19"/>
      <sheetName val="2sty8cl_19"/>
      <sheetName val="h_e_19"/>
      <sheetName val="cr_attached19"/>
      <sheetName val="cr_detached19"/>
      <sheetName val="rc_septic_vault19"/>
      <sheetName val="chb_septic_vault19"/>
      <sheetName val="1cl_(2)19"/>
      <sheetName val="PROGRAM_of_WORK19"/>
      <sheetName val="1cl_7x7_M19"/>
      <sheetName val="repair_det_est10"/>
      <sheetName val="program_of_works10"/>
      <sheetName val="2cl_7x7_M10"/>
      <sheetName val="3cl_7x7_M10"/>
      <sheetName val="1cl_7x9_M10"/>
      <sheetName val="2cl_7x9_M10"/>
      <sheetName val="3cl_7x9_M10"/>
      <sheetName val="4cl_7x9_M10"/>
      <sheetName val="1cl_7x9_O10"/>
      <sheetName val="2cl_7x9_O10"/>
      <sheetName val="2cl_7x9_O_sphere10"/>
      <sheetName val="3cl_7x9_O10"/>
      <sheetName val="science_lab10"/>
      <sheetName val="Typhoon_Resistance_2CL10"/>
      <sheetName val="Detailed_Estimate1"/>
      <sheetName val="unit_weight_of_angle_bars1"/>
      <sheetName val="unit_weight_of_purlins1"/>
      <sheetName val="NEWCON_2017_(CL)1"/>
      <sheetName val="BEFF_20161"/>
      <sheetName val="Account_Type1"/>
      <sheetName val="Source_of_data"/>
      <sheetName val="GRAND SUM"/>
      <sheetName val="Summary Conf Rm"/>
      <sheetName val="DET CONF RM"/>
      <sheetName val="rc ceptic vault"/>
      <sheetName val="DECS_2cl_OMS_(2)6"/>
      <sheetName val="COP2_okiot_tabuac_bcps(100)6"/>
      <sheetName val="DECS_2cl_OMS_(2)7"/>
      <sheetName val="COP2_okiot_tabuac_bcps(100)7"/>
      <sheetName val="2020 unit cost"/>
      <sheetName val="Def"/>
      <sheetName val="BACOLOD RENTAL RATES"/>
      <sheetName val="Enrolees&amp;Gradua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/>
      <sheetData sheetId="303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"/>
      <sheetName val="Lupang Pangako"/>
      <sheetName val="Database"/>
      <sheetName val="Sheet1"/>
      <sheetName val="Sheet2"/>
      <sheetName val="Sheet3"/>
      <sheetName val="SUMMARY"/>
      <sheetName val="Lupang_Pangako"/>
      <sheetName val="Max"/>
      <sheetName val="Lupang_Pangako6"/>
      <sheetName val="Lupang_Pangako1"/>
      <sheetName val="Lupang_Pangako4"/>
      <sheetName val="Lupang_Pangako2"/>
      <sheetName val="Lupang_Pangako3"/>
      <sheetName val="Lupang_Pangako5"/>
      <sheetName val="Lupang_Pangako7"/>
      <sheetName val="Lupang_Pangako8"/>
      <sheetName val="Lupang_Pangako10"/>
      <sheetName val="Lupang_Pangako9"/>
      <sheetName val="Target for 2019"/>
      <sheetName val="Per Program"/>
      <sheetName val="REPAIR 2017"/>
      <sheetName val="Repair 2018"/>
      <sheetName val="REPAIR 2019"/>
      <sheetName val="Electrification 2018"/>
      <sheetName val="buhelebongES"/>
      <sheetName val="EDU4"/>
      <sheetName val="dbase"/>
      <sheetName val="Lupang_Pangako11"/>
      <sheetName val="Target_for_2019"/>
      <sheetName val="Per_Program"/>
      <sheetName val="REPAIR_2017"/>
      <sheetName val="Repair_2018"/>
      <sheetName val="REPAIR_2019"/>
      <sheetName val="Electrification_2018"/>
      <sheetName val="SOM"/>
      <sheetName val="DO 71 s 2013"/>
      <sheetName val="LIBRARY"/>
      <sheetName val="101(2)e"/>
      <sheetName val="101(2)g"/>
      <sheetName val="101(2)c"/>
      <sheetName val="101(2)f"/>
      <sheetName val="Worksheet"/>
      <sheetName val="Lupang_Pangako12"/>
      <sheetName val="Target_for_20191"/>
      <sheetName val="Per_Program1"/>
      <sheetName val="REPAIR_20171"/>
      <sheetName val="Repair_20181"/>
      <sheetName val="REPAIR_20191"/>
      <sheetName val="Electrification_20181"/>
      <sheetName val="rates"/>
      <sheetName val="RATE"/>
      <sheetName val="ABC"/>
      <sheetName val="general"/>
      <sheetName val="ACCOMP. REPORT sub"/>
      <sheetName val="TABLES"/>
      <sheetName val="DRSB_Weight"/>
      <sheetName val="EQUIPMENT"/>
      <sheetName val="nm"/>
      <sheetName val="Payitems"/>
      <sheetName val="Basis (2)"/>
      <sheetName val="boq"/>
      <sheetName val="Cons"/>
      <sheetName val="Costs and Types"/>
      <sheetName val="alloc working w formula"/>
      <sheetName val="Baseline"/>
      <sheetName val="Source"/>
      <sheetName val="SC INCREASE"/>
      <sheetName val="RRTS Basis"/>
      <sheetName val="RESTRU"/>
      <sheetName val="Category, MYPS"/>
      <sheetName val="4.3_haul-boulder"/>
      <sheetName val="load schedule"/>
      <sheetName val="5.1_BPA_sum"/>
      <sheetName val="110 ~NONET 1"/>
      <sheetName val="entry"/>
      <sheetName val="table"/>
      <sheetName val="ITEMLIST COMPLETE"/>
      <sheetName val="SAL"/>
      <sheetName val="CAMPO &amp; PC_BC"/>
      <sheetName val="Lupang_Pangako13"/>
      <sheetName val="Target_for_20192"/>
      <sheetName val="Per_Program2"/>
      <sheetName val="REPAIR_20172"/>
      <sheetName val="Repair_20182"/>
      <sheetName val="REPAIR_20192"/>
      <sheetName val="Electrification_20182"/>
      <sheetName val="DO_71_s_2013"/>
      <sheetName val="ACCOMP__REPORT_sub"/>
      <sheetName val="Basis_(2)"/>
    </sheetNames>
    <sheetDataSet>
      <sheetData sheetId="0" refreshError="1"/>
      <sheetData sheetId="1"/>
      <sheetData sheetId="2" refreshError="1">
        <row r="3">
          <cell r="A3" t="str">
            <v>Item
No.</v>
          </cell>
          <cell r="B3" t="str">
            <v>Item Description</v>
          </cell>
          <cell r="C3" t="str">
            <v>Unit</v>
          </cell>
          <cell r="D3" t="str">
            <v>Material</v>
          </cell>
          <cell r="E3" t="str">
            <v>Labor</v>
          </cell>
        </row>
        <row r="4">
          <cell r="D4" t="str">
            <v>Unit Cost (factored)</v>
          </cell>
        </row>
        <row r="5">
          <cell r="A5">
            <v>1</v>
          </cell>
          <cell r="B5" t="str">
            <v>Aggregates</v>
          </cell>
        </row>
        <row r="6">
          <cell r="A6" t="str">
            <v>1a</v>
          </cell>
          <cell r="B6" t="str">
            <v>Excavation (manual), common earth</v>
          </cell>
          <cell r="C6" t="str">
            <v>cu. m.</v>
          </cell>
          <cell r="D6">
            <v>0</v>
          </cell>
          <cell r="E6">
            <v>250</v>
          </cell>
        </row>
        <row r="7">
          <cell r="A7" t="str">
            <v>1b</v>
          </cell>
          <cell r="B7" t="str">
            <v>Excavation (manual), rock</v>
          </cell>
          <cell r="C7" t="str">
            <v>cu. m.</v>
          </cell>
          <cell r="D7">
            <v>0</v>
          </cell>
          <cell r="E7">
            <v>609.87330000000009</v>
          </cell>
        </row>
        <row r="8">
          <cell r="A8" t="str">
            <v>1c</v>
          </cell>
          <cell r="B8" t="str">
            <v>Excavation (machine)</v>
          </cell>
          <cell r="C8" t="str">
            <v>cu. m.</v>
          </cell>
          <cell r="D8">
            <v>0</v>
          </cell>
          <cell r="E8">
            <v>618</v>
          </cell>
        </row>
        <row r="9">
          <cell r="A9" t="str">
            <v>1d</v>
          </cell>
          <cell r="B9" t="str">
            <v>Backfilling, common earth</v>
          </cell>
          <cell r="C9" t="str">
            <v>cu. m.</v>
          </cell>
          <cell r="D9">
            <v>0</v>
          </cell>
          <cell r="E9">
            <v>18.993200000000002</v>
          </cell>
        </row>
        <row r="10">
          <cell r="A10" t="str">
            <v>1e</v>
          </cell>
          <cell r="B10" t="str">
            <v>Backfilling, gravel fill</v>
          </cell>
          <cell r="C10" t="str">
            <v>cu. m.</v>
          </cell>
          <cell r="D10">
            <v>0</v>
          </cell>
          <cell r="E10">
            <v>200</v>
          </cell>
        </row>
        <row r="11">
          <cell r="A11" t="str">
            <v>1f</v>
          </cell>
          <cell r="B11" t="str">
            <v>Backfilling, escombro</v>
          </cell>
          <cell r="C11" t="str">
            <v>cu. m.</v>
          </cell>
          <cell r="D11">
            <v>0</v>
          </cell>
          <cell r="E11">
            <v>4.8513000000000002</v>
          </cell>
        </row>
        <row r="12">
          <cell r="A12" t="str">
            <v>1g</v>
          </cell>
          <cell r="B12" t="str">
            <v>Compaction (mechanical)</v>
          </cell>
          <cell r="C12" t="str">
            <v>cu. m.</v>
          </cell>
          <cell r="D12">
            <v>0</v>
          </cell>
          <cell r="E12">
            <v>20.435200000000002</v>
          </cell>
        </row>
        <row r="13">
          <cell r="A13" t="str">
            <v>1h</v>
          </cell>
          <cell r="B13" t="str">
            <v>Disposal of soil</v>
          </cell>
          <cell r="C13" t="str">
            <v>cu. m.</v>
          </cell>
          <cell r="D13">
            <v>0</v>
          </cell>
          <cell r="E13">
            <v>39.284199999999998</v>
          </cell>
        </row>
        <row r="14">
          <cell r="A14" t="str">
            <v>1i</v>
          </cell>
          <cell r="B14" t="str">
            <v>Hauling of soil</v>
          </cell>
          <cell r="C14" t="str">
            <v>cu. m.</v>
          </cell>
          <cell r="D14">
            <v>0</v>
          </cell>
          <cell r="E14">
            <v>23.175000000000001</v>
          </cell>
        </row>
        <row r="15">
          <cell r="A15">
            <v>1.01</v>
          </cell>
          <cell r="B15" t="str">
            <v>3/4" Crushed Gravel</v>
          </cell>
          <cell r="C15" t="str">
            <v>cu. m.</v>
          </cell>
          <cell r="D15">
            <v>577.5</v>
          </cell>
          <cell r="E15">
            <v>0</v>
          </cell>
        </row>
        <row r="16">
          <cell r="A16">
            <v>1.02</v>
          </cell>
          <cell r="B16" t="str">
            <v>3/8" Crushed Gravel</v>
          </cell>
          <cell r="C16" t="str">
            <v>cu. m.</v>
          </cell>
          <cell r="D16">
            <v>525</v>
          </cell>
          <cell r="E16">
            <v>0</v>
          </cell>
        </row>
        <row r="17">
          <cell r="A17">
            <v>1.03</v>
          </cell>
          <cell r="B17" t="str">
            <v>G-1 Crushed Gravel</v>
          </cell>
          <cell r="C17" t="str">
            <v>cu. m.</v>
          </cell>
          <cell r="D17">
            <v>600</v>
          </cell>
          <cell r="E17">
            <v>0</v>
          </cell>
        </row>
        <row r="18">
          <cell r="A18">
            <v>1.04</v>
          </cell>
          <cell r="B18" t="str">
            <v>Lastillas</v>
          </cell>
          <cell r="C18" t="str">
            <v>cu. m.</v>
          </cell>
          <cell r="D18">
            <v>294</v>
          </cell>
          <cell r="E18">
            <v>0</v>
          </cell>
        </row>
        <row r="19">
          <cell r="A19">
            <v>1.05</v>
          </cell>
          <cell r="B19" t="str">
            <v>Washed Sand</v>
          </cell>
          <cell r="C19" t="str">
            <v>cu. m.</v>
          </cell>
          <cell r="D19">
            <v>500</v>
          </cell>
          <cell r="E19">
            <v>0</v>
          </cell>
        </row>
        <row r="20">
          <cell r="A20">
            <v>1.06</v>
          </cell>
          <cell r="B20" t="str">
            <v>White Sand (Ordinary)</v>
          </cell>
          <cell r="C20" t="str">
            <v>cu. m.</v>
          </cell>
          <cell r="D20">
            <v>22</v>
          </cell>
          <cell r="E20">
            <v>0</v>
          </cell>
        </row>
        <row r="21">
          <cell r="A21">
            <v>1.07</v>
          </cell>
          <cell r="B21" t="str">
            <v>Select Fill</v>
          </cell>
          <cell r="C21" t="str">
            <v>cu. m.</v>
          </cell>
          <cell r="D21">
            <v>126</v>
          </cell>
          <cell r="E21">
            <v>0</v>
          </cell>
        </row>
        <row r="22">
          <cell r="A22">
            <v>1.08</v>
          </cell>
          <cell r="B22" t="str">
            <v>Clearing and Grubbing</v>
          </cell>
          <cell r="C22" t="str">
            <v>sq.m.</v>
          </cell>
          <cell r="D22">
            <v>0</v>
          </cell>
          <cell r="E22">
            <v>10.3</v>
          </cell>
        </row>
        <row r="23">
          <cell r="A23">
            <v>3</v>
          </cell>
          <cell r="B23" t="str">
            <v>Cement</v>
          </cell>
          <cell r="D23">
            <v>0</v>
          </cell>
          <cell r="E23">
            <v>0</v>
          </cell>
        </row>
        <row r="24">
          <cell r="A24">
            <v>3.01</v>
          </cell>
          <cell r="B24" t="str">
            <v>Colored Cement</v>
          </cell>
          <cell r="C24" t="str">
            <v>kg.</v>
          </cell>
          <cell r="D24">
            <v>28.35</v>
          </cell>
          <cell r="E24">
            <v>0</v>
          </cell>
        </row>
        <row r="25">
          <cell r="A25">
            <v>3.02</v>
          </cell>
          <cell r="B25" t="str">
            <v>Portland Type 1, 40-kg/bag</v>
          </cell>
          <cell r="C25" t="str">
            <v>bag</v>
          </cell>
          <cell r="D25">
            <v>130</v>
          </cell>
          <cell r="E25">
            <v>0</v>
          </cell>
        </row>
        <row r="26">
          <cell r="A26">
            <v>3.03</v>
          </cell>
          <cell r="B26" t="str">
            <v>Pozzolan 40-kg/bag</v>
          </cell>
          <cell r="C26" t="str">
            <v>bag</v>
          </cell>
          <cell r="D26">
            <v>105</v>
          </cell>
          <cell r="E26">
            <v>0</v>
          </cell>
        </row>
        <row r="27">
          <cell r="A27">
            <v>4</v>
          </cell>
          <cell r="B27" t="str">
            <v>Concrete</v>
          </cell>
          <cell r="D27">
            <v>0</v>
          </cell>
          <cell r="E27">
            <v>0</v>
          </cell>
        </row>
        <row r="28">
          <cell r="A28" t="str">
            <v>4a</v>
          </cell>
          <cell r="B28" t="str">
            <v>Concreting of column (exterior)</v>
          </cell>
          <cell r="C28" t="str">
            <v>cu. m.</v>
          </cell>
          <cell r="D28">
            <v>0</v>
          </cell>
          <cell r="E28">
            <v>462.21250000000003</v>
          </cell>
        </row>
        <row r="29">
          <cell r="A29" t="str">
            <v>4b</v>
          </cell>
          <cell r="B29" t="str">
            <v>Concreting of column (interior)</v>
          </cell>
          <cell r="C29" t="str">
            <v>cu. m.</v>
          </cell>
          <cell r="D29">
            <v>0</v>
          </cell>
          <cell r="E29">
            <v>462.21250000000003</v>
          </cell>
        </row>
        <row r="30">
          <cell r="A30" t="str">
            <v>4c</v>
          </cell>
          <cell r="B30" t="str">
            <v>Concreting of beams/girders</v>
          </cell>
          <cell r="C30" t="str">
            <v>cu. m.</v>
          </cell>
          <cell r="D30">
            <v>0</v>
          </cell>
          <cell r="E30">
            <v>554.65499999999997</v>
          </cell>
        </row>
        <row r="31">
          <cell r="A31" t="str">
            <v>4d</v>
          </cell>
          <cell r="B31" t="str">
            <v>Concreting of floor slab (elevated)</v>
          </cell>
          <cell r="C31" t="str">
            <v>cu. m.</v>
          </cell>
          <cell r="D31">
            <v>0</v>
          </cell>
          <cell r="E31">
            <v>116.57540000000002</v>
          </cell>
        </row>
        <row r="32">
          <cell r="A32" t="str">
            <v>4e</v>
          </cell>
          <cell r="B32" t="str">
            <v>Concreting of floor slab (ground)</v>
          </cell>
          <cell r="C32" t="str">
            <v>cu. m.</v>
          </cell>
          <cell r="D32">
            <v>0</v>
          </cell>
          <cell r="E32">
            <v>900</v>
          </cell>
        </row>
        <row r="33">
          <cell r="A33" t="str">
            <v>4f</v>
          </cell>
          <cell r="B33" t="str">
            <v>Concreting of footing</v>
          </cell>
          <cell r="C33" t="str">
            <v>cu. m.</v>
          </cell>
          <cell r="D33">
            <v>0</v>
          </cell>
          <cell r="E33">
            <v>117.34790000000001</v>
          </cell>
        </row>
        <row r="34">
          <cell r="A34" t="str">
            <v>4g</v>
          </cell>
          <cell r="B34" t="str">
            <v>CHB laying, 4" thick</v>
          </cell>
          <cell r="C34" t="str">
            <v>pc.</v>
          </cell>
          <cell r="D34">
            <v>0</v>
          </cell>
          <cell r="E34">
            <v>7</v>
          </cell>
        </row>
        <row r="35">
          <cell r="A35" t="str">
            <v>4h</v>
          </cell>
          <cell r="B35" t="str">
            <v>CHB laying, 6" thick</v>
          </cell>
          <cell r="C35" t="str">
            <v>pc.</v>
          </cell>
          <cell r="D35">
            <v>0</v>
          </cell>
          <cell r="E35">
            <v>8</v>
          </cell>
        </row>
        <row r="36">
          <cell r="A36" t="str">
            <v>4i</v>
          </cell>
          <cell r="B36" t="str">
            <v>Demolition of elevated slab</v>
          </cell>
          <cell r="C36" t="str">
            <v>cu. m.</v>
          </cell>
          <cell r="D36">
            <v>0</v>
          </cell>
          <cell r="E36">
            <v>475.57160000000005</v>
          </cell>
        </row>
        <row r="37">
          <cell r="A37" t="str">
            <v>4j</v>
          </cell>
          <cell r="B37" t="str">
            <v>Demolition of solid masonry walls</v>
          </cell>
          <cell r="C37" t="str">
            <v>cu. m.</v>
          </cell>
          <cell r="D37">
            <v>0</v>
          </cell>
          <cell r="E37">
            <v>100</v>
          </cell>
        </row>
        <row r="38">
          <cell r="A38" t="str">
            <v>4k</v>
          </cell>
          <cell r="B38" t="str">
            <v>Demolition of reinforced concrete</v>
          </cell>
          <cell r="C38" t="str">
            <v>cu. m.</v>
          </cell>
          <cell r="D38">
            <v>0</v>
          </cell>
          <cell r="E38">
            <v>2000</v>
          </cell>
        </row>
        <row r="39">
          <cell r="A39" t="str">
            <v>4l</v>
          </cell>
          <cell r="B39" t="str">
            <v>Plastering</v>
          </cell>
          <cell r="C39" t="str">
            <v>sq.m.</v>
          </cell>
          <cell r="D39">
            <v>0</v>
          </cell>
          <cell r="E39">
            <v>50</v>
          </cell>
        </row>
        <row r="40">
          <cell r="A40" t="str">
            <v>4m</v>
          </cell>
          <cell r="B40" t="str">
            <v>Topping</v>
          </cell>
          <cell r="C40" t="str">
            <v>sq.m.</v>
          </cell>
          <cell r="D40">
            <v>0</v>
          </cell>
          <cell r="E40">
            <v>40</v>
          </cell>
        </row>
        <row r="41">
          <cell r="A41">
            <v>4.01</v>
          </cell>
          <cell r="B41" t="str">
            <v>CHB (non-load bearing), 4" x 8" x 16"</v>
          </cell>
          <cell r="C41" t="str">
            <v>pc.</v>
          </cell>
          <cell r="D41">
            <v>6</v>
          </cell>
          <cell r="E41">
            <v>0</v>
          </cell>
        </row>
        <row r="42">
          <cell r="A42">
            <v>4.0199999999999996</v>
          </cell>
          <cell r="B42" t="str">
            <v>CHB (non-load bearing), 6" x 8" x 16"</v>
          </cell>
          <cell r="C42" t="str">
            <v>pc.</v>
          </cell>
          <cell r="D42">
            <v>7.3500000000000005</v>
          </cell>
          <cell r="E42">
            <v>0</v>
          </cell>
        </row>
        <row r="43">
          <cell r="A43">
            <v>4.03</v>
          </cell>
          <cell r="B43" t="str">
            <v>Concrete Pipes Non-Reinforced,  6" dia.</v>
          </cell>
          <cell r="C43" t="str">
            <v>lm</v>
          </cell>
          <cell r="D43">
            <v>110.25</v>
          </cell>
          <cell r="E43">
            <v>0</v>
          </cell>
        </row>
        <row r="44">
          <cell r="A44">
            <v>4.04</v>
          </cell>
          <cell r="B44" t="str">
            <v>Concrete Pipes Non-Reinforced,  8" dia.</v>
          </cell>
          <cell r="C44" t="str">
            <v>lm</v>
          </cell>
          <cell r="D44">
            <v>147</v>
          </cell>
          <cell r="E44">
            <v>0</v>
          </cell>
        </row>
        <row r="45">
          <cell r="A45">
            <v>4.05</v>
          </cell>
          <cell r="B45" t="str">
            <v>Concrete Pipes Non-Reinforced, 10" dia.</v>
          </cell>
          <cell r="C45" t="str">
            <v>lm</v>
          </cell>
          <cell r="D45">
            <v>178.5</v>
          </cell>
          <cell r="E45">
            <v>0</v>
          </cell>
        </row>
        <row r="46">
          <cell r="A46">
            <v>4.0599999999999996</v>
          </cell>
          <cell r="B46" t="str">
            <v>Concrete Pipes Non-Reinforced, 12" dia.</v>
          </cell>
          <cell r="C46" t="str">
            <v>lm</v>
          </cell>
          <cell r="D46">
            <v>336</v>
          </cell>
          <cell r="E46">
            <v>0</v>
          </cell>
        </row>
        <row r="47">
          <cell r="A47">
            <v>4.07</v>
          </cell>
          <cell r="B47" t="str">
            <v>Concrete Pipes Non-Reinforced, 15" dia.</v>
          </cell>
          <cell r="C47" t="str">
            <v>lm</v>
          </cell>
          <cell r="D47">
            <v>409.5</v>
          </cell>
          <cell r="E47">
            <v>0</v>
          </cell>
        </row>
        <row r="48">
          <cell r="A48">
            <v>4.08</v>
          </cell>
          <cell r="B48" t="str">
            <v>Concrete Pipes Non-Reinforced, 18" dia.</v>
          </cell>
          <cell r="C48" t="str">
            <v>lm</v>
          </cell>
          <cell r="D48">
            <v>472.5</v>
          </cell>
          <cell r="E48">
            <v>0</v>
          </cell>
        </row>
        <row r="49">
          <cell r="A49">
            <v>4.09</v>
          </cell>
          <cell r="B49" t="str">
            <v>Concrete Pipes Reinforced, 18" dia.</v>
          </cell>
          <cell r="C49" t="str">
            <v>lm</v>
          </cell>
          <cell r="D49">
            <v>525</v>
          </cell>
          <cell r="E49">
            <v>0</v>
          </cell>
        </row>
        <row r="50">
          <cell r="A50">
            <v>4.0999999999999996</v>
          </cell>
          <cell r="B50" t="str">
            <v>Concrete Pipes Reinforced, 24" dia.</v>
          </cell>
          <cell r="C50" t="str">
            <v>lm</v>
          </cell>
          <cell r="D50">
            <v>787.5</v>
          </cell>
          <cell r="E50">
            <v>0</v>
          </cell>
        </row>
        <row r="51">
          <cell r="A51">
            <v>4.1100000000000003</v>
          </cell>
          <cell r="B51" t="str">
            <v>Concrete Pipes Reinforced, 36" dia.</v>
          </cell>
          <cell r="C51" t="str">
            <v>lm</v>
          </cell>
          <cell r="D51">
            <v>1260</v>
          </cell>
          <cell r="E51">
            <v>0</v>
          </cell>
        </row>
        <row r="52">
          <cell r="A52">
            <v>4.12</v>
          </cell>
          <cell r="B52" t="str">
            <v>Concrete Pipes Reinforced, 42" dia.</v>
          </cell>
          <cell r="C52" t="str">
            <v>lm</v>
          </cell>
          <cell r="D52">
            <v>1995</v>
          </cell>
          <cell r="E52">
            <v>0</v>
          </cell>
        </row>
        <row r="53">
          <cell r="A53">
            <v>4.13</v>
          </cell>
          <cell r="B53" t="str">
            <v>RMC w/o Pump, Delivered, 28 days, 3/4", 2500 psi</v>
          </cell>
          <cell r="C53" t="str">
            <v>cu. m.</v>
          </cell>
          <cell r="D53">
            <v>1732.5</v>
          </cell>
          <cell r="E53">
            <v>0</v>
          </cell>
        </row>
        <row r="54">
          <cell r="A54">
            <v>4.1399999999999997</v>
          </cell>
          <cell r="B54" t="str">
            <v>RMC w/o Pump, Delivered, 28 days, 3/4", 3000 psi</v>
          </cell>
          <cell r="C54" t="str">
            <v>cu. m.</v>
          </cell>
          <cell r="D54">
            <v>1837.5</v>
          </cell>
          <cell r="E54">
            <v>0</v>
          </cell>
        </row>
        <row r="55">
          <cell r="A55">
            <v>4.1500000000000004</v>
          </cell>
          <cell r="B55" t="str">
            <v>RMC w/o Pump, Delivered, 28 days, 3/4", 4000 psi</v>
          </cell>
          <cell r="C55" t="str">
            <v>cu. m.</v>
          </cell>
          <cell r="D55">
            <v>2299.5</v>
          </cell>
          <cell r="E55">
            <v>0</v>
          </cell>
        </row>
        <row r="56">
          <cell r="A56">
            <v>5</v>
          </cell>
          <cell r="B56" t="str">
            <v>Doors and Windows</v>
          </cell>
          <cell r="D56">
            <v>0</v>
          </cell>
          <cell r="E56">
            <v>0</v>
          </cell>
        </row>
        <row r="57">
          <cell r="A57" t="str">
            <v>5a</v>
          </cell>
          <cell r="B57" t="str">
            <v>Installation of Door</v>
          </cell>
          <cell r="C57" t="str">
            <v>sq.m.</v>
          </cell>
          <cell r="D57">
            <v>0</v>
          </cell>
          <cell r="E57">
            <v>180</v>
          </cell>
        </row>
        <row r="58">
          <cell r="A58" t="str">
            <v>5b</v>
          </cell>
          <cell r="B58" t="str">
            <v>Installation of Door Lockset</v>
          </cell>
          <cell r="C58" t="str">
            <v>set</v>
          </cell>
          <cell r="D58">
            <v>0</v>
          </cell>
          <cell r="E58">
            <v>200</v>
          </cell>
        </row>
        <row r="59">
          <cell r="A59" t="str">
            <v>5c</v>
          </cell>
          <cell r="B59" t="str">
            <v>Installation of Window Panel (Wood)</v>
          </cell>
          <cell r="C59" t="str">
            <v>sq.m.</v>
          </cell>
          <cell r="D59">
            <v>0</v>
          </cell>
          <cell r="E59">
            <v>108.7371</v>
          </cell>
        </row>
        <row r="60">
          <cell r="A60" t="str">
            <v>5d</v>
          </cell>
          <cell r="B60" t="str">
            <v>Installation of Door/Window Jamb</v>
          </cell>
          <cell r="C60" t="str">
            <v>set</v>
          </cell>
          <cell r="D60">
            <v>0</v>
          </cell>
          <cell r="E60">
            <v>500</v>
          </cell>
        </row>
        <row r="61">
          <cell r="A61" t="str">
            <v>5e</v>
          </cell>
          <cell r="B61" t="str">
            <v>Removal of Door/Window jamb</v>
          </cell>
          <cell r="C61" t="str">
            <v>m</v>
          </cell>
          <cell r="D61">
            <v>0</v>
          </cell>
          <cell r="E61">
            <v>10</v>
          </cell>
        </row>
        <row r="62">
          <cell r="A62" t="str">
            <v>5f</v>
          </cell>
          <cell r="B62" t="str">
            <v>Repair of Door/Window Jamb</v>
          </cell>
          <cell r="C62" t="str">
            <v>bd. ft.</v>
          </cell>
          <cell r="D62">
            <v>0</v>
          </cell>
          <cell r="E62">
            <v>20.558800000000002</v>
          </cell>
        </row>
        <row r="63">
          <cell r="A63" t="str">
            <v>5g</v>
          </cell>
          <cell r="B63" t="str">
            <v>Installation of Door/Window Jamb</v>
          </cell>
          <cell r="C63" t="str">
            <v>bd. ft.</v>
          </cell>
          <cell r="D63">
            <v>0</v>
          </cell>
          <cell r="E63">
            <v>500</v>
          </cell>
        </row>
        <row r="64">
          <cell r="A64" t="str">
            <v>5h</v>
          </cell>
          <cell r="B64" t="str">
            <v>Removal of Door</v>
          </cell>
          <cell r="C64" t="str">
            <v>sq. m.</v>
          </cell>
          <cell r="D64">
            <v>0</v>
          </cell>
          <cell r="E64">
            <v>20</v>
          </cell>
        </row>
        <row r="65">
          <cell r="A65" t="str">
            <v>5i</v>
          </cell>
          <cell r="B65" t="str">
            <v>Removal of Window Frame w/ Blades</v>
          </cell>
          <cell r="C65" t="str">
            <v>sq. m.</v>
          </cell>
          <cell r="D65">
            <v>0</v>
          </cell>
          <cell r="E65">
            <v>40</v>
          </cell>
        </row>
        <row r="66">
          <cell r="A66" t="str">
            <v>5i1</v>
          </cell>
          <cell r="B66" t="str">
            <v>Removal of Window Panel (Wood)</v>
          </cell>
          <cell r="C66" t="str">
            <v>sq. m.</v>
          </cell>
          <cell r="D66">
            <v>0</v>
          </cell>
          <cell r="E66">
            <v>9.6820000000000004</v>
          </cell>
        </row>
        <row r="67">
          <cell r="A67" t="str">
            <v>5j</v>
          </cell>
          <cell r="B67" t="str">
            <v>Fab. &amp; Inst. of Steel Casement w/ Grill</v>
          </cell>
          <cell r="C67" t="str">
            <v>sq.m.</v>
          </cell>
          <cell r="D67">
            <v>0</v>
          </cell>
          <cell r="E67">
            <v>130</v>
          </cell>
        </row>
        <row r="68">
          <cell r="A68" t="str">
            <v>5k</v>
          </cell>
          <cell r="B68" t="str">
            <v>Fab. &amp; Inst. of Steel Casement w/o Grill</v>
          </cell>
          <cell r="C68" t="str">
            <v>sq.m.</v>
          </cell>
          <cell r="D68">
            <v>0</v>
          </cell>
          <cell r="E68">
            <v>376.8152</v>
          </cell>
        </row>
        <row r="69">
          <cell r="A69" t="str">
            <v>5l</v>
          </cell>
          <cell r="B69" t="str">
            <v>Repair of Window Blades</v>
          </cell>
          <cell r="C69" t="str">
            <v>sq.m.</v>
          </cell>
          <cell r="D69">
            <v>0</v>
          </cell>
          <cell r="E69">
            <v>108.7371</v>
          </cell>
        </row>
        <row r="70">
          <cell r="A70">
            <v>5.01</v>
          </cell>
          <cell r="B70" t="str">
            <v>Flush Door, 0.60m x 2.10m</v>
          </cell>
          <cell r="C70" t="str">
            <v>pc.</v>
          </cell>
          <cell r="D70">
            <v>945</v>
          </cell>
          <cell r="E70">
            <v>0</v>
          </cell>
        </row>
        <row r="71">
          <cell r="A71">
            <v>5.0199999999999996</v>
          </cell>
          <cell r="B71" t="str">
            <v>Flush Door, 0.70m x 2.10m</v>
          </cell>
          <cell r="C71" t="str">
            <v>pc.</v>
          </cell>
          <cell r="D71">
            <v>997.5</v>
          </cell>
          <cell r="E71">
            <v>0</v>
          </cell>
        </row>
        <row r="72">
          <cell r="A72">
            <v>5.03</v>
          </cell>
          <cell r="B72" t="str">
            <v>Flush Door, 0.80m x 2.10m, Plain</v>
          </cell>
          <cell r="C72" t="str">
            <v>pc.</v>
          </cell>
          <cell r="D72">
            <v>997.5</v>
          </cell>
          <cell r="E72">
            <v>0</v>
          </cell>
        </row>
        <row r="73">
          <cell r="A73">
            <v>5.04</v>
          </cell>
          <cell r="B73" t="str">
            <v>Flush Door, 0.90m x 2.10m, Plain</v>
          </cell>
          <cell r="C73" t="str">
            <v>pc.</v>
          </cell>
          <cell r="D73">
            <v>840</v>
          </cell>
          <cell r="E73">
            <v>0</v>
          </cell>
        </row>
        <row r="74">
          <cell r="A74">
            <v>5.05</v>
          </cell>
          <cell r="B74" t="str">
            <v>Flush Door, 0.90m x 2.10m, (1-Face)</v>
          </cell>
          <cell r="C74" t="str">
            <v>pc.</v>
          </cell>
          <cell r="D74">
            <v>1575</v>
          </cell>
          <cell r="E74">
            <v>0</v>
          </cell>
        </row>
        <row r="75">
          <cell r="A75">
            <v>5.0599999999999996</v>
          </cell>
          <cell r="B75" t="str">
            <v>Window Steel Frame w/ grill</v>
          </cell>
          <cell r="C75" t="str">
            <v>sq. ft.</v>
          </cell>
          <cell r="D75">
            <v>94.5</v>
          </cell>
          <cell r="E75">
            <v>0</v>
          </cell>
        </row>
        <row r="76">
          <cell r="A76">
            <v>5.07</v>
          </cell>
          <cell r="B76" t="str">
            <v>Window Steel Frame w/o grill</v>
          </cell>
          <cell r="C76" t="str">
            <v>sq. ft.</v>
          </cell>
          <cell r="D76">
            <v>78.75</v>
          </cell>
          <cell r="E76">
            <v>0</v>
          </cell>
        </row>
        <row r="77">
          <cell r="A77">
            <v>5.08</v>
          </cell>
          <cell r="B77" t="str">
            <v>Window Frame w/ Jalousies</v>
          </cell>
          <cell r="C77" t="str">
            <v>sq. m.</v>
          </cell>
          <cell r="D77">
            <v>958.65000000000009</v>
          </cell>
          <cell r="E77">
            <v>0</v>
          </cell>
        </row>
        <row r="78">
          <cell r="A78">
            <v>5.09</v>
          </cell>
          <cell r="B78" t="str">
            <v>Window Panel (Wood)</v>
          </cell>
          <cell r="C78" t="str">
            <v>sq. m.</v>
          </cell>
          <cell r="D78">
            <v>619.5</v>
          </cell>
          <cell r="E78">
            <v>0</v>
          </cell>
        </row>
        <row r="79">
          <cell r="A79">
            <v>5.0999999999999996</v>
          </cell>
          <cell r="B79" t="str">
            <v>Installation of Windows Grill</v>
          </cell>
          <cell r="C79" t="str">
            <v>kg.</v>
          </cell>
          <cell r="D79">
            <v>0</v>
          </cell>
          <cell r="E79">
            <v>6.6950000000000003</v>
          </cell>
        </row>
        <row r="80">
          <cell r="A80">
            <v>5.1100000000000003</v>
          </cell>
          <cell r="B80" t="str">
            <v>Panel Door</v>
          </cell>
          <cell r="C80" t="str">
            <v>pc.</v>
          </cell>
          <cell r="D80">
            <v>2700</v>
          </cell>
          <cell r="E80">
            <v>0</v>
          </cell>
        </row>
        <row r="81">
          <cell r="A81">
            <v>5.12</v>
          </cell>
          <cell r="B81" t="str">
            <v>Steel Casement w/ Grill</v>
          </cell>
          <cell r="C81" t="str">
            <v>sq.m.</v>
          </cell>
          <cell r="D81">
            <v>1200</v>
          </cell>
          <cell r="E81">
            <v>0</v>
          </cell>
        </row>
        <row r="82">
          <cell r="A82">
            <v>5.13</v>
          </cell>
          <cell r="B82" t="str">
            <v>Steel Casement w/o Grill</v>
          </cell>
          <cell r="C82" t="str">
            <v>sq.m.</v>
          </cell>
          <cell r="D82">
            <v>575.98799999999994</v>
          </cell>
          <cell r="E82">
            <v>0</v>
          </cell>
        </row>
        <row r="83">
          <cell r="A83">
            <v>6</v>
          </cell>
          <cell r="B83" t="str">
            <v>Electrical Fixtures</v>
          </cell>
          <cell r="D83">
            <v>0</v>
          </cell>
          <cell r="E83">
            <v>0</v>
          </cell>
        </row>
        <row r="84">
          <cell r="A84">
            <v>6.01</v>
          </cell>
          <cell r="B84" t="str">
            <v>Bulb, 15   Watts</v>
          </cell>
          <cell r="C84" t="str">
            <v>pc.</v>
          </cell>
          <cell r="D84">
            <v>18.900000000000002</v>
          </cell>
          <cell r="E84">
            <v>0</v>
          </cell>
        </row>
        <row r="85">
          <cell r="A85">
            <v>6.02</v>
          </cell>
          <cell r="B85" t="str">
            <v>Bulb, 75   Watts</v>
          </cell>
          <cell r="C85" t="str">
            <v>pc.</v>
          </cell>
          <cell r="D85">
            <v>26.25</v>
          </cell>
          <cell r="E85">
            <v>0</v>
          </cell>
        </row>
        <row r="86">
          <cell r="A86">
            <v>6.03</v>
          </cell>
          <cell r="B86" t="str">
            <v>Bulb, 100 Watts</v>
          </cell>
          <cell r="C86" t="str">
            <v>pc.</v>
          </cell>
          <cell r="D86">
            <v>40</v>
          </cell>
          <cell r="E86">
            <v>0</v>
          </cell>
        </row>
        <row r="87">
          <cell r="A87">
            <v>6.04</v>
          </cell>
          <cell r="B87" t="str">
            <v>Flourescent Lamp, 20 Watts</v>
          </cell>
          <cell r="C87" t="str">
            <v>pc.</v>
          </cell>
          <cell r="D87">
            <v>57.75</v>
          </cell>
          <cell r="E87">
            <v>0</v>
          </cell>
        </row>
        <row r="88">
          <cell r="A88">
            <v>6.05</v>
          </cell>
          <cell r="B88" t="str">
            <v>Flourescent Lamp, 40 Watts</v>
          </cell>
          <cell r="C88" t="str">
            <v>pc.</v>
          </cell>
          <cell r="D88">
            <v>80</v>
          </cell>
          <cell r="E88">
            <v>0</v>
          </cell>
        </row>
        <row r="89">
          <cell r="A89" t="str">
            <v>6.05A</v>
          </cell>
          <cell r="B89" t="str">
            <v>Flourescent Lamp, 40 Watts w/ Housing</v>
          </cell>
          <cell r="C89" t="str">
            <v>pc.</v>
          </cell>
          <cell r="D89">
            <v>210</v>
          </cell>
        </row>
        <row r="90">
          <cell r="A90">
            <v>6.06</v>
          </cell>
          <cell r="B90" t="str">
            <v>Flourescent Housing/Base 40 Watts (single)</v>
          </cell>
          <cell r="C90" t="str">
            <v>pc.</v>
          </cell>
          <cell r="D90">
            <v>200</v>
          </cell>
          <cell r="E90">
            <v>0</v>
          </cell>
        </row>
        <row r="91">
          <cell r="A91">
            <v>6.07</v>
          </cell>
          <cell r="B91" t="str">
            <v>Flourescent Housing/Base 40 Watts (double)</v>
          </cell>
          <cell r="C91" t="str">
            <v>pc.</v>
          </cell>
          <cell r="D91">
            <v>409.5</v>
          </cell>
          <cell r="E91">
            <v>0</v>
          </cell>
        </row>
        <row r="92">
          <cell r="A92">
            <v>6.08</v>
          </cell>
          <cell r="B92" t="str">
            <v>Flourescent Lamp 2 x 40W industrial type</v>
          </cell>
          <cell r="C92" t="str">
            <v>set</v>
          </cell>
          <cell r="D92">
            <v>2940</v>
          </cell>
          <cell r="E92">
            <v>0</v>
          </cell>
        </row>
        <row r="93">
          <cell r="A93">
            <v>6.09</v>
          </cell>
          <cell r="B93" t="str">
            <v>Flourescent Lamp 40W industrial type</v>
          </cell>
          <cell r="C93" t="str">
            <v>set</v>
          </cell>
          <cell r="D93">
            <v>367.5</v>
          </cell>
          <cell r="E93">
            <v>0</v>
          </cell>
        </row>
        <row r="94">
          <cell r="A94">
            <v>6.1</v>
          </cell>
          <cell r="B94" t="str">
            <v>Installation of Flourescent Housing</v>
          </cell>
          <cell r="C94" t="str">
            <v>set</v>
          </cell>
          <cell r="E94">
            <v>400</v>
          </cell>
        </row>
        <row r="95">
          <cell r="A95">
            <v>6.11</v>
          </cell>
          <cell r="B95" t="str">
            <v>Re-installation of Electrical Wiring/Fixtures</v>
          </cell>
          <cell r="C95" t="str">
            <v>lot</v>
          </cell>
          <cell r="E95">
            <v>6000</v>
          </cell>
        </row>
        <row r="96">
          <cell r="A96">
            <v>6.12</v>
          </cell>
          <cell r="B96" t="str">
            <v>Installation of Flourescent Lamp</v>
          </cell>
          <cell r="C96" t="str">
            <v>set</v>
          </cell>
          <cell r="E96">
            <v>61.8</v>
          </cell>
        </row>
        <row r="97">
          <cell r="A97">
            <v>7</v>
          </cell>
          <cell r="B97" t="str">
            <v>Electrical Rough-ins</v>
          </cell>
        </row>
        <row r="98">
          <cell r="A98">
            <v>7.01</v>
          </cell>
          <cell r="B98" t="str">
            <v>Junction Box Metal, 4" x 4"</v>
          </cell>
          <cell r="C98" t="str">
            <v>pc.</v>
          </cell>
          <cell r="D98">
            <v>22</v>
          </cell>
          <cell r="E98">
            <v>0</v>
          </cell>
        </row>
        <row r="99">
          <cell r="A99">
            <v>7.02</v>
          </cell>
          <cell r="B99" t="str">
            <v>Utility Box Metal, 2" x 4"</v>
          </cell>
          <cell r="C99" t="str">
            <v>pc.</v>
          </cell>
          <cell r="D99">
            <v>20</v>
          </cell>
          <cell r="E99">
            <v>0</v>
          </cell>
        </row>
        <row r="100">
          <cell r="A100">
            <v>7.03</v>
          </cell>
          <cell r="B100" t="str">
            <v>Cutout Box w/ Cover, 3" x 5" x 8"</v>
          </cell>
          <cell r="C100" t="str">
            <v>pc.</v>
          </cell>
          <cell r="D100">
            <v>136.5</v>
          </cell>
          <cell r="E100">
            <v>0</v>
          </cell>
        </row>
        <row r="101">
          <cell r="A101">
            <v>7.04</v>
          </cell>
          <cell r="B101" t="str">
            <v>1-Gang Plate Cover (Veto Brand)</v>
          </cell>
          <cell r="C101" t="str">
            <v>pc.</v>
          </cell>
          <cell r="D101">
            <v>110</v>
          </cell>
          <cell r="E101">
            <v>0</v>
          </cell>
        </row>
        <row r="102">
          <cell r="A102">
            <v>7.05</v>
          </cell>
          <cell r="B102" t="str">
            <v>2-Gang Plate Cover (Veto Brand)</v>
          </cell>
          <cell r="C102" t="str">
            <v>pc.</v>
          </cell>
          <cell r="D102">
            <v>170</v>
          </cell>
          <cell r="E102">
            <v>0</v>
          </cell>
        </row>
        <row r="103">
          <cell r="A103">
            <v>7.06</v>
          </cell>
          <cell r="B103" t="str">
            <v>Conduit Elbow, 1" dia.</v>
          </cell>
          <cell r="C103" t="str">
            <v>pc.</v>
          </cell>
          <cell r="D103">
            <v>50</v>
          </cell>
          <cell r="E103">
            <v>0</v>
          </cell>
        </row>
        <row r="104">
          <cell r="A104">
            <v>7.07</v>
          </cell>
          <cell r="B104" t="str">
            <v>Convenience Outlet, Duplex</v>
          </cell>
          <cell r="C104" t="str">
            <v>pc.</v>
          </cell>
          <cell r="D104">
            <v>170</v>
          </cell>
          <cell r="E104">
            <v>0</v>
          </cell>
        </row>
        <row r="105">
          <cell r="A105">
            <v>7.08</v>
          </cell>
          <cell r="B105" t="str">
            <v>Porcelain Receptacle, 2" dia.</v>
          </cell>
          <cell r="C105" t="str">
            <v>pc.</v>
          </cell>
          <cell r="D105">
            <v>15</v>
          </cell>
          <cell r="E105">
            <v>0</v>
          </cell>
        </row>
        <row r="106">
          <cell r="A106">
            <v>7.09</v>
          </cell>
          <cell r="B106" t="str">
            <v>Safety Switch, Flush type</v>
          </cell>
          <cell r="C106" t="str">
            <v>pc.</v>
          </cell>
          <cell r="D106">
            <v>220</v>
          </cell>
          <cell r="E106">
            <v>0</v>
          </cell>
        </row>
        <row r="107">
          <cell r="A107">
            <v>7.1</v>
          </cell>
          <cell r="B107" t="str">
            <v>Switch Outlet, Flush type</v>
          </cell>
          <cell r="C107" t="str">
            <v>pc.</v>
          </cell>
          <cell r="D107">
            <v>170</v>
          </cell>
          <cell r="E107">
            <v>0</v>
          </cell>
        </row>
        <row r="108">
          <cell r="A108">
            <v>7.11</v>
          </cell>
          <cell r="B108" t="str">
            <v>Weather-proof Outlet, Double (Eagle)</v>
          </cell>
          <cell r="C108" t="str">
            <v>pc.</v>
          </cell>
          <cell r="D108">
            <v>173.25</v>
          </cell>
          <cell r="E108">
            <v>0</v>
          </cell>
        </row>
        <row r="109">
          <cell r="A109">
            <v>7.12</v>
          </cell>
          <cell r="B109" t="str">
            <v>Weather-proof Outlet, Single (Eagle)</v>
          </cell>
          <cell r="C109" t="str">
            <v>pc.</v>
          </cell>
          <cell r="D109">
            <v>157.5</v>
          </cell>
          <cell r="E109">
            <v>0</v>
          </cell>
        </row>
        <row r="110">
          <cell r="A110">
            <v>7.13</v>
          </cell>
          <cell r="B110" t="str">
            <v>THW Wire # 4, 22 mm2</v>
          </cell>
          <cell r="C110" t="str">
            <v>l-m</v>
          </cell>
          <cell r="D110">
            <v>31.5</v>
          </cell>
          <cell r="E110">
            <v>0</v>
          </cell>
        </row>
        <row r="111">
          <cell r="A111">
            <v>7.14</v>
          </cell>
          <cell r="B111" t="str">
            <v>THW Wire # 12, 3.5 mm2</v>
          </cell>
          <cell r="C111" t="str">
            <v>roll</v>
          </cell>
          <cell r="D111">
            <v>1417.5</v>
          </cell>
          <cell r="E111">
            <v>0</v>
          </cell>
        </row>
        <row r="112">
          <cell r="A112">
            <v>7.15</v>
          </cell>
          <cell r="B112" t="str">
            <v>Bare Copper Wire, 5.5 mm2</v>
          </cell>
          <cell r="C112" t="str">
            <v>l-m</v>
          </cell>
          <cell r="D112">
            <v>5.25</v>
          </cell>
          <cell r="E112">
            <v>0</v>
          </cell>
        </row>
        <row r="113">
          <cell r="A113">
            <v>7.16</v>
          </cell>
          <cell r="B113" t="str">
            <v>Grounding Rod, 3 m x 20 mm dia.</v>
          </cell>
          <cell r="C113" t="str">
            <v>pc.</v>
          </cell>
          <cell r="D113">
            <v>1155</v>
          </cell>
          <cell r="E113">
            <v>0</v>
          </cell>
        </row>
        <row r="114">
          <cell r="A114">
            <v>7.17</v>
          </cell>
          <cell r="B114" t="str">
            <v>RSC, 25 mm dia.</v>
          </cell>
          <cell r="C114" t="str">
            <v>pc.</v>
          </cell>
          <cell r="D114">
            <v>262.5</v>
          </cell>
          <cell r="E114">
            <v>0</v>
          </cell>
        </row>
        <row r="115">
          <cell r="A115">
            <v>7.18</v>
          </cell>
          <cell r="B115" t="str">
            <v>Single Pole Switch</v>
          </cell>
          <cell r="C115" t="str">
            <v>pc.</v>
          </cell>
          <cell r="D115">
            <v>15.75</v>
          </cell>
          <cell r="E115">
            <v>0</v>
          </cell>
        </row>
        <row r="116">
          <cell r="A116">
            <v>7.19</v>
          </cell>
          <cell r="B116" t="str">
            <v>Panel Board (4-Branches)</v>
          </cell>
          <cell r="C116" t="str">
            <v>set</v>
          </cell>
          <cell r="D116">
            <v>367.5</v>
          </cell>
          <cell r="E116">
            <v>0</v>
          </cell>
        </row>
        <row r="117">
          <cell r="A117">
            <v>7.2</v>
          </cell>
          <cell r="B117" t="str">
            <v>Circuit Breaker, 100A, 230V</v>
          </cell>
          <cell r="C117" t="str">
            <v>set</v>
          </cell>
          <cell r="D117">
            <v>525</v>
          </cell>
          <cell r="E117">
            <v>0</v>
          </cell>
        </row>
        <row r="118">
          <cell r="A118">
            <v>7.21</v>
          </cell>
          <cell r="B118" t="str">
            <v>Circuit Breaker, 20A, 230V</v>
          </cell>
          <cell r="C118" t="str">
            <v>set</v>
          </cell>
          <cell r="D118">
            <v>262.5</v>
          </cell>
          <cell r="E118">
            <v>0</v>
          </cell>
        </row>
        <row r="119">
          <cell r="A119">
            <v>7.22</v>
          </cell>
          <cell r="B119" t="str">
            <v>Entrance Cap</v>
          </cell>
          <cell r="C119" t="str">
            <v>pc.</v>
          </cell>
          <cell r="D119">
            <v>80</v>
          </cell>
          <cell r="E119">
            <v>0</v>
          </cell>
        </row>
        <row r="120">
          <cell r="A120">
            <v>7.23</v>
          </cell>
          <cell r="B120" t="str">
            <v>Electrical Tape</v>
          </cell>
          <cell r="C120" t="str">
            <v>pc.</v>
          </cell>
          <cell r="D120">
            <v>20</v>
          </cell>
          <cell r="E120">
            <v>0</v>
          </cell>
        </row>
        <row r="121">
          <cell r="A121">
            <v>7.24</v>
          </cell>
          <cell r="B121" t="str">
            <v>Electrical Installation per Outlet</v>
          </cell>
          <cell r="C121" t="str">
            <v>set</v>
          </cell>
          <cell r="D121">
            <v>0</v>
          </cell>
          <cell r="E121">
            <v>500</v>
          </cell>
        </row>
        <row r="122">
          <cell r="A122">
            <v>7.25</v>
          </cell>
          <cell r="B122" t="str">
            <v>Electrical Installation per Safety Switch</v>
          </cell>
          <cell r="C122" t="str">
            <v>set</v>
          </cell>
          <cell r="D122">
            <v>0</v>
          </cell>
          <cell r="E122">
            <v>1000</v>
          </cell>
        </row>
        <row r="123">
          <cell r="A123">
            <v>7.26</v>
          </cell>
          <cell r="B123" t="str">
            <v>TW 2.0 mm2</v>
          </cell>
          <cell r="C123" t="str">
            <v>roll</v>
          </cell>
          <cell r="D123">
            <v>945</v>
          </cell>
          <cell r="E123">
            <v>0</v>
          </cell>
        </row>
        <row r="124">
          <cell r="A124">
            <v>7.27</v>
          </cell>
          <cell r="B124" t="str">
            <v>THW 14 mm2</v>
          </cell>
          <cell r="C124" t="str">
            <v>l-m</v>
          </cell>
          <cell r="D124">
            <v>31.5</v>
          </cell>
          <cell r="E124">
            <v>0</v>
          </cell>
        </row>
        <row r="125">
          <cell r="A125">
            <v>7.28</v>
          </cell>
          <cell r="B125" t="str">
            <v>Bare Copper Wire 14 mm2</v>
          </cell>
          <cell r="C125" t="str">
            <v>l-m</v>
          </cell>
          <cell r="D125">
            <v>24.150000000000002</v>
          </cell>
          <cell r="E125">
            <v>0</v>
          </cell>
        </row>
        <row r="126">
          <cell r="A126">
            <v>7.29</v>
          </cell>
          <cell r="B126" t="str">
            <v>Two-Gang Switch with Cover</v>
          </cell>
          <cell r="C126" t="str">
            <v>pc.</v>
          </cell>
          <cell r="D126">
            <v>136.5</v>
          </cell>
          <cell r="E126">
            <v>0</v>
          </cell>
        </row>
        <row r="127">
          <cell r="A127">
            <v>7.3</v>
          </cell>
          <cell r="B127" t="str">
            <v>ACB 60AT main, branch: 8-20 AT</v>
          </cell>
          <cell r="C127" t="str">
            <v>set</v>
          </cell>
          <cell r="D127">
            <v>2100</v>
          </cell>
          <cell r="E127">
            <v>0</v>
          </cell>
        </row>
        <row r="128">
          <cell r="A128">
            <v>7.31</v>
          </cell>
          <cell r="B128" t="str">
            <v>Service Entrance Accessories</v>
          </cell>
          <cell r="C128" t="str">
            <v>lot</v>
          </cell>
          <cell r="D128">
            <v>3150</v>
          </cell>
          <cell r="E128">
            <v>0</v>
          </cell>
        </row>
        <row r="129">
          <cell r="A129">
            <v>8</v>
          </cell>
          <cell r="B129" t="str">
            <v>Filling Materials</v>
          </cell>
          <cell r="D129">
            <v>0</v>
          </cell>
          <cell r="E129">
            <v>0</v>
          </cell>
        </row>
        <row r="130">
          <cell r="A130">
            <v>8.01</v>
          </cell>
          <cell r="B130" t="str">
            <v>Escombro</v>
          </cell>
          <cell r="C130" t="str">
            <v>cu. m.</v>
          </cell>
          <cell r="D130">
            <v>315</v>
          </cell>
          <cell r="E130">
            <v>0</v>
          </cell>
        </row>
        <row r="131">
          <cell r="A131">
            <v>9</v>
          </cell>
          <cell r="B131" t="str">
            <v>Glass &amp; Glazing</v>
          </cell>
          <cell r="D131">
            <v>0</v>
          </cell>
          <cell r="E131">
            <v>0</v>
          </cell>
        </row>
        <row r="132">
          <cell r="A132" t="str">
            <v>9a</v>
          </cell>
          <cell r="B132" t="str">
            <v>Installation of fixed glass window</v>
          </cell>
          <cell r="C132" t="str">
            <v>sq. m.</v>
          </cell>
          <cell r="D132">
            <v>0</v>
          </cell>
          <cell r="E132">
            <v>90</v>
          </cell>
        </row>
        <row r="133">
          <cell r="A133" t="str">
            <v>9b</v>
          </cell>
          <cell r="B133" t="str">
            <v>Installation of glass transom</v>
          </cell>
          <cell r="C133" t="str">
            <v>sq. m.</v>
          </cell>
          <cell r="D133">
            <v>0</v>
          </cell>
          <cell r="E133">
            <v>88.641800000000003</v>
          </cell>
        </row>
        <row r="134">
          <cell r="A134">
            <v>9.01</v>
          </cell>
          <cell r="B134" t="str">
            <v>Clear Glass, 2mm x 405mm x 510mm</v>
          </cell>
          <cell r="C134" t="str">
            <v>pc.</v>
          </cell>
          <cell r="D134">
            <v>36.75</v>
          </cell>
          <cell r="E134">
            <v>0</v>
          </cell>
        </row>
        <row r="135">
          <cell r="A135">
            <v>9.02</v>
          </cell>
          <cell r="B135" t="str">
            <v>Clear Glass, 3mm x 405mm x 915mm</v>
          </cell>
          <cell r="C135" t="str">
            <v>pc.</v>
          </cell>
          <cell r="D135">
            <v>168</v>
          </cell>
          <cell r="E135">
            <v>0</v>
          </cell>
        </row>
        <row r="136">
          <cell r="A136">
            <v>9.0299999999999994</v>
          </cell>
          <cell r="B136" t="str">
            <v>Clear Glass, 3mm x 610mm x 1220mm</v>
          </cell>
          <cell r="C136" t="str">
            <v>pc.</v>
          </cell>
          <cell r="D136">
            <v>338.1</v>
          </cell>
          <cell r="E136">
            <v>0</v>
          </cell>
        </row>
        <row r="137">
          <cell r="A137">
            <v>9.0399999999999991</v>
          </cell>
          <cell r="B137" t="str">
            <v>Clear Glass, 5.5mm x 1220mm x 1525mm</v>
          </cell>
          <cell r="C137" t="str">
            <v>pc.</v>
          </cell>
          <cell r="D137">
            <v>603.75</v>
          </cell>
          <cell r="E137">
            <v>0</v>
          </cell>
        </row>
        <row r="138">
          <cell r="A138">
            <v>9.0500000000000007</v>
          </cell>
          <cell r="B138" t="str">
            <v>Clear Glass, 5.5mm x 1220mm x 2135mm</v>
          </cell>
          <cell r="C138" t="str">
            <v>pc.</v>
          </cell>
          <cell r="D138">
            <v>31.5</v>
          </cell>
          <cell r="E138">
            <v>0</v>
          </cell>
        </row>
        <row r="139">
          <cell r="A139">
            <v>9.06</v>
          </cell>
          <cell r="B139" t="str">
            <v>Clear Glass, 5mm x 1220mm x 1200mm</v>
          </cell>
          <cell r="C139" t="str">
            <v>pc.</v>
          </cell>
          <cell r="D139">
            <v>437.85</v>
          </cell>
          <cell r="E139">
            <v>0</v>
          </cell>
        </row>
        <row r="140">
          <cell r="A140">
            <v>9.07</v>
          </cell>
          <cell r="B140" t="str">
            <v>Clear Glass Table, 6mm x 50mm x 100mm</v>
          </cell>
          <cell r="C140" t="str">
            <v>pc.</v>
          </cell>
          <cell r="D140">
            <v>89.25</v>
          </cell>
          <cell r="E140">
            <v>0</v>
          </cell>
        </row>
        <row r="141">
          <cell r="A141">
            <v>9.08</v>
          </cell>
          <cell r="B141" t="str">
            <v>Clear Glass Window, 3mm x 50mm x 100mm</v>
          </cell>
          <cell r="C141" t="str">
            <v>pc.</v>
          </cell>
          <cell r="D141">
            <v>40.950000000000003</v>
          </cell>
          <cell r="E141">
            <v>0</v>
          </cell>
        </row>
        <row r="142">
          <cell r="A142">
            <v>9.09</v>
          </cell>
          <cell r="B142" t="str">
            <v>Figured Glass (Ilang-Ilang) Jalousy, 5.5mm x 100mm x 915mm</v>
          </cell>
          <cell r="C142" t="str">
            <v>pc.</v>
          </cell>
          <cell r="D142">
            <v>31.5</v>
          </cell>
          <cell r="E142">
            <v>0</v>
          </cell>
        </row>
        <row r="143">
          <cell r="A143">
            <v>9.1</v>
          </cell>
          <cell r="B143" t="str">
            <v>Figured Glass (Ilang-Ilang) Table, 5mm x 915mm x 1220mm</v>
          </cell>
          <cell r="C143" t="str">
            <v>pc.</v>
          </cell>
          <cell r="D143">
            <v>89.25</v>
          </cell>
          <cell r="E143">
            <v>0</v>
          </cell>
        </row>
        <row r="144">
          <cell r="A144">
            <v>9.11</v>
          </cell>
          <cell r="B144" t="str">
            <v>Imported Bronze Float,   6mm</v>
          </cell>
          <cell r="C144" t="str">
            <v>sq. ft.</v>
          </cell>
          <cell r="D144">
            <v>42</v>
          </cell>
          <cell r="E144">
            <v>0</v>
          </cell>
        </row>
        <row r="145">
          <cell r="A145">
            <v>9.1199999999999992</v>
          </cell>
          <cell r="B145" t="str">
            <v>Imported Bronze Float, 10mm</v>
          </cell>
          <cell r="C145" t="str">
            <v>sq. ft.</v>
          </cell>
          <cell r="D145">
            <v>89.25</v>
          </cell>
          <cell r="E145">
            <v>0</v>
          </cell>
        </row>
        <row r="146">
          <cell r="A146">
            <v>9.1300000000000008</v>
          </cell>
          <cell r="B146" t="str">
            <v>Imported Bronze Float, 12mm</v>
          </cell>
          <cell r="C146" t="str">
            <v>sq. ft.</v>
          </cell>
          <cell r="D146">
            <v>105</v>
          </cell>
          <cell r="E146">
            <v>0</v>
          </cell>
        </row>
        <row r="147">
          <cell r="A147">
            <v>9.14</v>
          </cell>
          <cell r="B147" t="str">
            <v>Imported Clear Float,   6mm</v>
          </cell>
          <cell r="C147" t="str">
            <v>sq. ft.</v>
          </cell>
          <cell r="D147">
            <v>36.75</v>
          </cell>
          <cell r="E147">
            <v>0</v>
          </cell>
        </row>
        <row r="148">
          <cell r="A148">
            <v>9.15</v>
          </cell>
          <cell r="B148" t="str">
            <v>Imported Clear Float, 10mm</v>
          </cell>
          <cell r="C148" t="str">
            <v>sq. ft.</v>
          </cell>
          <cell r="D148">
            <v>78.75</v>
          </cell>
          <cell r="E148">
            <v>0</v>
          </cell>
        </row>
        <row r="149">
          <cell r="A149">
            <v>9.16</v>
          </cell>
          <cell r="B149" t="str">
            <v>Imported Clear Float, 12mm</v>
          </cell>
          <cell r="C149" t="str">
            <v>sq. ft.</v>
          </cell>
          <cell r="D149">
            <v>105.315</v>
          </cell>
          <cell r="E149">
            <v>0</v>
          </cell>
        </row>
        <row r="150">
          <cell r="A150">
            <v>9.17</v>
          </cell>
          <cell r="B150" t="str">
            <v>Imported Mirror (Plain), 6mm</v>
          </cell>
          <cell r="C150" t="str">
            <v>sq. ft.</v>
          </cell>
          <cell r="D150">
            <v>67.62</v>
          </cell>
          <cell r="E150">
            <v>0</v>
          </cell>
        </row>
        <row r="151">
          <cell r="A151">
            <v>9.18</v>
          </cell>
          <cell r="B151" t="str">
            <v>Clear Glass, 3mm x 300mm x 900mm</v>
          </cell>
          <cell r="C151" t="str">
            <v>pc.</v>
          </cell>
          <cell r="D151">
            <v>122.85000000000001</v>
          </cell>
          <cell r="E151">
            <v>0</v>
          </cell>
        </row>
        <row r="152">
          <cell r="A152">
            <v>9.19</v>
          </cell>
          <cell r="B152" t="str">
            <v>Clear Glass, 3mm x 300mm x 600mm</v>
          </cell>
          <cell r="C152" t="str">
            <v>pc.</v>
          </cell>
          <cell r="D152">
            <v>20</v>
          </cell>
          <cell r="E152">
            <v>0</v>
          </cell>
        </row>
        <row r="153">
          <cell r="A153">
            <v>9.1999999999999993</v>
          </cell>
          <cell r="B153" t="str">
            <v>Clear Glass, 3mm x 250mm x 900mm</v>
          </cell>
          <cell r="C153" t="str">
            <v>pc.</v>
          </cell>
          <cell r="D153">
            <v>102.375</v>
          </cell>
          <cell r="E153">
            <v>0</v>
          </cell>
        </row>
        <row r="154">
          <cell r="A154">
            <v>9.2100000000000009</v>
          </cell>
          <cell r="B154" t="str">
            <v>Clear Glass, 3mm x 250mm x 1000mm</v>
          </cell>
          <cell r="C154" t="str">
            <v>pc.</v>
          </cell>
          <cell r="D154">
            <v>113.4</v>
          </cell>
          <cell r="E154">
            <v>0</v>
          </cell>
        </row>
        <row r="155">
          <cell r="A155">
            <v>9.2200000000000006</v>
          </cell>
          <cell r="B155" t="str">
            <v>Clear Glass, 3mm x 250mm x 800mm</v>
          </cell>
          <cell r="C155" t="str">
            <v>pc.</v>
          </cell>
          <cell r="D155">
            <v>91.350000000000009</v>
          </cell>
          <cell r="E155">
            <v>0</v>
          </cell>
        </row>
        <row r="156">
          <cell r="A156">
            <v>9.23</v>
          </cell>
          <cell r="B156" t="str">
            <v>Clear Glass, 3mm x 300mm x 300mm</v>
          </cell>
          <cell r="C156" t="str">
            <v>pc.</v>
          </cell>
          <cell r="D156">
            <v>40.950000000000003</v>
          </cell>
          <cell r="E156">
            <v>0</v>
          </cell>
        </row>
        <row r="157">
          <cell r="A157">
            <v>9.24</v>
          </cell>
          <cell r="B157" t="str">
            <v>Clear Glass, 3mm x 300mm x 400mm</v>
          </cell>
          <cell r="C157" t="str">
            <v>pc.</v>
          </cell>
          <cell r="D157">
            <v>54.6</v>
          </cell>
          <cell r="E157">
            <v>0</v>
          </cell>
        </row>
        <row r="158">
          <cell r="A158">
            <v>9.25</v>
          </cell>
          <cell r="B158" t="str">
            <v>Clear Glass, 3mm x 350mm x 700mm</v>
          </cell>
          <cell r="C158" t="str">
            <v>pc.</v>
          </cell>
          <cell r="D158">
            <v>112.35000000000001</v>
          </cell>
          <cell r="E158">
            <v>0</v>
          </cell>
        </row>
        <row r="159">
          <cell r="A159">
            <v>9.26</v>
          </cell>
          <cell r="B159" t="str">
            <v>Clear Glass 5mm (Ordinary)</v>
          </cell>
          <cell r="C159" t="str">
            <v>sq.ft</v>
          </cell>
          <cell r="D159">
            <v>23.7</v>
          </cell>
        </row>
        <row r="160">
          <cell r="A160">
            <v>9.27</v>
          </cell>
          <cell r="B160" t="str">
            <v>Clear Glass 1/8" thick</v>
          </cell>
          <cell r="C160" t="str">
            <v>sq.ft</v>
          </cell>
          <cell r="D160">
            <v>20</v>
          </cell>
        </row>
        <row r="161">
          <cell r="A161">
            <v>10</v>
          </cell>
          <cell r="B161" t="str">
            <v>Hardware</v>
          </cell>
          <cell r="D161">
            <v>0</v>
          </cell>
          <cell r="E161">
            <v>0</v>
          </cell>
        </row>
        <row r="162">
          <cell r="A162" t="str">
            <v>10a</v>
          </cell>
          <cell r="B162" t="str">
            <v>Installation of Welded Wire</v>
          </cell>
          <cell r="C162" t="str">
            <v>sq. m.</v>
          </cell>
          <cell r="D162">
            <v>0</v>
          </cell>
          <cell r="E162">
            <v>120</v>
          </cell>
        </row>
        <row r="163">
          <cell r="A163">
            <v>10.01</v>
          </cell>
          <cell r="B163" t="str">
            <v>Barbed Wire, 20 kgs/roll</v>
          </cell>
          <cell r="C163" t="str">
            <v>roll</v>
          </cell>
          <cell r="D163">
            <v>525</v>
          </cell>
          <cell r="E163">
            <v>0</v>
          </cell>
        </row>
        <row r="164">
          <cell r="A164">
            <v>10.02</v>
          </cell>
          <cell r="B164" t="str">
            <v>Butt Hinges, 3" x 3"</v>
          </cell>
          <cell r="C164" t="str">
            <v>pc.</v>
          </cell>
          <cell r="D164">
            <v>6</v>
          </cell>
          <cell r="E164">
            <v>0</v>
          </cell>
        </row>
        <row r="165">
          <cell r="A165">
            <v>10.029999999999999</v>
          </cell>
          <cell r="B165" t="str">
            <v>Butt Hinges, 4" x 4"</v>
          </cell>
          <cell r="C165" t="str">
            <v>pc.</v>
          </cell>
          <cell r="D165">
            <v>31.5</v>
          </cell>
          <cell r="E165">
            <v>0</v>
          </cell>
        </row>
        <row r="166">
          <cell r="A166" t="str">
            <v>10.03A</v>
          </cell>
          <cell r="B166" t="str">
            <v>Loose Hinges, 3 1/2" x 3 1/2"</v>
          </cell>
          <cell r="C166" t="str">
            <v>pc.</v>
          </cell>
          <cell r="D166">
            <v>35</v>
          </cell>
        </row>
        <row r="167">
          <cell r="A167">
            <v>10.039999999999999</v>
          </cell>
          <cell r="B167" t="str">
            <v>Door Lockset (Alpha/epo), Bathroom</v>
          </cell>
          <cell r="C167" t="str">
            <v>set</v>
          </cell>
          <cell r="D167">
            <v>161.70000000000002</v>
          </cell>
          <cell r="E167">
            <v>0</v>
          </cell>
        </row>
        <row r="168">
          <cell r="A168">
            <v>10.050000000000001</v>
          </cell>
          <cell r="B168" t="str">
            <v>Door Lockset (Alpha/epo), Bedroom</v>
          </cell>
          <cell r="C168" t="str">
            <v>set</v>
          </cell>
          <cell r="D168">
            <v>170.1</v>
          </cell>
          <cell r="E168">
            <v>0</v>
          </cell>
        </row>
        <row r="169">
          <cell r="A169">
            <v>10.06</v>
          </cell>
          <cell r="B169" t="str">
            <v>Door Lockset (Alpha/epo), Entrance</v>
          </cell>
          <cell r="C169" t="str">
            <v>set</v>
          </cell>
          <cell r="D169">
            <v>173.25</v>
          </cell>
          <cell r="E169">
            <v>0</v>
          </cell>
        </row>
        <row r="170">
          <cell r="A170">
            <v>10.07</v>
          </cell>
          <cell r="B170" t="str">
            <v>Door Lockset (Alpha Brand, Japan), Bedroom</v>
          </cell>
          <cell r="C170" t="str">
            <v>set</v>
          </cell>
          <cell r="D170">
            <v>225.75</v>
          </cell>
          <cell r="E170">
            <v>0</v>
          </cell>
        </row>
        <row r="171">
          <cell r="A171">
            <v>10.08</v>
          </cell>
          <cell r="B171" t="str">
            <v>Door Lockset (Alpha Brand, Japan), Entrance</v>
          </cell>
          <cell r="C171" t="str">
            <v>set</v>
          </cell>
          <cell r="D171">
            <v>220</v>
          </cell>
          <cell r="E171">
            <v>0</v>
          </cell>
        </row>
        <row r="172">
          <cell r="A172">
            <v>10.09</v>
          </cell>
          <cell r="B172" t="str">
            <v>Door Lockset (Kwikset Brand, US), Bathroom</v>
          </cell>
          <cell r="C172" t="str">
            <v>set</v>
          </cell>
          <cell r="D172">
            <v>787.5</v>
          </cell>
          <cell r="E172">
            <v>0</v>
          </cell>
        </row>
        <row r="173">
          <cell r="A173" t="str">
            <v>10.10A</v>
          </cell>
          <cell r="B173" t="str">
            <v>Installation of Door Lockset</v>
          </cell>
          <cell r="C173" t="str">
            <v>set</v>
          </cell>
          <cell r="D173">
            <v>0</v>
          </cell>
          <cell r="E173">
            <v>200</v>
          </cell>
        </row>
        <row r="174">
          <cell r="A174">
            <v>10.1</v>
          </cell>
          <cell r="B174" t="str">
            <v>Formica, 4' x 8'</v>
          </cell>
          <cell r="C174" t="str">
            <v>pc.</v>
          </cell>
          <cell r="D174">
            <v>472.5</v>
          </cell>
          <cell r="E174">
            <v>0</v>
          </cell>
        </row>
        <row r="175">
          <cell r="A175">
            <v>10.11</v>
          </cell>
          <cell r="B175" t="str">
            <v xml:space="preserve">G.I. Wire #16 </v>
          </cell>
          <cell r="C175" t="str">
            <v>kg.</v>
          </cell>
          <cell r="D175">
            <v>31.5</v>
          </cell>
          <cell r="E175">
            <v>0</v>
          </cell>
        </row>
        <row r="176">
          <cell r="A176" t="str">
            <v>10.11a</v>
          </cell>
          <cell r="B176" t="str">
            <v>G.I. Wire #18</v>
          </cell>
          <cell r="C176" t="str">
            <v>kg.</v>
          </cell>
          <cell r="D176">
            <v>36.75</v>
          </cell>
          <cell r="E176">
            <v>0</v>
          </cell>
        </row>
        <row r="177">
          <cell r="A177">
            <v>10.119999999999999</v>
          </cell>
          <cell r="B177" t="str">
            <v>Machine Bolts with STD Nuts &amp; Washers, 5/8" dia. x   7"</v>
          </cell>
          <cell r="C177" t="str">
            <v>pc.</v>
          </cell>
          <cell r="D177">
            <v>15.75</v>
          </cell>
          <cell r="E177">
            <v>0</v>
          </cell>
        </row>
        <row r="178">
          <cell r="A178">
            <v>10.130000000000001</v>
          </cell>
          <cell r="B178" t="str">
            <v>Machine Bolts with STD Nuts &amp; Washers, 5/8" dia. x   8"</v>
          </cell>
          <cell r="C178" t="str">
            <v>pc.</v>
          </cell>
          <cell r="D178">
            <v>18.900000000000002</v>
          </cell>
          <cell r="E178">
            <v>0</v>
          </cell>
        </row>
        <row r="179">
          <cell r="A179">
            <v>10.14</v>
          </cell>
          <cell r="B179" t="str">
            <v>Machine Bolts with STD Nuts &amp; Washers, 5/8" dia. x 10"</v>
          </cell>
          <cell r="C179" t="str">
            <v>pc.</v>
          </cell>
          <cell r="D179">
            <v>23.1</v>
          </cell>
          <cell r="E179">
            <v>0</v>
          </cell>
        </row>
        <row r="180">
          <cell r="A180">
            <v>10.15</v>
          </cell>
          <cell r="B180" t="str">
            <v>Machine Bolts with STD Nuts &amp; Washers, 1/2" dia. x  7"</v>
          </cell>
          <cell r="C180" t="str">
            <v>pc.</v>
          </cell>
          <cell r="D180">
            <v>10.5</v>
          </cell>
          <cell r="E180">
            <v>0</v>
          </cell>
        </row>
        <row r="181">
          <cell r="A181">
            <v>10.16</v>
          </cell>
          <cell r="B181" t="str">
            <v>Machine Bolts with STD Nuts &amp; Washers, 1/2" dia. x  8"</v>
          </cell>
          <cell r="C181" t="str">
            <v>pc.</v>
          </cell>
          <cell r="D181">
            <v>13.65</v>
          </cell>
          <cell r="E181">
            <v>0</v>
          </cell>
        </row>
        <row r="182">
          <cell r="A182">
            <v>10.17</v>
          </cell>
          <cell r="B182" t="str">
            <v>Muriatic Acid</v>
          </cell>
          <cell r="C182" t="str">
            <v>bottle</v>
          </cell>
          <cell r="D182">
            <v>26.25</v>
          </cell>
          <cell r="E182">
            <v>0</v>
          </cell>
        </row>
        <row r="183">
          <cell r="A183">
            <v>10.18</v>
          </cell>
          <cell r="B183" t="str">
            <v>Common Wire Nails, 1"</v>
          </cell>
          <cell r="C183" t="str">
            <v>kg.</v>
          </cell>
          <cell r="D183">
            <v>42</v>
          </cell>
          <cell r="E183">
            <v>0</v>
          </cell>
        </row>
        <row r="184">
          <cell r="A184">
            <v>10.19</v>
          </cell>
          <cell r="B184" t="str">
            <v>Common Wire Nails, 2"</v>
          </cell>
          <cell r="C184" t="str">
            <v>kg.</v>
          </cell>
          <cell r="D184">
            <v>25</v>
          </cell>
          <cell r="E184">
            <v>0</v>
          </cell>
        </row>
        <row r="185">
          <cell r="A185">
            <v>10.199999999999999</v>
          </cell>
          <cell r="B185" t="str">
            <v>Common Wire Nails, 3"</v>
          </cell>
          <cell r="C185" t="str">
            <v>kg.</v>
          </cell>
          <cell r="D185">
            <v>25</v>
          </cell>
          <cell r="E185">
            <v>0</v>
          </cell>
        </row>
        <row r="186">
          <cell r="A186">
            <v>10.210000000000001</v>
          </cell>
          <cell r="B186" t="str">
            <v>Concrete Nails, 1"</v>
          </cell>
          <cell r="C186" t="str">
            <v>kg.</v>
          </cell>
          <cell r="D186">
            <v>68.25</v>
          </cell>
          <cell r="E186">
            <v>0</v>
          </cell>
        </row>
        <row r="187">
          <cell r="A187">
            <v>10.220000000000001</v>
          </cell>
          <cell r="B187" t="str">
            <v>Concrete Nails, 2"</v>
          </cell>
          <cell r="C187" t="str">
            <v>kg.</v>
          </cell>
          <cell r="D187">
            <v>68.25</v>
          </cell>
          <cell r="E187">
            <v>0</v>
          </cell>
        </row>
        <row r="188">
          <cell r="A188" t="str">
            <v>10.22a</v>
          </cell>
          <cell r="B188" t="str">
            <v>Concrete Nails, 3"</v>
          </cell>
          <cell r="C188" t="str">
            <v>kg.</v>
          </cell>
          <cell r="D188">
            <v>68.25</v>
          </cell>
          <cell r="E188">
            <v>0</v>
          </cell>
        </row>
        <row r="189">
          <cell r="A189">
            <v>10.23</v>
          </cell>
          <cell r="B189" t="str">
            <v>Finishing Nails, 1"</v>
          </cell>
          <cell r="C189" t="str">
            <v>kg.</v>
          </cell>
          <cell r="D189">
            <v>30</v>
          </cell>
          <cell r="E189">
            <v>0</v>
          </cell>
        </row>
        <row r="190">
          <cell r="A190">
            <v>10.24</v>
          </cell>
          <cell r="B190" t="str">
            <v>Finishing Nails, 2"</v>
          </cell>
          <cell r="C190" t="str">
            <v>kg.</v>
          </cell>
          <cell r="D190">
            <v>31.5</v>
          </cell>
          <cell r="E190">
            <v>0</v>
          </cell>
        </row>
        <row r="191">
          <cell r="A191">
            <v>10.25</v>
          </cell>
          <cell r="B191" t="str">
            <v>Finishing Nails, 3"</v>
          </cell>
          <cell r="C191" t="str">
            <v>kg.</v>
          </cell>
          <cell r="D191">
            <v>31.5</v>
          </cell>
          <cell r="E191">
            <v>0</v>
          </cell>
        </row>
        <row r="192">
          <cell r="A192">
            <v>10.26</v>
          </cell>
          <cell r="B192" t="str">
            <v>Nikolite</v>
          </cell>
          <cell r="C192" t="str">
            <v>pc.</v>
          </cell>
          <cell r="D192">
            <v>27.825000000000003</v>
          </cell>
          <cell r="E192">
            <v>0</v>
          </cell>
        </row>
        <row r="193">
          <cell r="A193">
            <v>10.27</v>
          </cell>
          <cell r="B193" t="str">
            <v>PVC Cement</v>
          </cell>
          <cell r="C193" t="str">
            <v>can</v>
          </cell>
          <cell r="D193">
            <v>147</v>
          </cell>
          <cell r="E193">
            <v>0</v>
          </cell>
        </row>
        <row r="194">
          <cell r="A194">
            <v>10.28</v>
          </cell>
          <cell r="B194" t="str">
            <v>Plastic Roof Cement, Master Brand</v>
          </cell>
          <cell r="C194" t="str">
            <v>gal.</v>
          </cell>
          <cell r="D194">
            <v>136.5</v>
          </cell>
          <cell r="E194">
            <v>0</v>
          </cell>
        </row>
        <row r="195">
          <cell r="A195">
            <v>10.29</v>
          </cell>
          <cell r="B195" t="str">
            <v>Post Strap, 3/16" x 1-1/2" x 20"</v>
          </cell>
          <cell r="C195" t="str">
            <v>pc.</v>
          </cell>
          <cell r="D195">
            <v>47.25</v>
          </cell>
          <cell r="E195">
            <v>0</v>
          </cell>
        </row>
        <row r="196">
          <cell r="A196">
            <v>10.3</v>
          </cell>
          <cell r="B196" t="str">
            <v>Umbrella Nails</v>
          </cell>
          <cell r="C196" t="str">
            <v>kg.</v>
          </cell>
          <cell r="D196">
            <v>52.5</v>
          </cell>
          <cell r="E196">
            <v>0</v>
          </cell>
        </row>
        <row r="197">
          <cell r="A197">
            <v>10.31</v>
          </cell>
          <cell r="B197" t="str">
            <v>Rugby</v>
          </cell>
          <cell r="C197" t="str">
            <v>gal.</v>
          </cell>
          <cell r="D197">
            <v>36.75</v>
          </cell>
          <cell r="E197">
            <v>0</v>
          </cell>
        </row>
        <row r="198">
          <cell r="A198">
            <v>10.32</v>
          </cell>
          <cell r="B198" t="str">
            <v>Teflon Tape</v>
          </cell>
          <cell r="C198" t="str">
            <v>pc.</v>
          </cell>
          <cell r="D198">
            <v>10.5</v>
          </cell>
          <cell r="E198">
            <v>0</v>
          </cell>
        </row>
        <row r="199">
          <cell r="A199">
            <v>10.33</v>
          </cell>
          <cell r="B199" t="str">
            <v>Tie Rod, 6mm x 6m</v>
          </cell>
          <cell r="C199" t="str">
            <v>pc.</v>
          </cell>
          <cell r="D199">
            <v>29.400000000000002</v>
          </cell>
          <cell r="E199">
            <v>0</v>
          </cell>
        </row>
        <row r="200">
          <cell r="A200">
            <v>10.34</v>
          </cell>
          <cell r="B200" t="str">
            <v>Turn Buckles, 1/2"</v>
          </cell>
          <cell r="C200" t="str">
            <v>pc.</v>
          </cell>
          <cell r="D200">
            <v>92.4</v>
          </cell>
          <cell r="E200">
            <v>0</v>
          </cell>
        </row>
        <row r="201">
          <cell r="A201">
            <v>10.35</v>
          </cell>
          <cell r="B201" t="str">
            <v>Turn Buckles, 5/8"</v>
          </cell>
          <cell r="C201" t="str">
            <v>pc.</v>
          </cell>
          <cell r="D201">
            <v>94.5</v>
          </cell>
          <cell r="E201">
            <v>0</v>
          </cell>
        </row>
        <row r="202">
          <cell r="A202">
            <v>10.36</v>
          </cell>
          <cell r="B202" t="str">
            <v>Turn Buckles, 3/4"</v>
          </cell>
          <cell r="C202" t="str">
            <v>pc.</v>
          </cell>
          <cell r="D202">
            <v>157.5</v>
          </cell>
          <cell r="E202">
            <v>0</v>
          </cell>
        </row>
        <row r="203">
          <cell r="A203">
            <v>10.37</v>
          </cell>
          <cell r="B203" t="str">
            <v>Welding Rod</v>
          </cell>
          <cell r="C203" t="str">
            <v>kg.</v>
          </cell>
          <cell r="D203">
            <v>68.25</v>
          </cell>
          <cell r="E203">
            <v>0</v>
          </cell>
        </row>
        <row r="204">
          <cell r="A204">
            <v>10.38</v>
          </cell>
          <cell r="B204" t="str">
            <v>Wood Glue</v>
          </cell>
          <cell r="C204" t="str">
            <v>pint</v>
          </cell>
          <cell r="D204">
            <v>36.75</v>
          </cell>
          <cell r="E204">
            <v>0</v>
          </cell>
        </row>
        <row r="205">
          <cell r="A205">
            <v>10.39</v>
          </cell>
          <cell r="B205" t="str">
            <v>Welded Wire 1/2"x1/2"</v>
          </cell>
          <cell r="C205" t="str">
            <v>sq. m.</v>
          </cell>
          <cell r="D205">
            <v>120</v>
          </cell>
          <cell r="E205">
            <v>0</v>
          </cell>
        </row>
        <row r="206">
          <cell r="A206">
            <v>10.4</v>
          </cell>
          <cell r="B206" t="str">
            <v>Roof Sealant</v>
          </cell>
          <cell r="C206" t="str">
            <v>lit.</v>
          </cell>
          <cell r="D206">
            <v>157.5</v>
          </cell>
          <cell r="E206">
            <v>0</v>
          </cell>
        </row>
        <row r="207">
          <cell r="A207">
            <v>10.41</v>
          </cell>
          <cell r="B207" t="str">
            <v>Wood Preservative</v>
          </cell>
          <cell r="C207" t="str">
            <v>unit</v>
          </cell>
          <cell r="D207">
            <v>294</v>
          </cell>
          <cell r="E207">
            <v>0</v>
          </cell>
        </row>
        <row r="208">
          <cell r="A208">
            <v>10.42</v>
          </cell>
          <cell r="B208" t="str">
            <v>Teckscrew (21/2")</v>
          </cell>
          <cell r="C208" t="str">
            <v>pc.</v>
          </cell>
          <cell r="D208">
            <v>2</v>
          </cell>
          <cell r="E208">
            <v>0</v>
          </cell>
        </row>
        <row r="209">
          <cell r="A209">
            <v>10.43</v>
          </cell>
          <cell r="B209" t="str">
            <v>Common Wire Nails, 4"</v>
          </cell>
          <cell r="C209" t="str">
            <v>kg.</v>
          </cell>
          <cell r="D209">
            <v>29.400000000000002</v>
          </cell>
          <cell r="E209">
            <v>0</v>
          </cell>
        </row>
        <row r="210">
          <cell r="A210">
            <v>10.44</v>
          </cell>
          <cell r="B210" t="str">
            <v>Blind Rivets</v>
          </cell>
          <cell r="C210" t="str">
            <v>pc.</v>
          </cell>
          <cell r="D210">
            <v>0.52500000000000002</v>
          </cell>
          <cell r="E210">
            <v>0</v>
          </cell>
        </row>
        <row r="211">
          <cell r="A211">
            <v>10.45</v>
          </cell>
          <cell r="B211" t="str">
            <v>Paint Brush #1</v>
          </cell>
          <cell r="C211" t="str">
            <v>pc.</v>
          </cell>
          <cell r="D211">
            <v>15.75</v>
          </cell>
          <cell r="E211">
            <v>0</v>
          </cell>
        </row>
        <row r="212">
          <cell r="A212">
            <v>10.46</v>
          </cell>
          <cell r="B212" t="str">
            <v>Paint Brush #2</v>
          </cell>
          <cell r="C212" t="str">
            <v>pc.</v>
          </cell>
          <cell r="D212">
            <v>30</v>
          </cell>
          <cell r="E212">
            <v>0</v>
          </cell>
        </row>
        <row r="213">
          <cell r="A213">
            <v>10.47</v>
          </cell>
          <cell r="B213" t="str">
            <v>Paint Brush #3</v>
          </cell>
          <cell r="C213" t="str">
            <v>pc.</v>
          </cell>
          <cell r="D213">
            <v>45</v>
          </cell>
          <cell r="E213">
            <v>0</v>
          </cell>
        </row>
        <row r="214">
          <cell r="A214">
            <v>10.48</v>
          </cell>
          <cell r="B214" t="str">
            <v>Paint Brush #4</v>
          </cell>
          <cell r="C214" t="str">
            <v>pc.</v>
          </cell>
          <cell r="D214">
            <v>60</v>
          </cell>
          <cell r="E214">
            <v>0</v>
          </cell>
        </row>
        <row r="215">
          <cell r="A215">
            <v>10.49</v>
          </cell>
          <cell r="B215" t="str">
            <v>Roller Brush #6</v>
          </cell>
          <cell r="C215" t="str">
            <v>pc.</v>
          </cell>
          <cell r="D215">
            <v>50</v>
          </cell>
          <cell r="E215">
            <v>0</v>
          </cell>
        </row>
        <row r="216">
          <cell r="A216">
            <v>10.5</v>
          </cell>
          <cell r="B216" t="str">
            <v>Roller Brush #7</v>
          </cell>
          <cell r="C216" t="str">
            <v>pc.</v>
          </cell>
          <cell r="D216">
            <v>50</v>
          </cell>
          <cell r="E216">
            <v>0</v>
          </cell>
        </row>
        <row r="217">
          <cell r="A217">
            <v>10.51</v>
          </cell>
          <cell r="B217" t="str">
            <v>Sand Paper (100)</v>
          </cell>
          <cell r="C217" t="str">
            <v>pc.</v>
          </cell>
          <cell r="D217">
            <v>10</v>
          </cell>
          <cell r="E217">
            <v>0</v>
          </cell>
        </row>
        <row r="218">
          <cell r="A218">
            <v>10.52</v>
          </cell>
          <cell r="B218" t="str">
            <v>Sand Paper (240)</v>
          </cell>
          <cell r="C218" t="str">
            <v>pc.</v>
          </cell>
          <cell r="D218">
            <v>8.4</v>
          </cell>
          <cell r="E218">
            <v>0</v>
          </cell>
        </row>
        <row r="219">
          <cell r="A219">
            <v>10.53</v>
          </cell>
          <cell r="B219" t="str">
            <v>Spatula #2</v>
          </cell>
          <cell r="C219" t="str">
            <v>pair</v>
          </cell>
          <cell r="D219">
            <v>26.25</v>
          </cell>
          <cell r="E219">
            <v>0</v>
          </cell>
        </row>
        <row r="220">
          <cell r="A220">
            <v>10.54</v>
          </cell>
          <cell r="B220" t="str">
            <v>Spatula #4</v>
          </cell>
          <cell r="C220" t="str">
            <v>pair</v>
          </cell>
          <cell r="D220">
            <v>31.5</v>
          </cell>
          <cell r="E220">
            <v>0</v>
          </cell>
        </row>
        <row r="221">
          <cell r="A221">
            <v>10.55</v>
          </cell>
          <cell r="B221" t="str">
            <v>Paint Tray</v>
          </cell>
          <cell r="C221" t="str">
            <v>pc.</v>
          </cell>
          <cell r="D221">
            <v>20</v>
          </cell>
          <cell r="E221">
            <v>0</v>
          </cell>
        </row>
        <row r="222">
          <cell r="A222">
            <v>10.56</v>
          </cell>
          <cell r="B222" t="str">
            <v>Stoffa</v>
          </cell>
          <cell r="C222" t="str">
            <v>kg.</v>
          </cell>
          <cell r="D222">
            <v>42</v>
          </cell>
          <cell r="E222">
            <v>0</v>
          </cell>
        </row>
        <row r="223">
          <cell r="A223">
            <v>10.57</v>
          </cell>
          <cell r="B223" t="str">
            <v>Steel Brush #1</v>
          </cell>
          <cell r="C223" t="str">
            <v>pc.</v>
          </cell>
          <cell r="D223">
            <v>15.75</v>
          </cell>
          <cell r="E223">
            <v>0</v>
          </cell>
        </row>
        <row r="224">
          <cell r="A224">
            <v>10.58</v>
          </cell>
          <cell r="B224" t="str">
            <v>Steel Brush #2</v>
          </cell>
          <cell r="C224" t="str">
            <v>pc.</v>
          </cell>
          <cell r="D224">
            <v>26.25</v>
          </cell>
          <cell r="E224">
            <v>0</v>
          </cell>
        </row>
        <row r="225">
          <cell r="A225">
            <v>10.59</v>
          </cell>
          <cell r="B225" t="str">
            <v>Perforated G.I. Metal Sheet ( 0.8 mm thick )</v>
          </cell>
          <cell r="C225" t="str">
            <v>sheet</v>
          </cell>
          <cell r="D225">
            <v>1785</v>
          </cell>
          <cell r="E225">
            <v>0</v>
          </cell>
        </row>
        <row r="226">
          <cell r="A226">
            <v>10.6</v>
          </cell>
          <cell r="B226" t="str">
            <v>Pull Wire</v>
          </cell>
          <cell r="C226" t="str">
            <v>roll</v>
          </cell>
          <cell r="D226">
            <v>1050</v>
          </cell>
          <cell r="E226">
            <v>0</v>
          </cell>
        </row>
        <row r="227">
          <cell r="A227">
            <v>10.6</v>
          </cell>
          <cell r="B227" t="str">
            <v>EXPANSION BOLT</v>
          </cell>
        </row>
        <row r="228">
          <cell r="A228">
            <v>10.61</v>
          </cell>
          <cell r="B228" t="str">
            <v>SA10108 Spatec (Ramset)</v>
          </cell>
          <cell r="C228" t="str">
            <v>pc.</v>
          </cell>
          <cell r="D228">
            <v>235.20000000000002</v>
          </cell>
          <cell r="E228">
            <v>0</v>
          </cell>
        </row>
        <row r="229">
          <cell r="A229">
            <v>10.62</v>
          </cell>
          <cell r="B229" t="str">
            <v>DP10065 Dynabolt Plus Anchor (Ramset)</v>
          </cell>
          <cell r="C229" t="str">
            <v>pc.</v>
          </cell>
          <cell r="D229">
            <v>19.425000000000001</v>
          </cell>
          <cell r="E229">
            <v>0</v>
          </cell>
        </row>
        <row r="230">
          <cell r="A230">
            <v>10.63</v>
          </cell>
          <cell r="B230" t="str">
            <v>T10065 Trubolt</v>
          </cell>
          <cell r="C230" t="str">
            <v>pc.</v>
          </cell>
          <cell r="D230">
            <v>19.425000000000001</v>
          </cell>
          <cell r="E230">
            <v>0</v>
          </cell>
        </row>
        <row r="231">
          <cell r="A231">
            <v>10.64</v>
          </cell>
          <cell r="B231" t="str">
            <v>DSM12 Dyaset Anchor (Ramset)</v>
          </cell>
          <cell r="C231" t="str">
            <v>pc.</v>
          </cell>
          <cell r="D231">
            <v>19.95</v>
          </cell>
          <cell r="E231">
            <v>0</v>
          </cell>
        </row>
        <row r="232">
          <cell r="A232">
            <v>10.65</v>
          </cell>
          <cell r="B232" t="str">
            <v>DSM16 Dyaset Anchor (Ramset)</v>
          </cell>
          <cell r="C232" t="str">
            <v>pc.</v>
          </cell>
          <cell r="D232">
            <v>55.650000000000006</v>
          </cell>
          <cell r="E232">
            <v>0</v>
          </cell>
        </row>
        <row r="233">
          <cell r="A233">
            <v>10.66</v>
          </cell>
          <cell r="B233" t="str">
            <v>CHEM10 Chemset (Ramset)</v>
          </cell>
          <cell r="C233" t="str">
            <v>pc.</v>
          </cell>
          <cell r="D233">
            <v>94.5</v>
          </cell>
          <cell r="E233">
            <v>0</v>
          </cell>
        </row>
        <row r="234">
          <cell r="A234">
            <v>10.67</v>
          </cell>
          <cell r="B234" t="str">
            <v>ISKE Epoxy Set (Ramset)</v>
          </cell>
          <cell r="C234" t="str">
            <v>kit</v>
          </cell>
          <cell r="D234">
            <v>2471.8049999999998</v>
          </cell>
          <cell r="E234">
            <v>0</v>
          </cell>
        </row>
        <row r="235">
          <cell r="A235">
            <v>11</v>
          </cell>
          <cell r="B235" t="str">
            <v>Marble</v>
          </cell>
          <cell r="D235">
            <v>0</v>
          </cell>
          <cell r="E235">
            <v>0</v>
          </cell>
        </row>
        <row r="236">
          <cell r="A236">
            <v>12</v>
          </cell>
          <cell r="B236" t="str">
            <v>Others</v>
          </cell>
          <cell r="D236">
            <v>0</v>
          </cell>
          <cell r="E236">
            <v>0</v>
          </cell>
        </row>
        <row r="237">
          <cell r="A237">
            <v>12.01</v>
          </cell>
          <cell r="B237" t="str">
            <v>Cabinet Pull, Ordinary</v>
          </cell>
          <cell r="C237" t="str">
            <v>pc.</v>
          </cell>
          <cell r="D237">
            <v>10.5</v>
          </cell>
          <cell r="E237">
            <v>0</v>
          </cell>
        </row>
        <row r="238">
          <cell r="A238">
            <v>12.02</v>
          </cell>
          <cell r="B238" t="str">
            <v>Roller Catches</v>
          </cell>
          <cell r="C238" t="str">
            <v>pc.</v>
          </cell>
          <cell r="D238">
            <v>5.25</v>
          </cell>
          <cell r="E238">
            <v>0</v>
          </cell>
        </row>
        <row r="239">
          <cell r="A239">
            <v>12.03</v>
          </cell>
          <cell r="B239" t="str">
            <v>Bunker</v>
          </cell>
          <cell r="C239" t="str">
            <v>lit.</v>
          </cell>
          <cell r="D239">
            <v>4.9770000000000003</v>
          </cell>
          <cell r="E239">
            <v>0</v>
          </cell>
        </row>
        <row r="240">
          <cell r="A240">
            <v>12.04</v>
          </cell>
          <cell r="B240" t="str">
            <v>Diesel</v>
          </cell>
          <cell r="C240" t="str">
            <v>lit.</v>
          </cell>
          <cell r="D240">
            <v>9.4919999999999991</v>
          </cell>
          <cell r="E240">
            <v>0</v>
          </cell>
        </row>
        <row r="241">
          <cell r="A241">
            <v>12.05</v>
          </cell>
          <cell r="B241" t="str">
            <v>Gasoline, Premium</v>
          </cell>
          <cell r="C241" t="str">
            <v>lit.</v>
          </cell>
          <cell r="D241">
            <v>13.534500000000001</v>
          </cell>
          <cell r="E241">
            <v>0</v>
          </cell>
        </row>
        <row r="242">
          <cell r="A242">
            <v>12.06</v>
          </cell>
          <cell r="B242" t="str">
            <v>Gasoline, Regular</v>
          </cell>
          <cell r="C242" t="str">
            <v>lit.</v>
          </cell>
          <cell r="D242">
            <v>12.232500000000002</v>
          </cell>
          <cell r="E242">
            <v>0</v>
          </cell>
        </row>
        <row r="243">
          <cell r="A243">
            <v>12.07</v>
          </cell>
          <cell r="B243" t="str">
            <v>Grease</v>
          </cell>
          <cell r="C243" t="str">
            <v>pale</v>
          </cell>
          <cell r="D243">
            <v>1139.691</v>
          </cell>
          <cell r="E243">
            <v>0</v>
          </cell>
        </row>
        <row r="244">
          <cell r="A244">
            <v>12.08</v>
          </cell>
          <cell r="B244" t="str">
            <v>Precast Guardrail</v>
          </cell>
          <cell r="C244" t="str">
            <v>pc.</v>
          </cell>
          <cell r="D244">
            <v>367.5</v>
          </cell>
          <cell r="E244">
            <v>0</v>
          </cell>
        </row>
        <row r="245">
          <cell r="A245">
            <v>13</v>
          </cell>
          <cell r="B245" t="str">
            <v>Paints</v>
          </cell>
          <cell r="D245">
            <v>0</v>
          </cell>
          <cell r="E245">
            <v>0</v>
          </cell>
        </row>
        <row r="246">
          <cell r="A246" t="str">
            <v>13a</v>
          </cell>
          <cell r="B246" t="str">
            <v>Painting</v>
          </cell>
          <cell r="C246" t="str">
            <v>sq. m.</v>
          </cell>
          <cell r="D246">
            <v>0</v>
          </cell>
          <cell r="E246">
            <v>15</v>
          </cell>
        </row>
        <row r="247">
          <cell r="A247" t="str">
            <v>13b</v>
          </cell>
          <cell r="B247" t="str">
            <v>Painting of Structural Steel</v>
          </cell>
          <cell r="C247" t="str">
            <v>kg.</v>
          </cell>
          <cell r="D247">
            <v>0</v>
          </cell>
          <cell r="E247">
            <v>0.77249999999999996</v>
          </cell>
        </row>
        <row r="248">
          <cell r="A248" t="str">
            <v>13c</v>
          </cell>
          <cell r="B248" t="str">
            <v>Varnishing</v>
          </cell>
          <cell r="C248" t="str">
            <v>sq. m.</v>
          </cell>
          <cell r="D248">
            <v>0</v>
          </cell>
          <cell r="E248">
            <v>16.6448</v>
          </cell>
        </row>
        <row r="249">
          <cell r="A249" t="str">
            <v>13.01a</v>
          </cell>
          <cell r="B249" t="str">
            <v>Acri-color</v>
          </cell>
          <cell r="C249" t="str">
            <v>gal.</v>
          </cell>
          <cell r="D249">
            <v>210</v>
          </cell>
          <cell r="E249">
            <v>0</v>
          </cell>
        </row>
        <row r="250">
          <cell r="A250">
            <v>13.01</v>
          </cell>
          <cell r="B250" t="str">
            <v>Acri-color, Dutch Boy</v>
          </cell>
          <cell r="C250" t="str">
            <v>gal.</v>
          </cell>
          <cell r="D250">
            <v>210</v>
          </cell>
          <cell r="E250">
            <v>0</v>
          </cell>
        </row>
        <row r="251">
          <cell r="A251">
            <v>13.02</v>
          </cell>
          <cell r="B251" t="str">
            <v>Calsomine Powder</v>
          </cell>
          <cell r="C251" t="str">
            <v>kg.</v>
          </cell>
          <cell r="D251">
            <v>20</v>
          </cell>
          <cell r="E251">
            <v>0</v>
          </cell>
        </row>
        <row r="252">
          <cell r="A252" t="str">
            <v>13.03a</v>
          </cell>
          <cell r="B252" t="str">
            <v>Enamel, Flat Wall</v>
          </cell>
          <cell r="C252" t="str">
            <v>gal.</v>
          </cell>
          <cell r="D252">
            <v>305</v>
          </cell>
          <cell r="E252">
            <v>0</v>
          </cell>
        </row>
        <row r="253">
          <cell r="A253">
            <v>13.03</v>
          </cell>
          <cell r="B253" t="str">
            <v>Enamel, Flat Wall, Boysen</v>
          </cell>
          <cell r="C253" t="str">
            <v>gal.</v>
          </cell>
          <cell r="D253">
            <v>273</v>
          </cell>
          <cell r="E253">
            <v>0</v>
          </cell>
        </row>
        <row r="254">
          <cell r="A254">
            <v>13.04</v>
          </cell>
          <cell r="B254" t="str">
            <v>Enamel, Flat Wall, Dutch Boy</v>
          </cell>
          <cell r="C254" t="str">
            <v>gal.</v>
          </cell>
          <cell r="D254">
            <v>273</v>
          </cell>
          <cell r="E254">
            <v>0</v>
          </cell>
        </row>
        <row r="255">
          <cell r="A255">
            <v>13.05</v>
          </cell>
          <cell r="B255" t="str">
            <v>Enamel, Flat Wall, Nation</v>
          </cell>
          <cell r="C255" t="str">
            <v>gal.</v>
          </cell>
          <cell r="D255">
            <v>225.75</v>
          </cell>
          <cell r="E255">
            <v>0</v>
          </cell>
        </row>
        <row r="256">
          <cell r="A256">
            <v>13.06</v>
          </cell>
          <cell r="B256" t="str">
            <v>Enamel, Flat Wall, Sinclair</v>
          </cell>
          <cell r="C256" t="str">
            <v>gal.</v>
          </cell>
          <cell r="D256">
            <v>241.5</v>
          </cell>
          <cell r="E256">
            <v>0</v>
          </cell>
        </row>
        <row r="257">
          <cell r="A257" t="str">
            <v>13.07a</v>
          </cell>
          <cell r="B257" t="str">
            <v>Enamel, Quick Dry, White</v>
          </cell>
          <cell r="C257" t="str">
            <v>gal.</v>
          </cell>
          <cell r="D257">
            <v>360</v>
          </cell>
          <cell r="E257">
            <v>0</v>
          </cell>
        </row>
        <row r="258">
          <cell r="A258" t="str">
            <v>13.07b</v>
          </cell>
          <cell r="B258" t="str">
            <v>Enamel, Quick Dry, Brown</v>
          </cell>
          <cell r="C258" t="str">
            <v>gal.</v>
          </cell>
          <cell r="D258">
            <v>325.5</v>
          </cell>
          <cell r="E258">
            <v>0</v>
          </cell>
        </row>
        <row r="259">
          <cell r="A259">
            <v>13.07</v>
          </cell>
          <cell r="B259" t="str">
            <v>Enamel, Quick Dry, White, Boysen</v>
          </cell>
          <cell r="C259" t="str">
            <v>gal.</v>
          </cell>
          <cell r="D259">
            <v>325.5</v>
          </cell>
          <cell r="E259">
            <v>0</v>
          </cell>
        </row>
        <row r="260">
          <cell r="A260">
            <v>13.08</v>
          </cell>
          <cell r="B260" t="str">
            <v>Enamel, Quick Dry, White, Dutch Boy</v>
          </cell>
          <cell r="C260" t="str">
            <v>gal.</v>
          </cell>
          <cell r="D260">
            <v>315</v>
          </cell>
          <cell r="E260">
            <v>0</v>
          </cell>
        </row>
        <row r="261">
          <cell r="A261">
            <v>13.09</v>
          </cell>
          <cell r="B261" t="str">
            <v>Enamel, Quick Dry, White, Nation</v>
          </cell>
          <cell r="C261" t="str">
            <v>gal.</v>
          </cell>
          <cell r="D261">
            <v>267.75</v>
          </cell>
          <cell r="E261">
            <v>0</v>
          </cell>
        </row>
        <row r="262">
          <cell r="A262">
            <v>13.1</v>
          </cell>
          <cell r="B262" t="str">
            <v>Enamel, Quick Dry, White, Sinclair</v>
          </cell>
          <cell r="C262" t="str">
            <v>gal.</v>
          </cell>
          <cell r="D262">
            <v>299.25</v>
          </cell>
          <cell r="E262">
            <v>0</v>
          </cell>
        </row>
        <row r="263">
          <cell r="A263" t="str">
            <v>13.11a</v>
          </cell>
          <cell r="B263" t="str">
            <v>Exterior House Paint</v>
          </cell>
          <cell r="C263" t="str">
            <v>gal.</v>
          </cell>
          <cell r="D263">
            <v>349.125</v>
          </cell>
          <cell r="E263">
            <v>0</v>
          </cell>
        </row>
        <row r="264">
          <cell r="A264">
            <v>13.11</v>
          </cell>
          <cell r="B264" t="str">
            <v>Exterior House Paint, Boysen</v>
          </cell>
          <cell r="C264" t="str">
            <v>gal.</v>
          </cell>
          <cell r="D264">
            <v>349.125</v>
          </cell>
          <cell r="E264">
            <v>0</v>
          </cell>
        </row>
        <row r="265">
          <cell r="A265">
            <v>13.12</v>
          </cell>
          <cell r="B265" t="str">
            <v>Exterior House Paint, Dutch Boy</v>
          </cell>
          <cell r="C265" t="str">
            <v>gal.</v>
          </cell>
          <cell r="D265">
            <v>336</v>
          </cell>
          <cell r="E265">
            <v>0</v>
          </cell>
        </row>
        <row r="266">
          <cell r="A266">
            <v>13.13</v>
          </cell>
          <cell r="B266" t="str">
            <v>Exterior House Paint, Nation</v>
          </cell>
          <cell r="C266" t="str">
            <v>gal.</v>
          </cell>
          <cell r="D266">
            <v>273</v>
          </cell>
          <cell r="E266">
            <v>0</v>
          </cell>
        </row>
        <row r="267">
          <cell r="A267">
            <v>13.14</v>
          </cell>
          <cell r="B267" t="str">
            <v>Exterior House Paint, Sinclair</v>
          </cell>
          <cell r="C267" t="str">
            <v>gal.</v>
          </cell>
          <cell r="D267">
            <v>330.75</v>
          </cell>
          <cell r="E267">
            <v>0</v>
          </cell>
        </row>
        <row r="268">
          <cell r="A268">
            <v>13.15</v>
          </cell>
          <cell r="B268" t="str">
            <v>Glazing Putty</v>
          </cell>
          <cell r="C268" t="str">
            <v>gal.</v>
          </cell>
          <cell r="D268">
            <v>300</v>
          </cell>
          <cell r="E268">
            <v>0</v>
          </cell>
        </row>
        <row r="269">
          <cell r="A269">
            <v>13.16</v>
          </cell>
          <cell r="B269" t="str">
            <v>Lacquer Thinner</v>
          </cell>
          <cell r="C269" t="str">
            <v>gal.</v>
          </cell>
          <cell r="D269">
            <v>80</v>
          </cell>
          <cell r="E269">
            <v>0</v>
          </cell>
        </row>
        <row r="270">
          <cell r="A270" t="str">
            <v>13.17a</v>
          </cell>
          <cell r="B270" t="str">
            <v>Latex, Acrylic Emulsion</v>
          </cell>
          <cell r="C270" t="str">
            <v>gal.</v>
          </cell>
          <cell r="D270">
            <v>270.90000000000003</v>
          </cell>
          <cell r="E270">
            <v>0</v>
          </cell>
        </row>
        <row r="271">
          <cell r="A271">
            <v>13.17</v>
          </cell>
          <cell r="B271" t="str">
            <v>Latex, Acrylic Emulsion, Boysen</v>
          </cell>
          <cell r="C271" t="str">
            <v>gal.</v>
          </cell>
          <cell r="D271">
            <v>270.90000000000003</v>
          </cell>
          <cell r="E271">
            <v>0</v>
          </cell>
        </row>
        <row r="272">
          <cell r="A272" t="str">
            <v>13.18a</v>
          </cell>
          <cell r="B272" t="str">
            <v>Latex, Flat</v>
          </cell>
          <cell r="C272" t="str">
            <v>4L</v>
          </cell>
          <cell r="D272">
            <v>280</v>
          </cell>
          <cell r="E272">
            <v>0</v>
          </cell>
        </row>
        <row r="273">
          <cell r="A273">
            <v>13.18</v>
          </cell>
          <cell r="B273" t="str">
            <v>Latex, Flat, Tuflon</v>
          </cell>
          <cell r="C273" t="str">
            <v>4L</v>
          </cell>
          <cell r="D273">
            <v>257.25</v>
          </cell>
          <cell r="E273">
            <v>0</v>
          </cell>
        </row>
        <row r="274">
          <cell r="A274" t="str">
            <v>13.19a</v>
          </cell>
          <cell r="B274" t="str">
            <v>Latex, Gloss</v>
          </cell>
          <cell r="C274" t="str">
            <v>gal.</v>
          </cell>
          <cell r="D274">
            <v>304.5</v>
          </cell>
          <cell r="E274">
            <v>0</v>
          </cell>
        </row>
        <row r="275">
          <cell r="A275">
            <v>13.19</v>
          </cell>
          <cell r="B275" t="str">
            <v>Latex, Gloss, Boysen</v>
          </cell>
          <cell r="C275" t="str">
            <v>gal.</v>
          </cell>
          <cell r="D275">
            <v>304.5</v>
          </cell>
          <cell r="E275">
            <v>0</v>
          </cell>
        </row>
        <row r="276">
          <cell r="A276">
            <v>13.2</v>
          </cell>
          <cell r="B276" t="str">
            <v>Latex, Gloss, Dutch Boy</v>
          </cell>
          <cell r="C276" t="str">
            <v>gal.</v>
          </cell>
          <cell r="D276">
            <v>299.25</v>
          </cell>
          <cell r="E276">
            <v>0</v>
          </cell>
        </row>
        <row r="277">
          <cell r="A277">
            <v>13.21</v>
          </cell>
          <cell r="B277" t="str">
            <v>Latex, Gloss, Sinclair</v>
          </cell>
          <cell r="C277" t="str">
            <v>gal.</v>
          </cell>
          <cell r="D277">
            <v>292.95</v>
          </cell>
          <cell r="E277">
            <v>0</v>
          </cell>
        </row>
        <row r="278">
          <cell r="A278" t="str">
            <v>13.22a</v>
          </cell>
          <cell r="B278" t="str">
            <v>Latex, Semi-Gloss</v>
          </cell>
          <cell r="C278" t="str">
            <v>gal.</v>
          </cell>
          <cell r="D278">
            <v>320</v>
          </cell>
          <cell r="E278">
            <v>0</v>
          </cell>
        </row>
        <row r="279">
          <cell r="A279">
            <v>13.22</v>
          </cell>
          <cell r="B279" t="str">
            <v>Latex, Semi-Gloss, Boysen</v>
          </cell>
          <cell r="C279" t="str">
            <v>gal.</v>
          </cell>
          <cell r="D279">
            <v>304.5</v>
          </cell>
          <cell r="E279">
            <v>0</v>
          </cell>
        </row>
        <row r="280">
          <cell r="A280">
            <v>13.23</v>
          </cell>
          <cell r="B280" t="str">
            <v>Latex, Semi-Gloss, Dutch Boy</v>
          </cell>
          <cell r="C280" t="str">
            <v>gal.</v>
          </cell>
          <cell r="D280">
            <v>315</v>
          </cell>
          <cell r="E280">
            <v>0</v>
          </cell>
        </row>
        <row r="281">
          <cell r="A281">
            <v>13.24</v>
          </cell>
          <cell r="B281" t="str">
            <v>Latex, Semi-Gloss, Sinclair</v>
          </cell>
          <cell r="C281" t="str">
            <v>gal.</v>
          </cell>
          <cell r="D281">
            <v>292.95</v>
          </cell>
          <cell r="E281">
            <v>0</v>
          </cell>
        </row>
        <row r="282">
          <cell r="A282" t="str">
            <v>13.25a</v>
          </cell>
          <cell r="B282" t="str">
            <v>Neutralizer</v>
          </cell>
          <cell r="C282" t="str">
            <v>gal.</v>
          </cell>
          <cell r="D282">
            <v>60</v>
          </cell>
          <cell r="E282">
            <v>0</v>
          </cell>
        </row>
        <row r="283">
          <cell r="A283">
            <v>13.25</v>
          </cell>
          <cell r="B283" t="str">
            <v>Neutralizer, Boysen</v>
          </cell>
          <cell r="C283" t="str">
            <v>gal.</v>
          </cell>
          <cell r="D283">
            <v>262.5</v>
          </cell>
          <cell r="E283">
            <v>0</v>
          </cell>
        </row>
        <row r="284">
          <cell r="A284">
            <v>13.26</v>
          </cell>
          <cell r="B284" t="str">
            <v>Neutralizer, Dutch Boy</v>
          </cell>
          <cell r="C284" t="str">
            <v>gal.</v>
          </cell>
          <cell r="D284">
            <v>280.35000000000002</v>
          </cell>
          <cell r="E284">
            <v>0</v>
          </cell>
        </row>
        <row r="285">
          <cell r="A285" t="str">
            <v>13.27a</v>
          </cell>
          <cell r="B285" t="str">
            <v>Paint Thinner</v>
          </cell>
          <cell r="C285" t="str">
            <v>gal.</v>
          </cell>
          <cell r="D285">
            <v>80</v>
          </cell>
          <cell r="E285">
            <v>0</v>
          </cell>
        </row>
        <row r="286">
          <cell r="A286">
            <v>13.27</v>
          </cell>
          <cell r="B286" t="str">
            <v>Paint Thinner. CES</v>
          </cell>
          <cell r="C286" t="str">
            <v>gal.</v>
          </cell>
          <cell r="D286">
            <v>80</v>
          </cell>
          <cell r="E286">
            <v>0</v>
          </cell>
        </row>
        <row r="287">
          <cell r="A287" t="str">
            <v>13.28a</v>
          </cell>
          <cell r="B287" t="str">
            <v>Patching Compound</v>
          </cell>
          <cell r="C287" t="str">
            <v>gal.</v>
          </cell>
          <cell r="D287">
            <v>262.5</v>
          </cell>
          <cell r="E287">
            <v>0</v>
          </cell>
        </row>
        <row r="288">
          <cell r="A288">
            <v>13.28</v>
          </cell>
          <cell r="B288" t="str">
            <v>Patching Compound - Decalite</v>
          </cell>
          <cell r="C288" t="str">
            <v>gal.</v>
          </cell>
          <cell r="D288">
            <v>262.5</v>
          </cell>
          <cell r="E288">
            <v>0</v>
          </cell>
        </row>
        <row r="289">
          <cell r="A289" t="str">
            <v>13.29a</v>
          </cell>
          <cell r="B289" t="str">
            <v>Portland Cement Roof Paint</v>
          </cell>
          <cell r="C289" t="str">
            <v>gal.</v>
          </cell>
          <cell r="D289">
            <v>400</v>
          </cell>
          <cell r="E289">
            <v>0</v>
          </cell>
        </row>
        <row r="290">
          <cell r="A290">
            <v>13.29</v>
          </cell>
          <cell r="B290" t="str">
            <v>Portland Cement Roof Paint, Green, Boysen</v>
          </cell>
          <cell r="C290" t="str">
            <v>gal.</v>
          </cell>
          <cell r="D290">
            <v>351.75</v>
          </cell>
          <cell r="E290">
            <v>0</v>
          </cell>
        </row>
        <row r="291">
          <cell r="A291">
            <v>13.3</v>
          </cell>
          <cell r="B291" t="str">
            <v>Portland Cement Roof Paint, Green, Dutch Boy</v>
          </cell>
          <cell r="C291" t="str">
            <v>gal.</v>
          </cell>
          <cell r="D291">
            <v>350.7</v>
          </cell>
          <cell r="E291">
            <v>0</v>
          </cell>
        </row>
        <row r="292">
          <cell r="A292" t="str">
            <v>13.31a</v>
          </cell>
          <cell r="B292" t="str">
            <v>Primer Red Lead</v>
          </cell>
          <cell r="C292" t="str">
            <v>gal.</v>
          </cell>
          <cell r="D292">
            <v>320</v>
          </cell>
          <cell r="E292">
            <v>0</v>
          </cell>
        </row>
        <row r="293">
          <cell r="A293">
            <v>13.31</v>
          </cell>
          <cell r="B293" t="str">
            <v>Primer Red Lead, Boysen</v>
          </cell>
          <cell r="C293" t="str">
            <v>gal.</v>
          </cell>
          <cell r="D293">
            <v>313.95</v>
          </cell>
          <cell r="E293">
            <v>0</v>
          </cell>
        </row>
        <row r="294">
          <cell r="A294">
            <v>13.32</v>
          </cell>
          <cell r="B294" t="str">
            <v>Primer Red Lead, Dutch Boy</v>
          </cell>
          <cell r="C294" t="str">
            <v>gal.</v>
          </cell>
          <cell r="D294">
            <v>287.7</v>
          </cell>
          <cell r="E294">
            <v>0</v>
          </cell>
        </row>
        <row r="295">
          <cell r="A295" t="str">
            <v>13.33a</v>
          </cell>
          <cell r="B295" t="str">
            <v>Tinting Color</v>
          </cell>
          <cell r="C295" t="str">
            <v>pint</v>
          </cell>
          <cell r="D295">
            <v>70</v>
          </cell>
          <cell r="E295">
            <v>0</v>
          </cell>
        </row>
        <row r="296">
          <cell r="A296">
            <v>13.33</v>
          </cell>
          <cell r="B296" t="str">
            <v>Tinting Color, Green, Sinclair</v>
          </cell>
          <cell r="C296" t="str">
            <v>pint</v>
          </cell>
          <cell r="D296">
            <v>52.5</v>
          </cell>
          <cell r="E296">
            <v>0</v>
          </cell>
        </row>
        <row r="297">
          <cell r="A297">
            <v>13.34</v>
          </cell>
          <cell r="B297" t="str">
            <v>Varnish, Dutch Boy</v>
          </cell>
          <cell r="C297" t="str">
            <v>gal.</v>
          </cell>
          <cell r="D297">
            <v>231</v>
          </cell>
          <cell r="E297">
            <v>0</v>
          </cell>
        </row>
        <row r="298">
          <cell r="A298">
            <v>13.35</v>
          </cell>
          <cell r="B298" t="str">
            <v>Varnish, Valspar</v>
          </cell>
          <cell r="C298" t="str">
            <v>gal.</v>
          </cell>
          <cell r="D298">
            <v>609</v>
          </cell>
          <cell r="E298">
            <v>0</v>
          </cell>
        </row>
        <row r="299">
          <cell r="A299">
            <v>13.36</v>
          </cell>
          <cell r="B299" t="str">
            <v>Wood Stain</v>
          </cell>
          <cell r="C299" t="str">
            <v>lit.</v>
          </cell>
          <cell r="D299">
            <v>57.75</v>
          </cell>
          <cell r="E299">
            <v>0</v>
          </cell>
        </row>
        <row r="300">
          <cell r="A300">
            <v>13.37</v>
          </cell>
          <cell r="B300" t="str">
            <v>Zinc Chromate, Dutch Boy</v>
          </cell>
          <cell r="C300" t="str">
            <v>gal.</v>
          </cell>
          <cell r="D300">
            <v>367.5</v>
          </cell>
          <cell r="E300">
            <v>0</v>
          </cell>
        </row>
        <row r="301">
          <cell r="A301">
            <v>14</v>
          </cell>
          <cell r="B301" t="str">
            <v>Pipe Fittings</v>
          </cell>
          <cell r="D301">
            <v>0</v>
          </cell>
          <cell r="E301">
            <v>0</v>
          </cell>
        </row>
        <row r="302">
          <cell r="A302">
            <v>14.01</v>
          </cell>
          <cell r="B302" t="str">
            <v>G.I. Check Valve, Horizontal, 1/2" dia.</v>
          </cell>
          <cell r="C302" t="str">
            <v>pc.</v>
          </cell>
          <cell r="D302">
            <v>262.5</v>
          </cell>
          <cell r="E302">
            <v>0</v>
          </cell>
        </row>
        <row r="303">
          <cell r="A303">
            <v>14.02</v>
          </cell>
          <cell r="B303" t="str">
            <v>G.I. Check Valve, Horizontal, 3/4" dia.</v>
          </cell>
          <cell r="C303" t="str">
            <v>pc.</v>
          </cell>
          <cell r="D303">
            <v>141.75</v>
          </cell>
          <cell r="E303">
            <v>0</v>
          </cell>
        </row>
        <row r="304">
          <cell r="A304">
            <v>14.03</v>
          </cell>
          <cell r="B304" t="str">
            <v>G.I. Check Valve, Horizontal,  1" dia.</v>
          </cell>
          <cell r="C304" t="str">
            <v>pc.</v>
          </cell>
          <cell r="D304">
            <v>198.1875</v>
          </cell>
          <cell r="E304">
            <v>0</v>
          </cell>
        </row>
        <row r="305">
          <cell r="A305">
            <v>14.04</v>
          </cell>
          <cell r="B305" t="str">
            <v>G.I. Check Valve, Horizontal, 1-1/2" dia.</v>
          </cell>
          <cell r="C305" t="str">
            <v>pc.</v>
          </cell>
          <cell r="D305">
            <v>323.40000000000003</v>
          </cell>
          <cell r="E305">
            <v>0</v>
          </cell>
        </row>
        <row r="306">
          <cell r="A306">
            <v>14.05</v>
          </cell>
          <cell r="B306" t="str">
            <v>G.I. Coupling, 1/2" dia.</v>
          </cell>
          <cell r="C306" t="str">
            <v>pc.</v>
          </cell>
          <cell r="D306">
            <v>10.5</v>
          </cell>
          <cell r="E306">
            <v>0</v>
          </cell>
        </row>
        <row r="307">
          <cell r="A307">
            <v>14.06</v>
          </cell>
          <cell r="B307" t="str">
            <v>G.I. Coupling, 3/4" dia.</v>
          </cell>
          <cell r="C307" t="str">
            <v>pc.</v>
          </cell>
          <cell r="D307">
            <v>13.65</v>
          </cell>
          <cell r="E307">
            <v>0</v>
          </cell>
        </row>
        <row r="308">
          <cell r="A308">
            <v>14.07</v>
          </cell>
          <cell r="B308" t="str">
            <v>G.I. Coupling,  1" dia.</v>
          </cell>
          <cell r="C308" t="str">
            <v>pc.</v>
          </cell>
          <cell r="D308">
            <v>24.150000000000002</v>
          </cell>
          <cell r="E308">
            <v>0</v>
          </cell>
        </row>
        <row r="309">
          <cell r="A309">
            <v>14.08</v>
          </cell>
          <cell r="B309" t="str">
            <v>G.I. Coupling, 1-1/2" dia.</v>
          </cell>
          <cell r="C309" t="str">
            <v>pc.</v>
          </cell>
          <cell r="D309">
            <v>38.661000000000001</v>
          </cell>
          <cell r="E309">
            <v>0</v>
          </cell>
        </row>
        <row r="310">
          <cell r="A310">
            <v>14.09</v>
          </cell>
          <cell r="B310" t="str">
            <v>G.I. Coupling,  2" dia.</v>
          </cell>
          <cell r="C310" t="str">
            <v>pc.</v>
          </cell>
          <cell r="D310">
            <v>63</v>
          </cell>
          <cell r="E310">
            <v>0</v>
          </cell>
        </row>
        <row r="311">
          <cell r="A311">
            <v>14.1</v>
          </cell>
          <cell r="B311" t="str">
            <v>G.I. Coupling,  3" dia.</v>
          </cell>
          <cell r="C311" t="str">
            <v>pc.</v>
          </cell>
          <cell r="D311">
            <v>138.6</v>
          </cell>
          <cell r="E311">
            <v>0</v>
          </cell>
        </row>
        <row r="312">
          <cell r="A312">
            <v>14.11</v>
          </cell>
          <cell r="B312" t="str">
            <v>G.I. Cross Tee, 1/2" dia.</v>
          </cell>
          <cell r="C312" t="str">
            <v>pc.</v>
          </cell>
          <cell r="D312">
            <v>52.5</v>
          </cell>
          <cell r="E312">
            <v>0</v>
          </cell>
        </row>
        <row r="313">
          <cell r="A313">
            <v>14.12</v>
          </cell>
          <cell r="B313" t="str">
            <v>G.I. Cross Tee, 3/4" dia.</v>
          </cell>
          <cell r="C313" t="str">
            <v>pc.</v>
          </cell>
          <cell r="D313">
            <v>66.150000000000006</v>
          </cell>
          <cell r="E313">
            <v>0</v>
          </cell>
        </row>
        <row r="314">
          <cell r="A314">
            <v>14.13</v>
          </cell>
          <cell r="B314" t="str">
            <v>G.I. Cross Tee,  1" dia.</v>
          </cell>
          <cell r="C314" t="str">
            <v>pc.</v>
          </cell>
          <cell r="D314">
            <v>89.25</v>
          </cell>
          <cell r="E314">
            <v>0</v>
          </cell>
        </row>
        <row r="315">
          <cell r="A315">
            <v>14.14</v>
          </cell>
          <cell r="B315" t="str">
            <v>G.I. Cross Tee, 1-1/2" dia.</v>
          </cell>
          <cell r="C315" t="str">
            <v>pc.</v>
          </cell>
          <cell r="D315">
            <v>182.70000000000002</v>
          </cell>
          <cell r="E315">
            <v>0</v>
          </cell>
        </row>
        <row r="316">
          <cell r="A316">
            <v>14.15</v>
          </cell>
          <cell r="B316" t="str">
            <v>G.I. Cross Tee,  2" dia.</v>
          </cell>
          <cell r="C316" t="str">
            <v>pc.</v>
          </cell>
          <cell r="D316">
            <v>242.55</v>
          </cell>
          <cell r="E316">
            <v>0</v>
          </cell>
        </row>
        <row r="317">
          <cell r="A317">
            <v>14.16</v>
          </cell>
          <cell r="B317" t="str">
            <v>G.I. Cross Tee,  3" dia.</v>
          </cell>
          <cell r="C317" t="str">
            <v>pc.</v>
          </cell>
          <cell r="D317">
            <v>577.5</v>
          </cell>
          <cell r="E317">
            <v>0</v>
          </cell>
        </row>
        <row r="318">
          <cell r="A318">
            <v>14.17</v>
          </cell>
          <cell r="B318" t="str">
            <v>G.I. Elbow, 45 Deg., 1/2" dia.</v>
          </cell>
          <cell r="C318" t="str">
            <v>pc.</v>
          </cell>
          <cell r="D318">
            <v>15.75</v>
          </cell>
          <cell r="E318">
            <v>0</v>
          </cell>
        </row>
        <row r="319">
          <cell r="A319">
            <v>14.18</v>
          </cell>
          <cell r="B319" t="str">
            <v>G.I. Elbow, 45 Deg., 3/4" dia.</v>
          </cell>
          <cell r="C319" t="str">
            <v>pc.</v>
          </cell>
          <cell r="D319">
            <v>18.900000000000002</v>
          </cell>
          <cell r="E319">
            <v>0</v>
          </cell>
        </row>
        <row r="320">
          <cell r="A320">
            <v>14.19</v>
          </cell>
          <cell r="B320" t="str">
            <v>G.I. Elbow, 45 Deg.,  1" dia.</v>
          </cell>
          <cell r="C320" t="str">
            <v>pc.</v>
          </cell>
          <cell r="D320">
            <v>31.5</v>
          </cell>
          <cell r="E320">
            <v>0</v>
          </cell>
        </row>
        <row r="321">
          <cell r="A321">
            <v>14.2</v>
          </cell>
          <cell r="B321" t="str">
            <v>G.I. Elbow, 45 Deg., 1-1/2" dia.</v>
          </cell>
          <cell r="C321" t="str">
            <v>pc.</v>
          </cell>
          <cell r="D321">
            <v>60.900000000000006</v>
          </cell>
          <cell r="E321">
            <v>0</v>
          </cell>
        </row>
        <row r="322">
          <cell r="A322">
            <v>14.21</v>
          </cell>
          <cell r="B322" t="str">
            <v>G.I. Elbow, 45 Deg.,  2" dia.</v>
          </cell>
          <cell r="C322" t="str">
            <v>pc.</v>
          </cell>
          <cell r="D322">
            <v>89.25</v>
          </cell>
          <cell r="E322">
            <v>0</v>
          </cell>
        </row>
        <row r="323">
          <cell r="A323">
            <v>14.22</v>
          </cell>
          <cell r="B323" t="str">
            <v>G.I. Elbow, 45 Deg.,  3" dia.</v>
          </cell>
          <cell r="C323" t="str">
            <v>pc.</v>
          </cell>
          <cell r="D323">
            <v>252</v>
          </cell>
          <cell r="E323">
            <v>0</v>
          </cell>
        </row>
        <row r="324">
          <cell r="A324">
            <v>14.23</v>
          </cell>
          <cell r="B324" t="str">
            <v>G.I. Elbow, 90 Deg., 1/2" dia.</v>
          </cell>
          <cell r="C324" t="str">
            <v>pc.</v>
          </cell>
          <cell r="D324">
            <v>11.55</v>
          </cell>
          <cell r="E324">
            <v>0</v>
          </cell>
        </row>
        <row r="325">
          <cell r="A325">
            <v>14.24</v>
          </cell>
          <cell r="B325" t="str">
            <v>G.I. Elbow, 90 Deg., 3/4" dia.</v>
          </cell>
          <cell r="C325" t="str">
            <v>pc.</v>
          </cell>
          <cell r="D325">
            <v>18.900000000000002</v>
          </cell>
          <cell r="E325">
            <v>0</v>
          </cell>
        </row>
        <row r="326">
          <cell r="A326">
            <v>14.25</v>
          </cell>
          <cell r="B326" t="str">
            <v>G.I. Elbow, 90 Deg.,  1" dia.</v>
          </cell>
          <cell r="C326" t="str">
            <v>pc.</v>
          </cell>
          <cell r="D326">
            <v>28.35</v>
          </cell>
          <cell r="E326">
            <v>0</v>
          </cell>
        </row>
        <row r="327">
          <cell r="A327">
            <v>14.26</v>
          </cell>
          <cell r="B327" t="str">
            <v>G.I. Elbow, 90 Deg., 1-1/2" dia.</v>
          </cell>
          <cell r="C327" t="str">
            <v>pc.</v>
          </cell>
          <cell r="D327">
            <v>52.5</v>
          </cell>
          <cell r="E327">
            <v>0</v>
          </cell>
        </row>
        <row r="328">
          <cell r="A328">
            <v>14.27</v>
          </cell>
          <cell r="B328" t="str">
            <v>G.I. Elbow, 90 Deg.,  2" dia.</v>
          </cell>
          <cell r="C328" t="str">
            <v>pc.</v>
          </cell>
          <cell r="D328">
            <v>78.75</v>
          </cell>
          <cell r="E328">
            <v>0</v>
          </cell>
        </row>
        <row r="329">
          <cell r="A329">
            <v>14.28</v>
          </cell>
          <cell r="B329" t="str">
            <v>G.I. Elbow, 90 Deg.,  3" dia.</v>
          </cell>
          <cell r="C329" t="str">
            <v>pc.</v>
          </cell>
          <cell r="D329">
            <v>210</v>
          </cell>
          <cell r="E329">
            <v>0</v>
          </cell>
        </row>
        <row r="330">
          <cell r="A330">
            <v>14.29</v>
          </cell>
          <cell r="B330" t="str">
            <v>G.I. Gate Valve, 1/2" dia.</v>
          </cell>
          <cell r="C330" t="str">
            <v>pc.</v>
          </cell>
          <cell r="D330">
            <v>99.75</v>
          </cell>
          <cell r="E330">
            <v>0</v>
          </cell>
        </row>
        <row r="331">
          <cell r="A331">
            <v>14.3</v>
          </cell>
          <cell r="B331" t="str">
            <v>G.I. Gate Valve, 3/4" dia.</v>
          </cell>
          <cell r="C331" t="str">
            <v>pc.</v>
          </cell>
          <cell r="D331">
            <v>136.5</v>
          </cell>
          <cell r="E331">
            <v>0</v>
          </cell>
        </row>
        <row r="332">
          <cell r="A332">
            <v>14.31</v>
          </cell>
          <cell r="B332" t="str">
            <v>G.I. Gate Valve,  1" dia.</v>
          </cell>
          <cell r="C332" t="str">
            <v>pc.</v>
          </cell>
          <cell r="D332">
            <v>136.5</v>
          </cell>
          <cell r="E332">
            <v>0</v>
          </cell>
        </row>
        <row r="333">
          <cell r="A333">
            <v>14.32</v>
          </cell>
          <cell r="B333" t="str">
            <v>G.I. Gate Valve, 1-1/2" dia.</v>
          </cell>
          <cell r="C333" t="str">
            <v>pc.</v>
          </cell>
          <cell r="D333">
            <v>319.2</v>
          </cell>
          <cell r="E333">
            <v>0</v>
          </cell>
        </row>
        <row r="334">
          <cell r="A334">
            <v>14.33</v>
          </cell>
          <cell r="B334" t="str">
            <v>G.I. Gate Valve,  2" dia.</v>
          </cell>
          <cell r="C334" t="str">
            <v>pc.</v>
          </cell>
          <cell r="D334">
            <v>472.5</v>
          </cell>
          <cell r="E334">
            <v>0</v>
          </cell>
        </row>
        <row r="335">
          <cell r="A335">
            <v>14.34</v>
          </cell>
          <cell r="B335" t="str">
            <v>G.I. Plug, 1/2" dia.</v>
          </cell>
          <cell r="C335" t="str">
            <v>pc.</v>
          </cell>
          <cell r="D335">
            <v>10.5</v>
          </cell>
          <cell r="E335">
            <v>0</v>
          </cell>
        </row>
        <row r="336">
          <cell r="A336">
            <v>14.35</v>
          </cell>
          <cell r="B336" t="str">
            <v>G.I. Plug, 3/4" dia.</v>
          </cell>
          <cell r="C336" t="str">
            <v>pc.</v>
          </cell>
          <cell r="D336">
            <v>12.600000000000001</v>
          </cell>
          <cell r="E336">
            <v>0</v>
          </cell>
        </row>
        <row r="337">
          <cell r="A337">
            <v>14.36</v>
          </cell>
          <cell r="B337" t="str">
            <v>G.I. Plug,  1" dia.</v>
          </cell>
          <cell r="C337" t="str">
            <v>pc.</v>
          </cell>
          <cell r="D337">
            <v>15.75</v>
          </cell>
          <cell r="E337">
            <v>0</v>
          </cell>
        </row>
        <row r="338">
          <cell r="A338">
            <v>14.37</v>
          </cell>
          <cell r="B338" t="str">
            <v>G.I. Plug, 1-1/2" dia.</v>
          </cell>
          <cell r="C338" t="str">
            <v>pc.</v>
          </cell>
          <cell r="D338">
            <v>27.3</v>
          </cell>
          <cell r="E338">
            <v>0</v>
          </cell>
        </row>
        <row r="339">
          <cell r="A339">
            <v>14.38</v>
          </cell>
          <cell r="B339" t="str">
            <v>G.I. Pipe 1/2" dia.</v>
          </cell>
          <cell r="C339" t="str">
            <v>pc.</v>
          </cell>
          <cell r="D339">
            <v>210</v>
          </cell>
          <cell r="E339">
            <v>0</v>
          </cell>
        </row>
        <row r="340">
          <cell r="A340">
            <v>14.39</v>
          </cell>
          <cell r="B340" t="str">
            <v>Auxiliary Valve</v>
          </cell>
          <cell r="C340" t="str">
            <v>pc.</v>
          </cell>
          <cell r="D340">
            <v>147</v>
          </cell>
          <cell r="E340">
            <v>0</v>
          </cell>
        </row>
        <row r="341">
          <cell r="A341">
            <v>14.4</v>
          </cell>
          <cell r="B341" t="str">
            <v>Niple 2" long</v>
          </cell>
          <cell r="C341" t="str">
            <v>pc.</v>
          </cell>
          <cell r="D341">
            <v>7.3500000000000005</v>
          </cell>
          <cell r="E341">
            <v>0</v>
          </cell>
        </row>
        <row r="342">
          <cell r="A342">
            <v>14.41</v>
          </cell>
          <cell r="B342" t="str">
            <v>Teflon</v>
          </cell>
          <cell r="C342" t="str">
            <v>pc.</v>
          </cell>
          <cell r="D342">
            <v>10.5</v>
          </cell>
          <cell r="E342">
            <v>0</v>
          </cell>
        </row>
        <row r="343">
          <cell r="A343">
            <v>14.42</v>
          </cell>
          <cell r="B343" t="str">
            <v>Flexible Pipe</v>
          </cell>
          <cell r="C343" t="str">
            <v>pc.</v>
          </cell>
          <cell r="D343">
            <v>78.75</v>
          </cell>
          <cell r="E343">
            <v>0</v>
          </cell>
        </row>
        <row r="344">
          <cell r="A344">
            <v>15</v>
          </cell>
          <cell r="B344" t="str">
            <v>Plumbing/Sanitary</v>
          </cell>
          <cell r="D344">
            <v>0</v>
          </cell>
          <cell r="E344">
            <v>0</v>
          </cell>
        </row>
        <row r="345">
          <cell r="A345">
            <v>15.01</v>
          </cell>
          <cell r="B345" t="str">
            <v>PVC Tee 2" dia.</v>
          </cell>
          <cell r="C345" t="str">
            <v>pc.</v>
          </cell>
          <cell r="D345">
            <v>15.75</v>
          </cell>
          <cell r="E345">
            <v>0</v>
          </cell>
        </row>
        <row r="346">
          <cell r="A346">
            <v>15.02</v>
          </cell>
          <cell r="B346" t="str">
            <v>PVC Tee 3" dia.</v>
          </cell>
          <cell r="C346" t="str">
            <v>pc.</v>
          </cell>
          <cell r="D346">
            <v>21</v>
          </cell>
          <cell r="E346">
            <v>0</v>
          </cell>
        </row>
        <row r="347">
          <cell r="A347">
            <v>15.03</v>
          </cell>
          <cell r="B347" t="str">
            <v>PVC Tee 4" dia.</v>
          </cell>
          <cell r="C347" t="str">
            <v>pc.</v>
          </cell>
          <cell r="D347">
            <v>26.25</v>
          </cell>
          <cell r="E347">
            <v>0</v>
          </cell>
        </row>
        <row r="348">
          <cell r="A348">
            <v>15.04</v>
          </cell>
          <cell r="B348" t="str">
            <v>PVC Tee 2"x2" dia.</v>
          </cell>
          <cell r="C348" t="str">
            <v>pc.</v>
          </cell>
          <cell r="D348">
            <v>26.25</v>
          </cell>
          <cell r="E348">
            <v>0</v>
          </cell>
        </row>
        <row r="349">
          <cell r="A349">
            <v>15.05</v>
          </cell>
          <cell r="B349" t="str">
            <v>PVC Tee 3"x2" dia.</v>
          </cell>
          <cell r="C349" t="str">
            <v>pc.</v>
          </cell>
          <cell r="D349">
            <v>31.5</v>
          </cell>
          <cell r="E349">
            <v>0</v>
          </cell>
        </row>
        <row r="350">
          <cell r="A350">
            <v>15.06</v>
          </cell>
          <cell r="B350" t="str">
            <v>PVC Tee 4"x3" dia.</v>
          </cell>
          <cell r="C350" t="str">
            <v>pc.</v>
          </cell>
          <cell r="D350">
            <v>37.800000000000004</v>
          </cell>
          <cell r="E350">
            <v>0</v>
          </cell>
        </row>
        <row r="351">
          <cell r="A351" t="str">
            <v>15.06a</v>
          </cell>
          <cell r="B351" t="str">
            <v>PVC Tee 4"x4" dia.</v>
          </cell>
          <cell r="C351" t="str">
            <v>pc.</v>
          </cell>
          <cell r="D351">
            <v>42</v>
          </cell>
          <cell r="E351">
            <v>0</v>
          </cell>
        </row>
        <row r="352">
          <cell r="A352">
            <v>15.07</v>
          </cell>
          <cell r="B352" t="str">
            <v>PVC Pipe 2" dia.</v>
          </cell>
          <cell r="C352" t="str">
            <v>pc.</v>
          </cell>
          <cell r="D352">
            <v>126</v>
          </cell>
          <cell r="E352">
            <v>0</v>
          </cell>
        </row>
        <row r="353">
          <cell r="A353">
            <v>15.08</v>
          </cell>
          <cell r="B353" t="str">
            <v>PVC Pipe 3" dia.</v>
          </cell>
          <cell r="C353" t="str">
            <v>pc.</v>
          </cell>
          <cell r="D353">
            <v>147</v>
          </cell>
          <cell r="E353">
            <v>0</v>
          </cell>
        </row>
        <row r="354">
          <cell r="A354">
            <v>15.09</v>
          </cell>
          <cell r="B354" t="str">
            <v>PVC Pipe 4" dia.</v>
          </cell>
          <cell r="C354" t="str">
            <v>pc.</v>
          </cell>
          <cell r="D354">
            <v>168</v>
          </cell>
          <cell r="E354">
            <v>0</v>
          </cell>
        </row>
        <row r="355">
          <cell r="A355">
            <v>15.1</v>
          </cell>
          <cell r="B355" t="str">
            <v>PVC Wye 2"x2" dia.</v>
          </cell>
          <cell r="C355" t="str">
            <v>pc.</v>
          </cell>
          <cell r="D355">
            <v>21</v>
          </cell>
          <cell r="E355">
            <v>0</v>
          </cell>
        </row>
        <row r="356">
          <cell r="A356">
            <v>15.11</v>
          </cell>
          <cell r="B356" t="str">
            <v>PVC Wye 3"x2" dia.</v>
          </cell>
          <cell r="C356" t="str">
            <v>pc.</v>
          </cell>
          <cell r="D356">
            <v>26.25</v>
          </cell>
          <cell r="E356">
            <v>0</v>
          </cell>
        </row>
        <row r="357">
          <cell r="A357">
            <v>15.12</v>
          </cell>
          <cell r="B357" t="str">
            <v>PVC Wye 3"x3" dia.</v>
          </cell>
          <cell r="C357" t="str">
            <v>pc.</v>
          </cell>
          <cell r="D357">
            <v>29.400000000000002</v>
          </cell>
          <cell r="E357">
            <v>0</v>
          </cell>
        </row>
        <row r="358">
          <cell r="A358">
            <v>15.13</v>
          </cell>
          <cell r="B358" t="str">
            <v>PVC Wye 4"x3" dia.</v>
          </cell>
          <cell r="C358" t="str">
            <v>pc.</v>
          </cell>
          <cell r="D358">
            <v>33.6</v>
          </cell>
          <cell r="E358">
            <v>0</v>
          </cell>
        </row>
        <row r="359">
          <cell r="A359">
            <v>15.14</v>
          </cell>
          <cell r="B359" t="str">
            <v>PVC Elbow 2" dia.</v>
          </cell>
          <cell r="C359" t="str">
            <v>pc.</v>
          </cell>
          <cell r="D359">
            <v>15.75</v>
          </cell>
          <cell r="E359">
            <v>0</v>
          </cell>
        </row>
        <row r="360">
          <cell r="A360">
            <v>15.15</v>
          </cell>
          <cell r="B360" t="str">
            <v>PVC Elbow 3" dia.</v>
          </cell>
          <cell r="C360" t="str">
            <v>pc.</v>
          </cell>
          <cell r="D360">
            <v>21</v>
          </cell>
          <cell r="E360">
            <v>0</v>
          </cell>
        </row>
        <row r="361">
          <cell r="A361">
            <v>15.16</v>
          </cell>
          <cell r="B361" t="str">
            <v>PVC Elbow 4" dia.</v>
          </cell>
          <cell r="C361" t="str">
            <v>pc.</v>
          </cell>
          <cell r="D361">
            <v>24.150000000000002</v>
          </cell>
          <cell r="E361">
            <v>0</v>
          </cell>
        </row>
        <row r="362">
          <cell r="A362">
            <v>15.17</v>
          </cell>
          <cell r="B362" t="str">
            <v>PVC Elbow 2"x2" dia.</v>
          </cell>
          <cell r="C362" t="str">
            <v>pc.</v>
          </cell>
          <cell r="D362">
            <v>15.75</v>
          </cell>
          <cell r="E362">
            <v>0</v>
          </cell>
        </row>
        <row r="363">
          <cell r="A363">
            <v>15.18</v>
          </cell>
          <cell r="B363" t="str">
            <v>PVC Elbow 3"x2" dia.</v>
          </cell>
          <cell r="C363" t="str">
            <v>pc.</v>
          </cell>
          <cell r="D363">
            <v>18.900000000000002</v>
          </cell>
          <cell r="E363">
            <v>0</v>
          </cell>
        </row>
        <row r="364">
          <cell r="A364">
            <v>15.19</v>
          </cell>
          <cell r="B364" t="str">
            <v>PVC Elbow 3"x3" dia.</v>
          </cell>
          <cell r="C364" t="str">
            <v>pc.</v>
          </cell>
          <cell r="D364">
            <v>22.05</v>
          </cell>
          <cell r="E364">
            <v>0</v>
          </cell>
        </row>
        <row r="365">
          <cell r="A365">
            <v>15.2</v>
          </cell>
          <cell r="B365" t="str">
            <v>PVC Elbow 4"x3" dia.</v>
          </cell>
          <cell r="C365" t="str">
            <v>pc.</v>
          </cell>
          <cell r="D365">
            <v>24.150000000000002</v>
          </cell>
          <cell r="E365">
            <v>0</v>
          </cell>
        </row>
        <row r="366">
          <cell r="A366">
            <v>15.21</v>
          </cell>
          <cell r="B366" t="str">
            <v>PVC Elbow 4"x4" dia.</v>
          </cell>
          <cell r="C366" t="str">
            <v>pc.</v>
          </cell>
          <cell r="D366">
            <v>26.25</v>
          </cell>
          <cell r="E366">
            <v>0</v>
          </cell>
        </row>
        <row r="367">
          <cell r="A367">
            <v>15.22</v>
          </cell>
          <cell r="B367" t="str">
            <v>PVC End Cap 2" dia.</v>
          </cell>
          <cell r="C367" t="str">
            <v>pc.</v>
          </cell>
          <cell r="D367">
            <v>21</v>
          </cell>
          <cell r="E367">
            <v>0</v>
          </cell>
        </row>
        <row r="368">
          <cell r="A368">
            <v>15.23</v>
          </cell>
          <cell r="B368" t="str">
            <v>PVC End Cap 3" dia.</v>
          </cell>
          <cell r="C368" t="str">
            <v>pc.</v>
          </cell>
          <cell r="D368">
            <v>26.25</v>
          </cell>
          <cell r="E368">
            <v>0</v>
          </cell>
        </row>
        <row r="369">
          <cell r="A369">
            <v>15.24</v>
          </cell>
          <cell r="B369" t="str">
            <v>PVC End Cap 4" dia.</v>
          </cell>
          <cell r="C369" t="str">
            <v>pc.</v>
          </cell>
          <cell r="D369">
            <v>31.5</v>
          </cell>
          <cell r="E369">
            <v>0</v>
          </cell>
        </row>
        <row r="370">
          <cell r="A370">
            <v>16</v>
          </cell>
          <cell r="B370" t="str">
            <v>Plumbing Fixtures</v>
          </cell>
          <cell r="D370">
            <v>0</v>
          </cell>
          <cell r="E370">
            <v>0</v>
          </cell>
        </row>
        <row r="371">
          <cell r="A371">
            <v>16.010000000000002</v>
          </cell>
          <cell r="B371" t="str">
            <v>PVC Schedule 40, 15 mm dia.</v>
          </cell>
          <cell r="C371" t="str">
            <v>pc.</v>
          </cell>
          <cell r="D371">
            <v>47.25</v>
          </cell>
          <cell r="E371">
            <v>0</v>
          </cell>
        </row>
        <row r="372">
          <cell r="A372">
            <v>16.02</v>
          </cell>
          <cell r="B372" t="str">
            <v>PVC Pipe Tubing, 6 m x 20 mm dia.</v>
          </cell>
          <cell r="C372" t="str">
            <v>pc.</v>
          </cell>
          <cell r="D372">
            <v>47.25</v>
          </cell>
          <cell r="E372">
            <v>0</v>
          </cell>
        </row>
        <row r="373">
          <cell r="A373">
            <v>16.03</v>
          </cell>
          <cell r="B373" t="str">
            <v>PVC Pipe Tubing, Standard, 6 m x 50 mm dia.</v>
          </cell>
          <cell r="C373" t="str">
            <v>pc.</v>
          </cell>
          <cell r="D373">
            <v>126</v>
          </cell>
          <cell r="E373">
            <v>0</v>
          </cell>
        </row>
        <row r="374">
          <cell r="A374">
            <v>16.04</v>
          </cell>
          <cell r="B374" t="str">
            <v>PVC Pipe Tubing, Standard, 6 m x 75 mm dia.</v>
          </cell>
          <cell r="C374" t="str">
            <v>pc.</v>
          </cell>
          <cell r="D374">
            <v>168</v>
          </cell>
          <cell r="E374">
            <v>0</v>
          </cell>
        </row>
        <row r="375">
          <cell r="A375">
            <v>16.05</v>
          </cell>
          <cell r="B375" t="str">
            <v>PVC Wye, 75 mm dia.</v>
          </cell>
          <cell r="C375" t="str">
            <v>pc.</v>
          </cell>
          <cell r="D375">
            <v>27.3</v>
          </cell>
          <cell r="E375">
            <v>0</v>
          </cell>
        </row>
        <row r="376">
          <cell r="A376">
            <v>16.059999999999999</v>
          </cell>
          <cell r="B376" t="str">
            <v>PVC Wye, 3" x 2"</v>
          </cell>
          <cell r="C376" t="str">
            <v>pc.</v>
          </cell>
          <cell r="D376">
            <v>27.3</v>
          </cell>
          <cell r="E376">
            <v>0</v>
          </cell>
        </row>
        <row r="377">
          <cell r="A377">
            <v>16.07</v>
          </cell>
          <cell r="B377" t="str">
            <v>PVC Elbow 1/4" Bend</v>
          </cell>
          <cell r="C377" t="str">
            <v>pc.</v>
          </cell>
          <cell r="D377">
            <v>12.600000000000001</v>
          </cell>
          <cell r="E377">
            <v>0</v>
          </cell>
        </row>
        <row r="378">
          <cell r="A378">
            <v>16.079999999999998</v>
          </cell>
          <cell r="B378" t="str">
            <v>PVC Cross Tee, 20 mm dia.</v>
          </cell>
          <cell r="C378" t="str">
            <v>pc.</v>
          </cell>
          <cell r="D378">
            <v>18.900000000000002</v>
          </cell>
          <cell r="E378">
            <v>0</v>
          </cell>
        </row>
        <row r="379">
          <cell r="A379">
            <v>16.09</v>
          </cell>
          <cell r="B379" t="str">
            <v>PVC Cross Tee, 50 mm dia.</v>
          </cell>
          <cell r="C379" t="str">
            <v>pc.</v>
          </cell>
          <cell r="D379">
            <v>18.900000000000002</v>
          </cell>
          <cell r="E379">
            <v>0</v>
          </cell>
        </row>
        <row r="380">
          <cell r="A380">
            <v>16.100000000000001</v>
          </cell>
          <cell r="B380" t="str">
            <v>Solvent Cement</v>
          </cell>
          <cell r="C380" t="str">
            <v>qts.</v>
          </cell>
          <cell r="D380">
            <v>199.5</v>
          </cell>
          <cell r="E380">
            <v>0</v>
          </cell>
        </row>
        <row r="381">
          <cell r="A381">
            <v>16.11</v>
          </cell>
          <cell r="B381" t="str">
            <v>Water Closet</v>
          </cell>
          <cell r="C381" t="str">
            <v>pc.</v>
          </cell>
          <cell r="D381">
            <v>2625</v>
          </cell>
          <cell r="E381">
            <v>0</v>
          </cell>
        </row>
        <row r="382">
          <cell r="A382">
            <v>16.12</v>
          </cell>
          <cell r="B382" t="str">
            <v>Paper Holder</v>
          </cell>
          <cell r="C382" t="str">
            <v>pc.</v>
          </cell>
          <cell r="D382">
            <v>210</v>
          </cell>
          <cell r="E382">
            <v>0</v>
          </cell>
        </row>
        <row r="383">
          <cell r="A383">
            <v>16.13</v>
          </cell>
          <cell r="B383" t="str">
            <v>Shower Head</v>
          </cell>
          <cell r="C383" t="str">
            <v>pc.</v>
          </cell>
          <cell r="D383">
            <v>78.75</v>
          </cell>
          <cell r="E383">
            <v>0</v>
          </cell>
        </row>
        <row r="384">
          <cell r="A384">
            <v>16.14</v>
          </cell>
          <cell r="B384" t="str">
            <v>Shower Valve</v>
          </cell>
          <cell r="C384" t="str">
            <v>pc.</v>
          </cell>
          <cell r="D384">
            <v>210</v>
          </cell>
          <cell r="E384">
            <v>0</v>
          </cell>
        </row>
        <row r="385">
          <cell r="A385">
            <v>16.149999999999999</v>
          </cell>
          <cell r="B385" t="str">
            <v>Floor Drain 4" x 4"</v>
          </cell>
          <cell r="C385" t="str">
            <v>pc.</v>
          </cell>
          <cell r="D385">
            <v>26.25</v>
          </cell>
          <cell r="E385">
            <v>0</v>
          </cell>
        </row>
        <row r="386">
          <cell r="A386">
            <v>16.16</v>
          </cell>
          <cell r="B386" t="str">
            <v>Soap Holder</v>
          </cell>
          <cell r="C386" t="str">
            <v>pc.</v>
          </cell>
          <cell r="D386">
            <v>210</v>
          </cell>
          <cell r="E386">
            <v>0</v>
          </cell>
        </row>
        <row r="387">
          <cell r="A387">
            <v>16.170000000000002</v>
          </cell>
          <cell r="B387" t="str">
            <v>Lavatory</v>
          </cell>
          <cell r="C387" t="str">
            <v>set</v>
          </cell>
          <cell r="D387">
            <v>945</v>
          </cell>
          <cell r="E387">
            <v>0</v>
          </cell>
        </row>
        <row r="388">
          <cell r="A388">
            <v>16.18</v>
          </cell>
          <cell r="B388" t="str">
            <v>Installation of Sanitary Fixtures and Works</v>
          </cell>
          <cell r="C388" t="str">
            <v>lot</v>
          </cell>
          <cell r="D388">
            <v>0</v>
          </cell>
          <cell r="E388">
            <v>1442</v>
          </cell>
        </row>
        <row r="389">
          <cell r="A389">
            <v>16.190000000000001</v>
          </cell>
          <cell r="B389" t="str">
            <v>Installation of Plumbing Fixtures and Works</v>
          </cell>
          <cell r="C389" t="str">
            <v>lot</v>
          </cell>
          <cell r="D389">
            <v>0</v>
          </cell>
          <cell r="E389">
            <v>175.1</v>
          </cell>
        </row>
        <row r="390">
          <cell r="A390">
            <v>17</v>
          </cell>
          <cell r="B390" t="str">
            <v>Reinforcing Steel</v>
          </cell>
          <cell r="D390">
            <v>0</v>
          </cell>
          <cell r="E390">
            <v>0</v>
          </cell>
        </row>
        <row r="391">
          <cell r="A391" t="str">
            <v>17a</v>
          </cell>
          <cell r="B391" t="str">
            <v>Fabrication &amp; Installation of Reinforcing Bars</v>
          </cell>
          <cell r="C391" t="str">
            <v>kg.</v>
          </cell>
          <cell r="D391">
            <v>0</v>
          </cell>
          <cell r="E391">
            <v>4.5</v>
          </cell>
        </row>
        <row r="392">
          <cell r="A392">
            <v>17.010000000000002</v>
          </cell>
          <cell r="B392" t="str">
            <v>Reinforcing Steel, Int. Def. Grade 275, 10mm x 6m</v>
          </cell>
          <cell r="C392" t="str">
            <v>pc.</v>
          </cell>
          <cell r="D392">
            <v>43.050000000000004</v>
          </cell>
          <cell r="E392">
            <v>0</v>
          </cell>
        </row>
        <row r="393">
          <cell r="A393">
            <v>17.02</v>
          </cell>
          <cell r="B393" t="str">
            <v>Reinforcing Steel, Int. Def. Grade 275, 12mm x 6m</v>
          </cell>
          <cell r="C393" t="str">
            <v>pc.</v>
          </cell>
          <cell r="D393">
            <v>78.75</v>
          </cell>
          <cell r="E393">
            <v>0</v>
          </cell>
        </row>
        <row r="394">
          <cell r="A394">
            <v>17.03</v>
          </cell>
          <cell r="B394" t="str">
            <v>Reinforcing Steel, Int. Def. Grade 275, 16mm x 6m</v>
          </cell>
          <cell r="C394" t="str">
            <v>pc.</v>
          </cell>
          <cell r="D394">
            <v>131.25</v>
          </cell>
          <cell r="E394">
            <v>0</v>
          </cell>
        </row>
        <row r="395">
          <cell r="A395">
            <v>17.04</v>
          </cell>
          <cell r="B395" t="str">
            <v>Reinforcing Steel, Int. Def. Grade 275, 20mm x 6m</v>
          </cell>
          <cell r="C395" t="str">
            <v>pc.</v>
          </cell>
          <cell r="D395">
            <v>204.75</v>
          </cell>
          <cell r="E395">
            <v>0</v>
          </cell>
        </row>
        <row r="396">
          <cell r="A396">
            <v>17.05</v>
          </cell>
          <cell r="B396" t="str">
            <v>Reinforcing Steel, Int. Def. Grade 275, 25mm x 6m</v>
          </cell>
          <cell r="C396" t="str">
            <v>pc.</v>
          </cell>
          <cell r="D396">
            <v>323.40000000000003</v>
          </cell>
          <cell r="E396">
            <v>0</v>
          </cell>
        </row>
        <row r="397">
          <cell r="A397">
            <v>17.059999999999999</v>
          </cell>
          <cell r="B397" t="str">
            <v>Reinforcing Steel, Plain Grade 230, 12mm x 6m</v>
          </cell>
          <cell r="C397" t="str">
            <v>pc.</v>
          </cell>
          <cell r="D397">
            <v>99.75</v>
          </cell>
          <cell r="E397">
            <v>0</v>
          </cell>
        </row>
        <row r="398">
          <cell r="A398">
            <v>17.07</v>
          </cell>
          <cell r="B398" t="str">
            <v>Reinforcing Steel, Plain Grade 230, 16mm x 6m</v>
          </cell>
          <cell r="C398" t="str">
            <v>pc.</v>
          </cell>
          <cell r="D398">
            <v>165.9</v>
          </cell>
          <cell r="E398">
            <v>0</v>
          </cell>
        </row>
        <row r="399">
          <cell r="A399">
            <v>17.079999999999998</v>
          </cell>
          <cell r="B399" t="str">
            <v>Reinforcing Steel, Plain Grade 230, 20mm x 6m</v>
          </cell>
          <cell r="C399" t="str">
            <v>pc.</v>
          </cell>
          <cell r="D399">
            <v>243.60000000000002</v>
          </cell>
          <cell r="E399">
            <v>0</v>
          </cell>
        </row>
        <row r="400">
          <cell r="A400">
            <v>17.09</v>
          </cell>
          <cell r="B400" t="str">
            <v>Reinforcing Steel, Plain Grade 230, 25mm x 6m</v>
          </cell>
          <cell r="C400" t="str">
            <v>pc.</v>
          </cell>
          <cell r="D400">
            <v>385.35</v>
          </cell>
          <cell r="E400">
            <v>0</v>
          </cell>
        </row>
        <row r="401">
          <cell r="A401">
            <v>17.100000000000001</v>
          </cell>
          <cell r="B401" t="str">
            <v>Reinforcing Steel, Struc. Def. Grade 230, 10mm x 6m</v>
          </cell>
          <cell r="C401" t="str">
            <v>pc.</v>
          </cell>
          <cell r="D401">
            <v>51.45</v>
          </cell>
          <cell r="E401">
            <v>0</v>
          </cell>
        </row>
        <row r="402">
          <cell r="A402">
            <v>17.11</v>
          </cell>
          <cell r="B402" t="str">
            <v>Reinforcing Steel, Struc. Def. Grade 230, 12mm x 6m</v>
          </cell>
          <cell r="C402" t="str">
            <v>pc.</v>
          </cell>
          <cell r="D402">
            <v>63</v>
          </cell>
          <cell r="E402">
            <v>0</v>
          </cell>
        </row>
        <row r="403">
          <cell r="A403">
            <v>17.12</v>
          </cell>
          <cell r="B403" t="str">
            <v>Reinforcing Steel, Struc. Def. Grade 230, 16mm x 6m</v>
          </cell>
          <cell r="C403" t="str">
            <v>pc.</v>
          </cell>
          <cell r="D403">
            <v>103.95</v>
          </cell>
          <cell r="E403">
            <v>0</v>
          </cell>
        </row>
        <row r="404">
          <cell r="A404">
            <v>17.13</v>
          </cell>
          <cell r="B404" t="str">
            <v>Reinforcing Steel, Struc. Def. Grade 230, 20mm x 6m</v>
          </cell>
          <cell r="C404" t="str">
            <v>pc.</v>
          </cell>
          <cell r="D404">
            <v>178.5</v>
          </cell>
          <cell r="E404">
            <v>0</v>
          </cell>
        </row>
        <row r="405">
          <cell r="A405">
            <v>17.14</v>
          </cell>
          <cell r="B405" t="str">
            <v>Reinforcing Steel, Struc. Def. Grade 230, 25mm x 6m</v>
          </cell>
          <cell r="C405" t="str">
            <v>pc.</v>
          </cell>
          <cell r="D405">
            <v>294</v>
          </cell>
          <cell r="E405">
            <v>0</v>
          </cell>
        </row>
        <row r="406">
          <cell r="A406">
            <v>18</v>
          </cell>
          <cell r="B406" t="str">
            <v>Roofing</v>
          </cell>
          <cell r="D406">
            <v>0</v>
          </cell>
          <cell r="E406">
            <v>0</v>
          </cell>
        </row>
        <row r="407">
          <cell r="A407" t="str">
            <v>18a</v>
          </cell>
          <cell r="B407" t="str">
            <v>Installation of Corrugated G.I. Sheets</v>
          </cell>
          <cell r="C407" t="str">
            <v>sq.m.</v>
          </cell>
          <cell r="D407">
            <v>0</v>
          </cell>
          <cell r="E407">
            <v>40</v>
          </cell>
        </row>
        <row r="408">
          <cell r="A408" t="str">
            <v>18b</v>
          </cell>
          <cell r="B408" t="str">
            <v>Installation of Gutter</v>
          </cell>
          <cell r="C408" t="str">
            <v>m</v>
          </cell>
          <cell r="D408">
            <v>0</v>
          </cell>
          <cell r="E408">
            <v>23</v>
          </cell>
        </row>
        <row r="409">
          <cell r="A409" t="str">
            <v>18c</v>
          </cell>
          <cell r="B409" t="str">
            <v>Installation of Flashing</v>
          </cell>
          <cell r="C409" t="str">
            <v>m</v>
          </cell>
          <cell r="D409">
            <v>0</v>
          </cell>
          <cell r="E409">
            <v>25</v>
          </cell>
        </row>
        <row r="410">
          <cell r="A410" t="str">
            <v>18d</v>
          </cell>
          <cell r="B410" t="str">
            <v>Installation of Ridge Roll</v>
          </cell>
          <cell r="C410" t="str">
            <v>m</v>
          </cell>
          <cell r="D410">
            <v>0</v>
          </cell>
          <cell r="E410">
            <v>23</v>
          </cell>
        </row>
        <row r="411">
          <cell r="A411" t="str">
            <v>18e</v>
          </cell>
          <cell r="B411" t="str">
            <v>Installation of Facia Board</v>
          </cell>
          <cell r="C411" t="str">
            <v>bd. ft.</v>
          </cell>
          <cell r="D411">
            <v>0</v>
          </cell>
          <cell r="E411">
            <v>15</v>
          </cell>
        </row>
        <row r="412">
          <cell r="A412" t="str">
            <v>18f</v>
          </cell>
          <cell r="B412" t="str">
            <v>Removal of Corrugated G.I. Sheets</v>
          </cell>
          <cell r="C412" t="str">
            <v>sq.m.</v>
          </cell>
          <cell r="D412">
            <v>0</v>
          </cell>
          <cell r="E412">
            <v>20</v>
          </cell>
        </row>
        <row r="413">
          <cell r="A413" t="str">
            <v>18g</v>
          </cell>
          <cell r="B413" t="str">
            <v>Removal of Roofing Accessories</v>
          </cell>
          <cell r="C413" t="str">
            <v>m</v>
          </cell>
          <cell r="D413">
            <v>0</v>
          </cell>
          <cell r="E413">
            <v>0.83430000000000004</v>
          </cell>
        </row>
        <row r="414">
          <cell r="A414" t="str">
            <v>18g1</v>
          </cell>
          <cell r="B414" t="str">
            <v>Removal of Flashing</v>
          </cell>
          <cell r="C414" t="str">
            <v>m</v>
          </cell>
          <cell r="D414">
            <v>0</v>
          </cell>
          <cell r="E414">
            <v>10</v>
          </cell>
        </row>
        <row r="415">
          <cell r="A415" t="str">
            <v>18g2</v>
          </cell>
          <cell r="B415" t="str">
            <v>Removal of Gutter</v>
          </cell>
          <cell r="C415" t="str">
            <v>m</v>
          </cell>
          <cell r="D415">
            <v>0</v>
          </cell>
          <cell r="E415">
            <v>10</v>
          </cell>
        </row>
        <row r="416">
          <cell r="A416" t="str">
            <v>18g3</v>
          </cell>
          <cell r="B416" t="str">
            <v>Removal of Fascia Board</v>
          </cell>
          <cell r="C416" t="str">
            <v>m</v>
          </cell>
          <cell r="D416">
            <v>0</v>
          </cell>
          <cell r="E416">
            <v>15</v>
          </cell>
        </row>
        <row r="417">
          <cell r="A417" t="str">
            <v>18g4</v>
          </cell>
          <cell r="B417" t="str">
            <v>Removal of Ridge Roll</v>
          </cell>
          <cell r="C417" t="str">
            <v>m</v>
          </cell>
          <cell r="D417">
            <v>0</v>
          </cell>
          <cell r="E417">
            <v>10</v>
          </cell>
        </row>
        <row r="418">
          <cell r="A418">
            <v>18.010000000000002</v>
          </cell>
          <cell r="B418" t="str">
            <v>Corrugated G.I. Sheet, G-26 x 8'</v>
          </cell>
          <cell r="C418" t="str">
            <v>pc.</v>
          </cell>
          <cell r="D418">
            <v>190</v>
          </cell>
          <cell r="E418">
            <v>0</v>
          </cell>
        </row>
        <row r="419">
          <cell r="A419">
            <v>18.02</v>
          </cell>
          <cell r="B419" t="str">
            <v>Corrugated G.I. Sheet, G-31 x 8'</v>
          </cell>
          <cell r="C419" t="str">
            <v>pc.</v>
          </cell>
          <cell r="D419">
            <v>142.80000000000001</v>
          </cell>
          <cell r="E419">
            <v>0</v>
          </cell>
        </row>
        <row r="420">
          <cell r="A420">
            <v>18.03</v>
          </cell>
          <cell r="B420" t="str">
            <v>G.I. Copper Rivets</v>
          </cell>
          <cell r="C420" t="str">
            <v>kg.</v>
          </cell>
          <cell r="D420">
            <v>50.400000000000006</v>
          </cell>
          <cell r="E420">
            <v>0</v>
          </cell>
        </row>
        <row r="421">
          <cell r="A421">
            <v>18.04</v>
          </cell>
          <cell r="B421" t="str">
            <v>G.I. Downspout, 2" x 3" x 8'</v>
          </cell>
          <cell r="C421" t="str">
            <v>pc.</v>
          </cell>
          <cell r="D421">
            <v>94.5</v>
          </cell>
          <cell r="E421">
            <v>0</v>
          </cell>
        </row>
        <row r="422">
          <cell r="A422">
            <v>18.05</v>
          </cell>
          <cell r="B422" t="str">
            <v>G.I. Downspout, 2" x 4" x 8'</v>
          </cell>
          <cell r="C422" t="str">
            <v>pc.</v>
          </cell>
          <cell r="D422">
            <v>94.5</v>
          </cell>
          <cell r="E422">
            <v>0</v>
          </cell>
        </row>
        <row r="423">
          <cell r="A423">
            <v>18.059999999999999</v>
          </cell>
          <cell r="B423" t="str">
            <v>Gutter, G-24, 36" x 8'</v>
          </cell>
          <cell r="C423" t="str">
            <v>pc.</v>
          </cell>
          <cell r="D423">
            <v>115.5</v>
          </cell>
          <cell r="E423">
            <v>0</v>
          </cell>
        </row>
        <row r="424">
          <cell r="A424">
            <v>18.07</v>
          </cell>
          <cell r="B424" t="str">
            <v>Gutter, G-26, 36" x 8'</v>
          </cell>
          <cell r="C424" t="str">
            <v>pc.</v>
          </cell>
          <cell r="D424">
            <v>115.5</v>
          </cell>
          <cell r="E424">
            <v>0</v>
          </cell>
        </row>
        <row r="425">
          <cell r="A425">
            <v>18.079999999999998</v>
          </cell>
          <cell r="B425" t="str">
            <v>Plain G.I. Sheet, G-24 x 8'</v>
          </cell>
          <cell r="C425" t="str">
            <v>lft.</v>
          </cell>
          <cell r="D425">
            <v>35.700000000000003</v>
          </cell>
          <cell r="E425">
            <v>0</v>
          </cell>
        </row>
        <row r="426">
          <cell r="A426">
            <v>18.09</v>
          </cell>
          <cell r="B426" t="str">
            <v>Plain G.I. Sheet, G-26 x 8'</v>
          </cell>
          <cell r="C426" t="str">
            <v>lft.</v>
          </cell>
          <cell r="D426">
            <v>25.200000000000003</v>
          </cell>
          <cell r="E426">
            <v>0</v>
          </cell>
        </row>
        <row r="427">
          <cell r="A427">
            <v>18.100000000000001</v>
          </cell>
          <cell r="B427" t="str">
            <v>G.I. Flashing, G-26 36"x 8'</v>
          </cell>
          <cell r="C427" t="str">
            <v>pc.</v>
          </cell>
          <cell r="D427">
            <v>220</v>
          </cell>
          <cell r="E427">
            <v>0</v>
          </cell>
        </row>
        <row r="428">
          <cell r="A428">
            <v>18.11</v>
          </cell>
          <cell r="B428" t="str">
            <v>Ridge Roll, G-26 36"x 8'</v>
          </cell>
          <cell r="C428" t="str">
            <v>pc.</v>
          </cell>
          <cell r="D428">
            <v>220</v>
          </cell>
          <cell r="E428">
            <v>0</v>
          </cell>
        </row>
        <row r="429">
          <cell r="A429">
            <v>18.12</v>
          </cell>
          <cell r="B429" t="str">
            <v>Fascia Board, 1" x 10"</v>
          </cell>
          <cell r="C429" t="str">
            <v>bd. ft.</v>
          </cell>
          <cell r="D429">
            <v>30</v>
          </cell>
          <cell r="E429">
            <v>0</v>
          </cell>
        </row>
        <row r="430">
          <cell r="A430">
            <v>18.13</v>
          </cell>
          <cell r="B430" t="str">
            <v>Corrugated G.I. Sheet, G-26 x 9'</v>
          </cell>
          <cell r="C430" t="str">
            <v>pc.</v>
          </cell>
          <cell r="D430">
            <v>198.45000000000002</v>
          </cell>
          <cell r="E430">
            <v>0</v>
          </cell>
        </row>
        <row r="431">
          <cell r="A431">
            <v>18.14</v>
          </cell>
          <cell r="B431" t="str">
            <v>Corrugated G.I. Sheet, G-26 x 10'</v>
          </cell>
          <cell r="C431" t="str">
            <v>pc.</v>
          </cell>
          <cell r="D431">
            <v>230</v>
          </cell>
          <cell r="E431">
            <v>0</v>
          </cell>
        </row>
        <row r="432">
          <cell r="A432">
            <v>18.149999999999999</v>
          </cell>
          <cell r="B432" t="str">
            <v>Corrugated G.I. Sheet, G-26 x 12'</v>
          </cell>
          <cell r="C432" t="str">
            <v>pc.</v>
          </cell>
          <cell r="D432">
            <v>280</v>
          </cell>
          <cell r="E432">
            <v>0</v>
          </cell>
        </row>
        <row r="433">
          <cell r="A433" t="str">
            <v>19 a</v>
          </cell>
          <cell r="B433" t="str">
            <v>Soil Poisoning</v>
          </cell>
          <cell r="D433">
            <v>0</v>
          </cell>
          <cell r="E433">
            <v>0</v>
          </cell>
        </row>
        <row r="434">
          <cell r="A434" t="str">
            <v>19-a1</v>
          </cell>
          <cell r="B434" t="str">
            <v>Soil Poisoning</v>
          </cell>
          <cell r="C434" t="str">
            <v>lot</v>
          </cell>
          <cell r="D434">
            <v>3000</v>
          </cell>
          <cell r="E434">
            <v>0</v>
          </cell>
        </row>
        <row r="435">
          <cell r="A435" t="str">
            <v>19-a2</v>
          </cell>
          <cell r="B435" t="str">
            <v>Application of Soil Poisoning</v>
          </cell>
          <cell r="C435" t="str">
            <v>lot</v>
          </cell>
          <cell r="D435">
            <v>0</v>
          </cell>
          <cell r="E435">
            <v>600</v>
          </cell>
        </row>
        <row r="436">
          <cell r="A436" t="str">
            <v>19-a3</v>
          </cell>
          <cell r="B436" t="str">
            <v>Wood Preservative</v>
          </cell>
          <cell r="C436" t="str">
            <v>unit</v>
          </cell>
          <cell r="D436">
            <v>294</v>
          </cell>
        </row>
        <row r="437">
          <cell r="A437" t="str">
            <v>19-a4</v>
          </cell>
          <cell r="B437" t="str">
            <v>Application of Wood Preservative</v>
          </cell>
          <cell r="C437" t="str">
            <v>unit</v>
          </cell>
          <cell r="E437">
            <v>360.5</v>
          </cell>
        </row>
        <row r="438">
          <cell r="A438">
            <v>19</v>
          </cell>
          <cell r="B438" t="str">
            <v>Structural Steel</v>
          </cell>
          <cell r="D438">
            <v>0</v>
          </cell>
          <cell r="E438">
            <v>0</v>
          </cell>
        </row>
        <row r="439">
          <cell r="A439" t="str">
            <v>19a</v>
          </cell>
          <cell r="B439" t="str">
            <v>Removal of Structural Steel Frame</v>
          </cell>
          <cell r="C439" t="str">
            <v>kg.</v>
          </cell>
          <cell r="D439">
            <v>0</v>
          </cell>
          <cell r="E439">
            <v>0.28840000000000005</v>
          </cell>
        </row>
        <row r="440">
          <cell r="A440" t="str">
            <v>19b</v>
          </cell>
          <cell r="B440" t="str">
            <v>Removal of Miscellaneous Steel</v>
          </cell>
          <cell r="C440" t="str">
            <v>kg.</v>
          </cell>
          <cell r="D440">
            <v>0</v>
          </cell>
          <cell r="E440">
            <v>0.50470000000000004</v>
          </cell>
        </row>
        <row r="441">
          <cell r="A441" t="str">
            <v>19c</v>
          </cell>
          <cell r="B441" t="str">
            <v>Installation of Steel Purlins</v>
          </cell>
          <cell r="C441" t="str">
            <v>kg.</v>
          </cell>
          <cell r="D441">
            <v>0</v>
          </cell>
          <cell r="E441">
            <v>6.6950000000000003</v>
          </cell>
        </row>
        <row r="442">
          <cell r="A442" t="str">
            <v>19d</v>
          </cell>
          <cell r="B442" t="str">
            <v>Fabrication &amp; Installation of Steel Rafter</v>
          </cell>
          <cell r="C442" t="str">
            <v>kg.</v>
          </cell>
          <cell r="D442">
            <v>0</v>
          </cell>
          <cell r="E442">
            <v>7.5190000000000001</v>
          </cell>
        </row>
        <row r="443">
          <cell r="A443" t="str">
            <v>19e</v>
          </cell>
          <cell r="B443" t="str">
            <v>Fabrication &amp; Installation of Steel Truss</v>
          </cell>
          <cell r="C443" t="str">
            <v>kg.</v>
          </cell>
          <cell r="D443">
            <v>0</v>
          </cell>
          <cell r="E443">
            <v>7.5190000000000001</v>
          </cell>
        </row>
        <row r="444">
          <cell r="A444">
            <v>19.010000000000002</v>
          </cell>
          <cell r="B444" t="str">
            <v>Angle Bars, 1/8" x 1/2" x 1/2" x 20'</v>
          </cell>
          <cell r="C444" t="str">
            <v>pc.</v>
          </cell>
          <cell r="D444">
            <v>102.9</v>
          </cell>
          <cell r="E444">
            <v>0</v>
          </cell>
        </row>
        <row r="445">
          <cell r="A445">
            <v>19.02</v>
          </cell>
          <cell r="B445" t="str">
            <v>Angle Bars, 1/8" x 3/4" x 3/4" x 20'</v>
          </cell>
          <cell r="C445" t="str">
            <v>pc.</v>
          </cell>
          <cell r="D445">
            <v>115.5</v>
          </cell>
          <cell r="E445">
            <v>0</v>
          </cell>
        </row>
        <row r="446">
          <cell r="A446">
            <v>19.03</v>
          </cell>
          <cell r="B446" t="str">
            <v>Angle Bars, 1/8" x  1"   x  1"  x 20'</v>
          </cell>
          <cell r="C446" t="str">
            <v>pc.</v>
          </cell>
          <cell r="D446">
            <v>121.80000000000001</v>
          </cell>
          <cell r="E446">
            <v>0</v>
          </cell>
        </row>
        <row r="447">
          <cell r="A447">
            <v>19.04</v>
          </cell>
          <cell r="B447" t="str">
            <v>Angle Bars, 1/8" x 1-1/2" x 1-1/2" x 20'</v>
          </cell>
          <cell r="C447" t="str">
            <v>pc.</v>
          </cell>
          <cell r="D447">
            <v>189</v>
          </cell>
          <cell r="E447">
            <v>0</v>
          </cell>
        </row>
        <row r="448">
          <cell r="A448">
            <v>19.05</v>
          </cell>
          <cell r="B448" t="str">
            <v>Angle Bars, 1/4" x 1" x  1" x 20'</v>
          </cell>
          <cell r="C448" t="str">
            <v>pc.</v>
          </cell>
          <cell r="D448">
            <v>253.05</v>
          </cell>
          <cell r="E448">
            <v>0</v>
          </cell>
        </row>
        <row r="449">
          <cell r="A449">
            <v>19.059999999999999</v>
          </cell>
          <cell r="B449" t="str">
            <v>Angle Bars, 3/8" x 3" x 3" x 20'</v>
          </cell>
          <cell r="C449" t="str">
            <v>pc.</v>
          </cell>
          <cell r="D449">
            <v>1089.9000000000001</v>
          </cell>
          <cell r="E449">
            <v>0</v>
          </cell>
        </row>
        <row r="450">
          <cell r="A450">
            <v>19.07</v>
          </cell>
          <cell r="B450" t="str">
            <v>Flat Bars, 1/8" x 3/8" x 20'</v>
          </cell>
          <cell r="C450" t="str">
            <v>pc.</v>
          </cell>
          <cell r="D450">
            <v>47.25</v>
          </cell>
          <cell r="E450">
            <v>0</v>
          </cell>
        </row>
        <row r="451">
          <cell r="A451">
            <v>19.079999999999998</v>
          </cell>
          <cell r="B451" t="str">
            <v>Flat Bars, 1/8" x 1/2" x 20'</v>
          </cell>
          <cell r="C451" t="str">
            <v>pc.</v>
          </cell>
          <cell r="D451">
            <v>54.6</v>
          </cell>
          <cell r="E451">
            <v>0</v>
          </cell>
        </row>
        <row r="452">
          <cell r="A452">
            <v>19.09</v>
          </cell>
          <cell r="B452" t="str">
            <v>Flat Bars, 1/4" x 1/2" x 20'</v>
          </cell>
          <cell r="C452" t="str">
            <v>pc.</v>
          </cell>
          <cell r="D452">
            <v>91.350000000000009</v>
          </cell>
          <cell r="E452">
            <v>0</v>
          </cell>
        </row>
        <row r="453">
          <cell r="A453">
            <v>19.100000000000001</v>
          </cell>
          <cell r="B453" t="str">
            <v>Flat Bars, 1/4" x 2" x 20'</v>
          </cell>
          <cell r="C453" t="str">
            <v>pc.</v>
          </cell>
          <cell r="D453">
            <v>258.3</v>
          </cell>
          <cell r="E453">
            <v>0</v>
          </cell>
        </row>
        <row r="454">
          <cell r="A454">
            <v>19.11</v>
          </cell>
          <cell r="B454" t="str">
            <v>LC 75mm x 50mm x 2mm x 6m</v>
          </cell>
          <cell r="C454" t="str">
            <v>pc.</v>
          </cell>
          <cell r="D454">
            <v>323.40000000000003</v>
          </cell>
          <cell r="E454">
            <v>0</v>
          </cell>
        </row>
        <row r="455">
          <cell r="A455">
            <v>19.12</v>
          </cell>
          <cell r="B455" t="str">
            <v>LC 100mm x 50mm x 2mm x 6m</v>
          </cell>
          <cell r="C455" t="str">
            <v>pc.</v>
          </cell>
          <cell r="D455">
            <v>388.5</v>
          </cell>
          <cell r="E455">
            <v>0</v>
          </cell>
        </row>
        <row r="456">
          <cell r="A456" t="str">
            <v>19.12a</v>
          </cell>
          <cell r="B456" t="str">
            <v>LC 150mm x 50mm x 15mm x 2mm x 6m</v>
          </cell>
          <cell r="C456" t="str">
            <v>pc.</v>
          </cell>
          <cell r="D456">
            <v>498.75</v>
          </cell>
          <cell r="E456">
            <v>0</v>
          </cell>
        </row>
        <row r="457">
          <cell r="A457">
            <v>19.13</v>
          </cell>
          <cell r="B457" t="str">
            <v>Structural Tubing 200mm x 150mm x 5mm</v>
          </cell>
          <cell r="C457" t="str">
            <v>kg.</v>
          </cell>
          <cell r="D457">
            <v>21</v>
          </cell>
          <cell r="E457">
            <v>0</v>
          </cell>
        </row>
        <row r="458">
          <cell r="A458">
            <v>19.14</v>
          </cell>
          <cell r="B458" t="str">
            <v>Angle Bars, 1/8" x 2" x 2" x 20'</v>
          </cell>
          <cell r="C458" t="str">
            <v>pc.</v>
          </cell>
          <cell r="D458">
            <v>309.75</v>
          </cell>
          <cell r="E458">
            <v>0</v>
          </cell>
        </row>
        <row r="459">
          <cell r="A459">
            <v>19.149999999999999</v>
          </cell>
          <cell r="B459" t="str">
            <v>Angle Bars, 1/4" x 2" x 2" x 20'</v>
          </cell>
          <cell r="C459" t="str">
            <v>pc.</v>
          </cell>
          <cell r="D459">
            <v>619.5</v>
          </cell>
          <cell r="E459">
            <v>0</v>
          </cell>
        </row>
        <row r="460">
          <cell r="A460">
            <v>19.16</v>
          </cell>
          <cell r="B460" t="str">
            <v>Angle Bars, 3/8" x 2" x 2" x 20'</v>
          </cell>
          <cell r="C460" t="str">
            <v>pc.</v>
          </cell>
          <cell r="D460">
            <v>924</v>
          </cell>
          <cell r="E460">
            <v>0</v>
          </cell>
        </row>
        <row r="461">
          <cell r="A461" t="str">
            <v>19.16a</v>
          </cell>
          <cell r="B461" t="str">
            <v>Angle Bars, 3/16" x 2" x 2" x 20'</v>
          </cell>
          <cell r="C461" t="str">
            <v>pc.</v>
          </cell>
          <cell r="D461">
            <v>462</v>
          </cell>
          <cell r="E461">
            <v>0</v>
          </cell>
        </row>
        <row r="462">
          <cell r="A462" t="str">
            <v>19.16b</v>
          </cell>
          <cell r="B462" t="str">
            <v>Angle Bars, 1/4" x 2.5" x 2.5" x 20'</v>
          </cell>
          <cell r="C462" t="str">
            <v>pc.</v>
          </cell>
          <cell r="D462">
            <v>777</v>
          </cell>
          <cell r="E462">
            <v>0</v>
          </cell>
        </row>
        <row r="463">
          <cell r="A463">
            <v>19.170000000000002</v>
          </cell>
          <cell r="B463" t="str">
            <v>4' x 8' x 6mm Steel Plate</v>
          </cell>
          <cell r="C463" t="str">
            <v>pc.</v>
          </cell>
          <cell r="D463">
            <v>2572.5</v>
          </cell>
          <cell r="E463">
            <v>0</v>
          </cell>
        </row>
        <row r="464">
          <cell r="A464">
            <v>20</v>
          </cell>
          <cell r="B464" t="str">
            <v>Tile Works</v>
          </cell>
          <cell r="D464">
            <v>0</v>
          </cell>
          <cell r="E464">
            <v>0</v>
          </cell>
        </row>
        <row r="465">
          <cell r="A465">
            <v>20.010000000000002</v>
          </cell>
          <cell r="B465" t="str">
            <v>Glazed Tiles 4"x4"</v>
          </cell>
          <cell r="C465" t="str">
            <v>pc.</v>
          </cell>
          <cell r="D465">
            <v>5.25</v>
          </cell>
          <cell r="E465">
            <v>0</v>
          </cell>
        </row>
        <row r="466">
          <cell r="A466">
            <v>20.02</v>
          </cell>
          <cell r="B466" t="str">
            <v>Unglazed Tiles 4"x4"</v>
          </cell>
          <cell r="C466" t="str">
            <v>pc.</v>
          </cell>
          <cell r="D466">
            <v>4.2</v>
          </cell>
          <cell r="E466">
            <v>0</v>
          </cell>
        </row>
        <row r="467">
          <cell r="A467">
            <v>20.03</v>
          </cell>
          <cell r="B467" t="str">
            <v>Glazed Tiles 8"x8"</v>
          </cell>
          <cell r="C467" t="str">
            <v>pc.</v>
          </cell>
          <cell r="D467">
            <v>21</v>
          </cell>
          <cell r="E467">
            <v>0</v>
          </cell>
        </row>
        <row r="468">
          <cell r="A468">
            <v>20.04</v>
          </cell>
          <cell r="B468" t="str">
            <v>Unglazed Tiles 8"x8"</v>
          </cell>
          <cell r="C468" t="str">
            <v>pc.</v>
          </cell>
          <cell r="D468">
            <v>16.8</v>
          </cell>
          <cell r="E468">
            <v>0</v>
          </cell>
        </row>
        <row r="469">
          <cell r="A469">
            <v>20.05</v>
          </cell>
          <cell r="B469" t="str">
            <v>Grout</v>
          </cell>
          <cell r="C469" t="str">
            <v>kg.</v>
          </cell>
          <cell r="D469">
            <v>36.75</v>
          </cell>
          <cell r="E469">
            <v>0</v>
          </cell>
        </row>
        <row r="470">
          <cell r="A470">
            <v>20.059999999999999</v>
          </cell>
          <cell r="B470" t="str">
            <v>White Cement</v>
          </cell>
          <cell r="C470" t="str">
            <v>kg.</v>
          </cell>
          <cell r="D470">
            <v>47.25</v>
          </cell>
          <cell r="E470">
            <v>0</v>
          </cell>
        </row>
        <row r="471">
          <cell r="A471">
            <v>21</v>
          </cell>
          <cell r="B471" t="str">
            <v>Wires/Wiring Devices</v>
          </cell>
          <cell r="D471">
            <v>0</v>
          </cell>
          <cell r="E471">
            <v>0</v>
          </cell>
        </row>
        <row r="472">
          <cell r="A472">
            <v>21.01</v>
          </cell>
          <cell r="B472" t="str">
            <v>Electrical Wire Stranded 150m/roll, TW #  6</v>
          </cell>
          <cell r="C472" t="str">
            <v>roll</v>
          </cell>
          <cell r="D472">
            <v>3738</v>
          </cell>
          <cell r="E472">
            <v>0</v>
          </cell>
        </row>
        <row r="473">
          <cell r="A473">
            <v>21.02</v>
          </cell>
          <cell r="B473" t="str">
            <v>Electrical Wire Stranded 150m/roll, TW #  8</v>
          </cell>
          <cell r="C473" t="str">
            <v>roll</v>
          </cell>
          <cell r="D473">
            <v>2866.5</v>
          </cell>
          <cell r="E473">
            <v>0</v>
          </cell>
        </row>
        <row r="474">
          <cell r="A474">
            <v>21.03</v>
          </cell>
          <cell r="B474" t="str">
            <v>Electrical Wire Stranded 150m/roll, TW # 10</v>
          </cell>
          <cell r="C474" t="str">
            <v>roll</v>
          </cell>
          <cell r="D474">
            <v>1485.75</v>
          </cell>
          <cell r="E474">
            <v>0</v>
          </cell>
        </row>
        <row r="475">
          <cell r="A475">
            <v>21.04</v>
          </cell>
          <cell r="B475" t="str">
            <v>Electrical Wire Stranded 150m/roll, TW # 12</v>
          </cell>
          <cell r="C475" t="str">
            <v>roll</v>
          </cell>
          <cell r="D475">
            <v>1165.5</v>
          </cell>
          <cell r="E475">
            <v>0</v>
          </cell>
        </row>
        <row r="476">
          <cell r="A476">
            <v>21.05</v>
          </cell>
          <cell r="B476" t="str">
            <v>Electrical Wire Stranded 150m/roll, TW # 14</v>
          </cell>
          <cell r="C476" t="str">
            <v>roll</v>
          </cell>
          <cell r="D476">
            <v>680.4</v>
          </cell>
          <cell r="E476">
            <v>0</v>
          </cell>
        </row>
        <row r="477">
          <cell r="A477">
            <v>21.06</v>
          </cell>
          <cell r="B477" t="str">
            <v>Entrance Cap 3/4" dia.</v>
          </cell>
          <cell r="C477" t="str">
            <v>pc.</v>
          </cell>
          <cell r="D477">
            <v>43.050000000000004</v>
          </cell>
          <cell r="E477">
            <v>0</v>
          </cell>
        </row>
        <row r="478">
          <cell r="A478">
            <v>21.07</v>
          </cell>
          <cell r="B478" t="str">
            <v>Entrance Cap  1" dia.</v>
          </cell>
          <cell r="C478" t="str">
            <v>pc.</v>
          </cell>
          <cell r="D478">
            <v>49.35</v>
          </cell>
          <cell r="E478">
            <v>0</v>
          </cell>
        </row>
        <row r="479">
          <cell r="A479">
            <v>21.08</v>
          </cell>
          <cell r="B479" t="str">
            <v>Porcelain Split Knob</v>
          </cell>
          <cell r="C479" t="str">
            <v>pc.</v>
          </cell>
          <cell r="D479">
            <v>2.625</v>
          </cell>
          <cell r="E479">
            <v>0</v>
          </cell>
        </row>
        <row r="480">
          <cell r="A480">
            <v>21.09</v>
          </cell>
          <cell r="B480" t="str">
            <v>RSC Clamp 1" dia.</v>
          </cell>
          <cell r="C480" t="str">
            <v>pc.</v>
          </cell>
          <cell r="D480">
            <v>3.1500000000000004</v>
          </cell>
          <cell r="E480">
            <v>0</v>
          </cell>
        </row>
        <row r="481">
          <cell r="A481">
            <v>22</v>
          </cell>
          <cell r="B481" t="str">
            <v>Wood/Lumber</v>
          </cell>
          <cell r="D481">
            <v>0</v>
          </cell>
          <cell r="E481">
            <v>0</v>
          </cell>
        </row>
        <row r="482">
          <cell r="A482" t="str">
            <v>22a</v>
          </cell>
          <cell r="B482" t="str">
            <v>Ceiling Frame Work</v>
          </cell>
          <cell r="C482" t="str">
            <v>bd. ft.</v>
          </cell>
          <cell r="D482">
            <v>0</v>
          </cell>
          <cell r="E482">
            <v>15</v>
          </cell>
        </row>
        <row r="483">
          <cell r="A483" t="str">
            <v>22b</v>
          </cell>
          <cell r="B483" t="str">
            <v>Partition Frame Work</v>
          </cell>
          <cell r="C483" t="str">
            <v>bd. ft.</v>
          </cell>
          <cell r="D483">
            <v>0</v>
          </cell>
          <cell r="E483">
            <v>8.5799000000000003</v>
          </cell>
        </row>
        <row r="484">
          <cell r="A484" t="str">
            <v>22c</v>
          </cell>
          <cell r="B484" t="str">
            <v>Plywood Installation</v>
          </cell>
          <cell r="C484" t="str">
            <v>pc.</v>
          </cell>
          <cell r="D484">
            <v>0</v>
          </cell>
          <cell r="E484">
            <v>80</v>
          </cell>
        </row>
        <row r="485">
          <cell r="A485" t="str">
            <v>22d</v>
          </cell>
          <cell r="B485" t="str">
            <v>Fabrication &amp; Installation of Truss (Wood)</v>
          </cell>
          <cell r="C485" t="str">
            <v>bd. ft.</v>
          </cell>
          <cell r="D485">
            <v>0</v>
          </cell>
          <cell r="E485">
            <v>14.4406</v>
          </cell>
        </row>
        <row r="486">
          <cell r="A486" t="str">
            <v>22e</v>
          </cell>
          <cell r="B486" t="str">
            <v>Installation of Purlins (Wood)</v>
          </cell>
          <cell r="C486" t="str">
            <v>bd. ft.</v>
          </cell>
          <cell r="D486">
            <v>0</v>
          </cell>
          <cell r="E486">
            <v>5.15</v>
          </cell>
        </row>
        <row r="487">
          <cell r="A487" t="str">
            <v>22f</v>
          </cell>
          <cell r="B487" t="str">
            <v>Removal of Wooden Truss</v>
          </cell>
          <cell r="C487" t="str">
            <v>bd. ft.</v>
          </cell>
          <cell r="D487">
            <v>0</v>
          </cell>
          <cell r="E487">
            <v>3</v>
          </cell>
        </row>
        <row r="488">
          <cell r="A488" t="str">
            <v>22g</v>
          </cell>
          <cell r="B488" t="str">
            <v>Removal of Purlins (Wood)</v>
          </cell>
          <cell r="C488" t="str">
            <v>bd. ft.</v>
          </cell>
          <cell r="D488">
            <v>0</v>
          </cell>
          <cell r="E488">
            <v>3</v>
          </cell>
        </row>
        <row r="489">
          <cell r="A489" t="str">
            <v>22h</v>
          </cell>
          <cell r="B489" t="str">
            <v>Removal of Ceiling Frame</v>
          </cell>
          <cell r="C489" t="str">
            <v>bd. ft.</v>
          </cell>
          <cell r="D489">
            <v>0</v>
          </cell>
          <cell r="E489">
            <v>2</v>
          </cell>
        </row>
        <row r="490">
          <cell r="A490" t="str">
            <v>22i</v>
          </cell>
          <cell r="B490" t="str">
            <v>Removal of Partition Frame</v>
          </cell>
          <cell r="C490" t="str">
            <v>bd. ft.</v>
          </cell>
          <cell r="D490">
            <v>0</v>
          </cell>
          <cell r="E490">
            <v>0.19570000000000001</v>
          </cell>
        </row>
        <row r="491">
          <cell r="A491" t="str">
            <v>22j</v>
          </cell>
          <cell r="B491" t="str">
            <v>Removal of Ceiling Board</v>
          </cell>
          <cell r="C491" t="str">
            <v>sq.m.</v>
          </cell>
          <cell r="D491">
            <v>0</v>
          </cell>
          <cell r="E491">
            <v>20</v>
          </cell>
        </row>
        <row r="492">
          <cell r="A492" t="str">
            <v>22k</v>
          </cell>
          <cell r="B492" t="str">
            <v>Removal of Partition Board</v>
          </cell>
          <cell r="C492" t="str">
            <v>sq.m.</v>
          </cell>
          <cell r="D492">
            <v>0</v>
          </cell>
          <cell r="E492">
            <v>3.9449000000000001</v>
          </cell>
        </row>
        <row r="493">
          <cell r="A493" t="str">
            <v>22l</v>
          </cell>
          <cell r="B493" t="str">
            <v>Installation of T&amp;G (Wall)</v>
          </cell>
          <cell r="C493" t="str">
            <v>bd. ft.</v>
          </cell>
          <cell r="D493">
            <v>0</v>
          </cell>
          <cell r="E493">
            <v>14.832000000000001</v>
          </cell>
        </row>
        <row r="494">
          <cell r="A494" t="str">
            <v>22m</v>
          </cell>
          <cell r="B494" t="str">
            <v>Removal of T&amp;G (Wall)</v>
          </cell>
          <cell r="C494" t="str">
            <v>bd. ft.</v>
          </cell>
          <cell r="D494">
            <v>0</v>
          </cell>
          <cell r="E494">
            <v>0.88580000000000003</v>
          </cell>
        </row>
        <row r="495">
          <cell r="A495" t="str">
            <v>22n</v>
          </cell>
          <cell r="B495" t="str">
            <v>Fab./Inst./Strip of Formworks (Wall on ground)</v>
          </cell>
          <cell r="C495" t="str">
            <v>sq.m.</v>
          </cell>
          <cell r="D495">
            <v>0</v>
          </cell>
          <cell r="E495">
            <v>92.7</v>
          </cell>
        </row>
        <row r="496">
          <cell r="A496" t="str">
            <v>22o</v>
          </cell>
          <cell r="B496" t="str">
            <v>Fab./Inst./Strip of Formworks (Wall above 10')</v>
          </cell>
          <cell r="C496" t="str">
            <v>sq.m.</v>
          </cell>
          <cell r="D496">
            <v>0</v>
          </cell>
          <cell r="E496">
            <v>103</v>
          </cell>
        </row>
        <row r="497">
          <cell r="A497" t="str">
            <v>22p</v>
          </cell>
          <cell r="B497" t="str">
            <v>Fab./Inst./Strip of Formworks (Beams)</v>
          </cell>
          <cell r="C497" t="str">
            <v>sq.m.</v>
          </cell>
          <cell r="D497">
            <v>0</v>
          </cell>
          <cell r="E497">
            <v>113.3</v>
          </cell>
        </row>
        <row r="498">
          <cell r="A498" t="str">
            <v>22q</v>
          </cell>
          <cell r="B498" t="str">
            <v>Fab./Inst./Strip of Formworks (Column)</v>
          </cell>
          <cell r="C498" t="str">
            <v>sq.m.</v>
          </cell>
          <cell r="D498">
            <v>0</v>
          </cell>
          <cell r="E498">
            <v>103</v>
          </cell>
        </row>
        <row r="499">
          <cell r="A499" t="str">
            <v>22q1</v>
          </cell>
          <cell r="B499" t="str">
            <v>Fab./Inst./Strip of Formworks (Slab)</v>
          </cell>
          <cell r="C499" t="str">
            <v>sq.m.</v>
          </cell>
          <cell r="D499">
            <v>0</v>
          </cell>
          <cell r="E499">
            <v>166.65400000000002</v>
          </cell>
        </row>
        <row r="500">
          <cell r="A500" t="str">
            <v>22r</v>
          </cell>
          <cell r="B500" t="str">
            <v>Fab./Inst./Removal of Scaffolds</v>
          </cell>
          <cell r="C500" t="str">
            <v>lot</v>
          </cell>
          <cell r="D500">
            <v>0</v>
          </cell>
          <cell r="E500">
            <v>515</v>
          </cell>
        </row>
        <row r="501">
          <cell r="A501" t="str">
            <v>22r1</v>
          </cell>
          <cell r="B501" t="str">
            <v>Fab./Inst./Removal of Scaffolds</v>
          </cell>
          <cell r="C501" t="str">
            <v>bd.ft.</v>
          </cell>
          <cell r="D501">
            <v>0</v>
          </cell>
          <cell r="E501">
            <v>3.4608000000000003</v>
          </cell>
        </row>
        <row r="502">
          <cell r="A502" t="str">
            <v>22s</v>
          </cell>
          <cell r="B502" t="str">
            <v>Application of Wood Preservative</v>
          </cell>
          <cell r="C502" t="str">
            <v>unit</v>
          </cell>
          <cell r="D502">
            <v>0</v>
          </cell>
          <cell r="E502">
            <v>360.5</v>
          </cell>
        </row>
        <row r="503">
          <cell r="A503" t="str">
            <v>22t</v>
          </cell>
          <cell r="B503" t="str">
            <v xml:space="preserve">Installation of T&amp;G </v>
          </cell>
          <cell r="C503" t="str">
            <v>bd.ft.</v>
          </cell>
          <cell r="D503">
            <v>0</v>
          </cell>
          <cell r="E503">
            <v>16.686</v>
          </cell>
        </row>
        <row r="504">
          <cell r="A504" t="str">
            <v>22u</v>
          </cell>
          <cell r="B504" t="str">
            <v xml:space="preserve">Removal of T&amp;G </v>
          </cell>
          <cell r="C504" t="str">
            <v>bd. ft.</v>
          </cell>
          <cell r="D504">
            <v>0</v>
          </cell>
          <cell r="E504">
            <v>1.236</v>
          </cell>
        </row>
        <row r="505">
          <cell r="A505">
            <v>22.01</v>
          </cell>
          <cell r="B505" t="str">
            <v>Lumber, Kiln Dried, Apitong</v>
          </cell>
          <cell r="C505" t="str">
            <v>bd. ft.</v>
          </cell>
          <cell r="D505">
            <v>36</v>
          </cell>
          <cell r="E505">
            <v>0</v>
          </cell>
        </row>
        <row r="506">
          <cell r="A506">
            <v>22.02</v>
          </cell>
          <cell r="B506" t="str">
            <v>Rough Lumber, Sun Dried,  Apitong</v>
          </cell>
          <cell r="C506" t="str">
            <v>bd. ft.</v>
          </cell>
          <cell r="D506">
            <v>25.200000000000003</v>
          </cell>
          <cell r="E506">
            <v>0</v>
          </cell>
        </row>
        <row r="507">
          <cell r="A507">
            <v>22.03</v>
          </cell>
          <cell r="B507" t="str">
            <v>Lumber, Sun Dried, Guijo</v>
          </cell>
          <cell r="C507" t="str">
            <v>bd. ft.</v>
          </cell>
          <cell r="D507">
            <v>37.800000000000004</v>
          </cell>
          <cell r="E507">
            <v>0</v>
          </cell>
        </row>
        <row r="508">
          <cell r="A508">
            <v>22.04</v>
          </cell>
          <cell r="B508" t="str">
            <v>Lumber, Kiln Dried, Tanguile</v>
          </cell>
          <cell r="C508" t="str">
            <v>bd. ft.</v>
          </cell>
          <cell r="D508">
            <v>37.800000000000004</v>
          </cell>
          <cell r="E508">
            <v>0</v>
          </cell>
        </row>
        <row r="509">
          <cell r="A509">
            <v>22.05</v>
          </cell>
          <cell r="B509" t="str">
            <v>Rough Lumber, Tanguile</v>
          </cell>
          <cell r="C509" t="str">
            <v>bd. ft.</v>
          </cell>
          <cell r="D509">
            <v>25.200000000000003</v>
          </cell>
          <cell r="E509">
            <v>0</v>
          </cell>
        </row>
        <row r="510">
          <cell r="A510">
            <v>22.06</v>
          </cell>
          <cell r="B510" t="str">
            <v>Lumber, Sun Dried, Yakal</v>
          </cell>
          <cell r="C510" t="str">
            <v>bd. ft.</v>
          </cell>
          <cell r="D510">
            <v>53.550000000000004</v>
          </cell>
          <cell r="E510">
            <v>0</v>
          </cell>
        </row>
        <row r="511">
          <cell r="A511">
            <v>22.07</v>
          </cell>
          <cell r="B511" t="str">
            <v>S4S Lumber, Kiln Dried, Apitong</v>
          </cell>
          <cell r="C511" t="str">
            <v>bd. ft.</v>
          </cell>
          <cell r="D511">
            <v>37.800000000000004</v>
          </cell>
          <cell r="E511">
            <v>0</v>
          </cell>
        </row>
        <row r="512">
          <cell r="A512">
            <v>22.08</v>
          </cell>
          <cell r="B512" t="str">
            <v>S4S Lumber, Sun Dried, Apitong</v>
          </cell>
          <cell r="C512" t="str">
            <v>bd. ft.</v>
          </cell>
          <cell r="D512">
            <v>26.25</v>
          </cell>
          <cell r="E512">
            <v>0</v>
          </cell>
        </row>
        <row r="513">
          <cell r="A513">
            <v>22.09</v>
          </cell>
          <cell r="B513" t="str">
            <v>S4S Lumber, Kiln Dried, Guijo</v>
          </cell>
          <cell r="C513" t="str">
            <v>bd. ft.</v>
          </cell>
          <cell r="D513">
            <v>37.800000000000004</v>
          </cell>
          <cell r="E513">
            <v>0</v>
          </cell>
        </row>
        <row r="514">
          <cell r="A514">
            <v>22.1</v>
          </cell>
          <cell r="B514" t="str">
            <v>S4S Lumber, Kiln Dried, Tanguile</v>
          </cell>
          <cell r="C514" t="str">
            <v>bd. ft.</v>
          </cell>
          <cell r="D514">
            <v>30</v>
          </cell>
          <cell r="E514">
            <v>0</v>
          </cell>
        </row>
        <row r="515">
          <cell r="A515">
            <v>22.11</v>
          </cell>
          <cell r="B515" t="str">
            <v>S4S Lumber, Sun Dried, Tanguile</v>
          </cell>
          <cell r="C515" t="str">
            <v>bd. ft.</v>
          </cell>
          <cell r="D515">
            <v>26.25</v>
          </cell>
          <cell r="E515">
            <v>0</v>
          </cell>
        </row>
        <row r="516">
          <cell r="A516">
            <v>22.12</v>
          </cell>
          <cell r="B516" t="str">
            <v>S4S Lumber, Sun Dried, Yakal</v>
          </cell>
          <cell r="C516" t="str">
            <v>bd. ft.</v>
          </cell>
          <cell r="D516">
            <v>54.6</v>
          </cell>
          <cell r="E516">
            <v>0</v>
          </cell>
        </row>
        <row r="517">
          <cell r="A517">
            <v>22.13</v>
          </cell>
          <cell r="B517" t="str">
            <v>Plyboard, 3/4" x 4' x 8'</v>
          </cell>
          <cell r="C517" t="str">
            <v>pc.</v>
          </cell>
          <cell r="D517">
            <v>693</v>
          </cell>
          <cell r="E517">
            <v>0</v>
          </cell>
        </row>
        <row r="518">
          <cell r="A518">
            <v>22.14</v>
          </cell>
          <cell r="B518" t="str">
            <v>Plywood, Danarra</v>
          </cell>
          <cell r="C518" t="str">
            <v>pc.</v>
          </cell>
          <cell r="D518">
            <v>420</v>
          </cell>
          <cell r="E518">
            <v>0</v>
          </cell>
        </row>
        <row r="519">
          <cell r="A519">
            <v>22.15</v>
          </cell>
          <cell r="B519" t="str">
            <v>Plywood, Marine, 1/4" x 4' x 8'</v>
          </cell>
          <cell r="C519" t="str">
            <v>pc.</v>
          </cell>
          <cell r="D519">
            <v>304.5</v>
          </cell>
          <cell r="E519">
            <v>0</v>
          </cell>
        </row>
        <row r="520">
          <cell r="A520">
            <v>22.16</v>
          </cell>
          <cell r="B520" t="str">
            <v>Plywood, Marine, 1/2" x 4' x 8'</v>
          </cell>
          <cell r="C520" t="str">
            <v>pc.</v>
          </cell>
          <cell r="D520">
            <v>577.5</v>
          </cell>
          <cell r="E520">
            <v>0</v>
          </cell>
        </row>
        <row r="521">
          <cell r="A521">
            <v>22.17</v>
          </cell>
          <cell r="B521" t="str">
            <v>Plywood, Marine, 3/4" x 4' x 8'</v>
          </cell>
          <cell r="C521" t="str">
            <v>pc.</v>
          </cell>
          <cell r="D521">
            <v>997.5</v>
          </cell>
          <cell r="E521">
            <v>0</v>
          </cell>
        </row>
        <row r="522">
          <cell r="A522">
            <v>22.18</v>
          </cell>
          <cell r="B522" t="str">
            <v>Plywood, Ordinary, 1/4" x 4' x 8'</v>
          </cell>
          <cell r="C522" t="str">
            <v>pc.</v>
          </cell>
          <cell r="D522">
            <v>260</v>
          </cell>
          <cell r="E522">
            <v>0</v>
          </cell>
        </row>
        <row r="523">
          <cell r="A523">
            <v>22.19</v>
          </cell>
          <cell r="B523" t="str">
            <v>Plywood, Ordinary, 1/2" x 4' x 8'</v>
          </cell>
          <cell r="C523" t="str">
            <v>pc.</v>
          </cell>
          <cell r="D523">
            <v>472.5</v>
          </cell>
          <cell r="E523">
            <v>0</v>
          </cell>
        </row>
        <row r="524">
          <cell r="A524">
            <v>22.2</v>
          </cell>
          <cell r="B524" t="str">
            <v>Plywood, Ordinary, 3/4" x 4' x 8'</v>
          </cell>
          <cell r="C524" t="str">
            <v>pc.</v>
          </cell>
          <cell r="D524">
            <v>808.5</v>
          </cell>
          <cell r="E524">
            <v>0</v>
          </cell>
        </row>
        <row r="525">
          <cell r="A525">
            <v>22.21</v>
          </cell>
          <cell r="B525" t="str">
            <v>T&amp;G, 3/4" x 6"</v>
          </cell>
          <cell r="C525" t="str">
            <v>bd. ft.</v>
          </cell>
          <cell r="D525">
            <v>42</v>
          </cell>
          <cell r="E525">
            <v>0</v>
          </cell>
        </row>
        <row r="526">
          <cell r="A526">
            <v>22.22</v>
          </cell>
          <cell r="B526" t="str">
            <v>Removal of Beam (Wood)</v>
          </cell>
          <cell r="C526" t="str">
            <v>bd. ft.</v>
          </cell>
          <cell r="D526">
            <v>0</v>
          </cell>
          <cell r="E526">
            <v>0.56650000000000011</v>
          </cell>
        </row>
        <row r="527">
          <cell r="A527">
            <v>22.23</v>
          </cell>
          <cell r="B527" t="str">
            <v>Removal of Column (Wood)</v>
          </cell>
          <cell r="C527" t="str">
            <v>bd. ft.</v>
          </cell>
          <cell r="D527">
            <v>0</v>
          </cell>
          <cell r="E527">
            <v>0.36049999999999999</v>
          </cell>
        </row>
        <row r="528">
          <cell r="A528">
            <v>22.24</v>
          </cell>
          <cell r="B528" t="str">
            <v>Fabrication &amp; Installation of Beam</v>
          </cell>
          <cell r="C528" t="str">
            <v>bd. ft.</v>
          </cell>
          <cell r="D528">
            <v>0</v>
          </cell>
          <cell r="E528">
            <v>27.707000000000001</v>
          </cell>
        </row>
        <row r="529">
          <cell r="A529">
            <v>22.25</v>
          </cell>
          <cell r="B529" t="str">
            <v>Fabrication &amp; Installation of Column</v>
          </cell>
          <cell r="C529" t="str">
            <v>bd. ft.</v>
          </cell>
          <cell r="D529">
            <v>0</v>
          </cell>
          <cell r="E529">
            <v>27.707000000000001</v>
          </cell>
        </row>
        <row r="530">
          <cell r="A530">
            <v>22.26</v>
          </cell>
          <cell r="B530" t="str">
            <v>Coco Lumber</v>
          </cell>
          <cell r="C530" t="str">
            <v>bd. ft.</v>
          </cell>
          <cell r="D530">
            <v>5</v>
          </cell>
          <cell r="E530">
            <v>0</v>
          </cell>
        </row>
        <row r="531">
          <cell r="A531">
            <v>30.01</v>
          </cell>
          <cell r="B531" t="str">
            <v>Standard One-Classroom School Building w/o Toilet</v>
          </cell>
          <cell r="C531" t="str">
            <v>Lot</v>
          </cell>
          <cell r="D531">
            <v>168654.15</v>
          </cell>
          <cell r="E531">
            <v>49632.507000000005</v>
          </cell>
        </row>
        <row r="532">
          <cell r="A532">
            <v>30.02</v>
          </cell>
          <cell r="B532" t="str">
            <v>Standard Two-Classroom School Building w/o Toilet</v>
          </cell>
          <cell r="C532" t="str">
            <v>Lot</v>
          </cell>
          <cell r="D532">
            <v>315637.413</v>
          </cell>
          <cell r="E532">
            <v>92887.583599999998</v>
          </cell>
        </row>
        <row r="533">
          <cell r="A533">
            <v>30.03</v>
          </cell>
          <cell r="B533" t="str">
            <v>Standard Three-Classroom School Building w/o Toilet</v>
          </cell>
          <cell r="C533" t="str">
            <v>Lot</v>
          </cell>
          <cell r="D533">
            <v>462620.67600000004</v>
          </cell>
          <cell r="E533">
            <v>136142.66020000001</v>
          </cell>
        </row>
        <row r="534">
          <cell r="A534">
            <v>30.04</v>
          </cell>
          <cell r="B534" t="str">
            <v>Standard One-Classroom School Building w/ Toilet</v>
          </cell>
          <cell r="C534" t="str">
            <v>Lot</v>
          </cell>
          <cell r="D534">
            <v>200154.15</v>
          </cell>
          <cell r="E534">
            <v>68719.59150000001</v>
          </cell>
        </row>
        <row r="535">
          <cell r="A535">
            <v>23</v>
          </cell>
          <cell r="B535" t="str">
            <v>Insulation</v>
          </cell>
          <cell r="D535">
            <v>0</v>
          </cell>
          <cell r="E535">
            <v>0</v>
          </cell>
        </row>
        <row r="536">
          <cell r="A536">
            <v>23.01</v>
          </cell>
          <cell r="B536" t="str">
            <v>White Batts Polyester Sound Absorber (25mmm), Acoustica</v>
          </cell>
          <cell r="C536" t="str">
            <v>sheet</v>
          </cell>
          <cell r="D536">
            <v>945</v>
          </cell>
          <cell r="E536">
            <v>0</v>
          </cell>
        </row>
        <row r="537">
          <cell r="A537">
            <v>23.02</v>
          </cell>
          <cell r="B537" t="str">
            <v>Attenuator Board (15mm), VyBar</v>
          </cell>
          <cell r="C537" t="str">
            <v>sheet</v>
          </cell>
          <cell r="D537">
            <v>1260</v>
          </cell>
          <cell r="E537">
            <v>0</v>
          </cell>
        </row>
        <row r="538">
          <cell r="A538">
            <v>23.03</v>
          </cell>
          <cell r="B538" t="str">
            <v>Acoustiflex Flexible Sound Barner (4mm), Acoustica</v>
          </cell>
          <cell r="C538" t="str">
            <v>roll</v>
          </cell>
          <cell r="D538">
            <v>3780</v>
          </cell>
          <cell r="E538">
            <v>0</v>
          </cell>
        </row>
        <row r="539">
          <cell r="A539">
            <v>23.04</v>
          </cell>
          <cell r="B539" t="str">
            <v>Acoustic Wall Panel (using 3/16" plywood)</v>
          </cell>
          <cell r="C539" t="str">
            <v>sq.m.</v>
          </cell>
          <cell r="D539">
            <v>1260</v>
          </cell>
          <cell r="E539">
            <v>0</v>
          </cell>
        </row>
        <row r="540">
          <cell r="A540">
            <v>23.05</v>
          </cell>
          <cell r="B540" t="str">
            <v>Acoustic Wall Panel (using 1"x2" wooden frame)</v>
          </cell>
          <cell r="C540" t="str">
            <v>sq.m.</v>
          </cell>
          <cell r="D540">
            <v>1575</v>
          </cell>
          <cell r="E540">
            <v>0</v>
          </cell>
        </row>
        <row r="541">
          <cell r="A541">
            <v>24</v>
          </cell>
          <cell r="B541" t="str">
            <v>Waterproofing</v>
          </cell>
          <cell r="C541" t="str">
            <v>sq.m.</v>
          </cell>
          <cell r="D541">
            <v>210</v>
          </cell>
          <cell r="E541">
            <v>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PROJECT/ PROGRAM</v>
          </cell>
        </row>
      </sheetData>
      <sheetData sheetId="20">
        <row r="6">
          <cell r="A6" t="str">
            <v>PROJECT/ PROGRAM</v>
          </cell>
        </row>
      </sheetData>
      <sheetData sheetId="21">
        <row r="6">
          <cell r="A6" t="str">
            <v>PROJECT/ PROGRAM</v>
          </cell>
        </row>
      </sheetData>
      <sheetData sheetId="22">
        <row r="6">
          <cell r="A6" t="str">
            <v>PROJECT/ PROGRAM</v>
          </cell>
        </row>
      </sheetData>
      <sheetData sheetId="23">
        <row r="6">
          <cell r="A6" t="str">
            <v>PROJECT/ PROGRAM</v>
          </cell>
        </row>
      </sheetData>
      <sheetData sheetId="24">
        <row r="6">
          <cell r="A6" t="str">
            <v>PROJECT/ PROGRAM</v>
          </cell>
        </row>
      </sheetData>
      <sheetData sheetId="25">
        <row r="6">
          <cell r="A6" t="str">
            <v>PROJECT/ PROGRAM</v>
          </cell>
        </row>
      </sheetData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olees&amp;Graduated"/>
      <sheetName val="Classrooms"/>
      <sheetName val="Drop-out"/>
      <sheetName val="Databas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Info"/>
      <sheetName val="Table1"/>
      <sheetName val="Tables2-3"/>
      <sheetName val="Tables4-5"/>
      <sheetName val="Table6"/>
      <sheetName val="Table7"/>
      <sheetName val="Table8"/>
      <sheetName val="Tables9-10"/>
      <sheetName val="Table11"/>
      <sheetName val="Table12"/>
      <sheetName val="Table13-Box1"/>
      <sheetName val="Tables15"/>
      <sheetName val="Box2-Table16"/>
      <sheetName val="Box3"/>
      <sheetName val="Tables17-18"/>
      <sheetName val="Box4-5"/>
      <sheetName val="Tables19-20"/>
      <sheetName val="Box6-Table21"/>
      <sheetName val="Table22-Box8"/>
      <sheetName val="Boxes9-11"/>
      <sheetName val="Table23-Box12"/>
      <sheetName val="Boxes13-14"/>
      <sheetName val="Alloc working w formula"/>
      <sheetName val="Sheet2"/>
      <sheetName val="Enrolees&amp;Graduat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narvato@gmail.com" TargetMode="External"/><Relationship Id="rId13" Type="http://schemas.openxmlformats.org/officeDocument/2006/relationships/hyperlink" Target="mailto:danilo.torres@deped.gov.ph" TargetMode="External"/><Relationship Id="rId3" Type="http://schemas.openxmlformats.org/officeDocument/2006/relationships/hyperlink" Target="mailto:teddy.quiba@deped.gov.ph" TargetMode="External"/><Relationship Id="rId7" Type="http://schemas.openxmlformats.org/officeDocument/2006/relationships/hyperlink" Target="mailto:jnarvato@gmail.com" TargetMode="External"/><Relationship Id="rId12" Type="http://schemas.openxmlformats.org/officeDocument/2006/relationships/hyperlink" Target="mailto:danilo.torres@deped.gov.ph" TargetMode="External"/><Relationship Id="rId2" Type="http://schemas.openxmlformats.org/officeDocument/2006/relationships/hyperlink" Target="mailto:christopher.dominguez@deped.gov.ph" TargetMode="External"/><Relationship Id="rId1" Type="http://schemas.openxmlformats.org/officeDocument/2006/relationships/hyperlink" Target="mailto:christopher.dominguez@deped.gov.ph" TargetMode="External"/><Relationship Id="rId6" Type="http://schemas.openxmlformats.org/officeDocument/2006/relationships/hyperlink" Target="mailto:carlpaulo.fernando@deped.gov.ph" TargetMode="External"/><Relationship Id="rId11" Type="http://schemas.openxmlformats.org/officeDocument/2006/relationships/hyperlink" Target="mailto:johnalbert.tiquis@deped.gov.ph" TargetMode="External"/><Relationship Id="rId5" Type="http://schemas.openxmlformats.org/officeDocument/2006/relationships/hyperlink" Target="mailto:jerwin.flores@deped.gov.ph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danieljr.hutamares@deped.gov.ph" TargetMode="External"/><Relationship Id="rId4" Type="http://schemas.openxmlformats.org/officeDocument/2006/relationships/hyperlink" Target="mailto:teddy.quiba@deped.gov.ph" TargetMode="External"/><Relationship Id="rId9" Type="http://schemas.openxmlformats.org/officeDocument/2006/relationships/hyperlink" Target="mailto:jnarvato@gmail.com" TargetMode="External"/><Relationship Id="rId14" Type="http://schemas.openxmlformats.org/officeDocument/2006/relationships/hyperlink" Target="mailto:ericson.agustin@deped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181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53125" defaultRowHeight="15" customHeight="1" x14ac:dyDescent="0.35"/>
  <cols>
    <col min="1" max="1" width="15" customWidth="1"/>
    <col min="2" max="2" width="25.453125" customWidth="1"/>
    <col min="3" max="3" width="12.1796875" customWidth="1"/>
    <col min="4" max="4" width="41.54296875" customWidth="1"/>
    <col min="5" max="5" width="23.7265625" customWidth="1"/>
    <col min="6" max="6" width="12.453125" customWidth="1"/>
    <col min="7" max="7" width="12.81640625" hidden="1" customWidth="1"/>
    <col min="8" max="8" width="8.453125" customWidth="1"/>
    <col min="9" max="9" width="12.54296875" customWidth="1"/>
    <col min="10" max="10" width="12.54296875" hidden="1" customWidth="1"/>
    <col min="11" max="11" width="17.1796875" hidden="1" customWidth="1"/>
    <col min="12" max="12" width="18" hidden="1" customWidth="1"/>
    <col min="13" max="13" width="19.54296875" hidden="1" customWidth="1"/>
    <col min="14" max="14" width="19.54296875" customWidth="1"/>
    <col min="15" max="15" width="41.26953125" customWidth="1"/>
    <col min="16" max="16" width="21.54296875" customWidth="1"/>
    <col min="17" max="17" width="10.7265625" hidden="1" customWidth="1"/>
    <col min="18" max="18" width="12.7265625" hidden="1" customWidth="1"/>
    <col min="19" max="19" width="16.54296875" hidden="1" customWidth="1"/>
    <col min="20" max="20" width="16.54296875" customWidth="1"/>
    <col min="21" max="21" width="13.26953125" customWidth="1"/>
  </cols>
  <sheetData>
    <row r="1" spans="1:21" ht="15.5" x14ac:dyDescent="0.35">
      <c r="A1" s="2" t="s">
        <v>0</v>
      </c>
      <c r="B1" s="5"/>
      <c r="C1" s="12"/>
      <c r="D1" s="13"/>
      <c r="E1" s="13"/>
      <c r="F1" s="5"/>
      <c r="G1" s="14"/>
      <c r="H1" s="15"/>
      <c r="I1" s="15"/>
      <c r="J1" s="5"/>
      <c r="K1" s="16"/>
      <c r="L1" s="16"/>
      <c r="M1" s="17"/>
      <c r="N1" s="18"/>
      <c r="O1" s="5"/>
      <c r="P1" s="5"/>
      <c r="Q1" s="19"/>
      <c r="R1" s="5"/>
      <c r="S1" s="16"/>
      <c r="T1" s="15"/>
      <c r="U1" s="5"/>
    </row>
    <row r="2" spans="1:21" ht="15.5" x14ac:dyDescent="0.35">
      <c r="A2" s="2" t="s">
        <v>1</v>
      </c>
      <c r="B2" s="5"/>
      <c r="C2" s="12"/>
      <c r="D2" s="13"/>
      <c r="E2" s="13"/>
      <c r="F2" s="5"/>
      <c r="G2" s="14"/>
      <c r="H2" s="15"/>
      <c r="I2" s="15"/>
      <c r="J2" s="5"/>
      <c r="K2" s="16"/>
      <c r="L2" s="16"/>
      <c r="M2" s="17"/>
      <c r="N2" s="18"/>
      <c r="O2" s="5"/>
      <c r="P2" s="5"/>
      <c r="Q2" s="19"/>
      <c r="R2" s="5"/>
      <c r="S2" s="16"/>
      <c r="T2" s="15"/>
      <c r="U2" s="5"/>
    </row>
    <row r="3" spans="1:21" ht="15.5" x14ac:dyDescent="0.35">
      <c r="A3" s="2" t="s">
        <v>2</v>
      </c>
      <c r="B3" s="5"/>
      <c r="C3" s="12"/>
      <c r="D3" s="13"/>
      <c r="E3" s="13"/>
      <c r="F3" s="5"/>
      <c r="G3" s="14"/>
      <c r="H3" s="15"/>
      <c r="I3" s="15"/>
      <c r="J3" s="5"/>
      <c r="K3" s="16"/>
      <c r="L3" s="16"/>
      <c r="M3" s="17"/>
      <c r="N3" s="18"/>
      <c r="O3" s="5"/>
      <c r="P3" s="5"/>
      <c r="Q3" s="19"/>
      <c r="R3" s="5"/>
      <c r="S3" s="16"/>
      <c r="T3" s="15"/>
      <c r="U3" s="5"/>
    </row>
    <row r="4" spans="1:21" ht="15.5" x14ac:dyDescent="0.35">
      <c r="A4" s="2" t="s">
        <v>3</v>
      </c>
      <c r="B4" s="5"/>
      <c r="C4" s="12"/>
      <c r="D4" s="13"/>
      <c r="E4" s="13"/>
      <c r="F4" s="5"/>
      <c r="G4" s="14"/>
      <c r="H4" s="15"/>
      <c r="I4" s="15"/>
      <c r="J4" s="5"/>
      <c r="K4" s="16"/>
      <c r="L4" s="16"/>
      <c r="M4" s="17"/>
      <c r="N4" s="18"/>
      <c r="O4" s="5"/>
      <c r="P4" s="5"/>
      <c r="Q4" s="19"/>
      <c r="R4" s="5"/>
      <c r="S4" s="16"/>
      <c r="T4" s="15"/>
      <c r="U4" s="5"/>
    </row>
    <row r="5" spans="1:21" ht="15.5" x14ac:dyDescent="0.35">
      <c r="A5" s="2"/>
      <c r="B5" s="5"/>
      <c r="C5" s="12"/>
      <c r="D5" s="13"/>
      <c r="E5" s="13"/>
      <c r="F5" s="5"/>
      <c r="G5" s="14"/>
      <c r="H5" s="15"/>
      <c r="I5" s="15"/>
      <c r="J5" s="5"/>
      <c r="K5" s="16"/>
      <c r="L5" s="16"/>
      <c r="M5" s="17"/>
      <c r="N5" s="18"/>
      <c r="O5" s="5"/>
      <c r="P5" s="5"/>
      <c r="Q5" s="19"/>
      <c r="R5" s="5"/>
      <c r="S5" s="16"/>
      <c r="T5" s="15"/>
      <c r="U5" s="5"/>
    </row>
    <row r="6" spans="1:21" ht="15.5" x14ac:dyDescent="0.35">
      <c r="A6" s="2"/>
      <c r="B6" s="5"/>
      <c r="C6" s="12"/>
      <c r="D6" s="13"/>
      <c r="E6" s="13"/>
      <c r="F6" s="5"/>
      <c r="G6" s="14"/>
      <c r="H6" s="15"/>
      <c r="I6" s="15"/>
      <c r="J6" s="5"/>
      <c r="K6" s="16"/>
      <c r="L6" s="16"/>
      <c r="M6" s="17"/>
      <c r="N6" s="18"/>
      <c r="O6" s="5"/>
      <c r="P6" s="5"/>
      <c r="Q6" s="19"/>
      <c r="R6" s="5"/>
      <c r="S6" s="16"/>
      <c r="T6" s="15"/>
      <c r="U6" s="5"/>
    </row>
    <row r="7" spans="1:21" ht="63" customHeight="1" x14ac:dyDescent="0.35">
      <c r="A7" s="20" t="s">
        <v>4</v>
      </c>
      <c r="B7" s="20" t="s">
        <v>5</v>
      </c>
      <c r="C7" s="20" t="s">
        <v>6</v>
      </c>
      <c r="D7" s="20" t="s">
        <v>7</v>
      </c>
      <c r="E7" s="20" t="s">
        <v>8</v>
      </c>
      <c r="F7" s="20" t="s">
        <v>9</v>
      </c>
      <c r="G7" s="21" t="s">
        <v>10</v>
      </c>
      <c r="H7" s="22" t="s">
        <v>11</v>
      </c>
      <c r="I7" s="22" t="s">
        <v>12</v>
      </c>
      <c r="J7" s="22" t="s">
        <v>13</v>
      </c>
      <c r="K7" s="23" t="s">
        <v>14</v>
      </c>
      <c r="L7" s="23" t="s">
        <v>15</v>
      </c>
      <c r="M7" s="22" t="s">
        <v>16</v>
      </c>
      <c r="N7" s="23" t="s">
        <v>17</v>
      </c>
      <c r="O7" s="22" t="s">
        <v>18</v>
      </c>
      <c r="P7" s="22" t="s">
        <v>19</v>
      </c>
      <c r="Q7" s="22" t="s">
        <v>20</v>
      </c>
      <c r="R7" s="22" t="s">
        <v>10</v>
      </c>
      <c r="S7" s="22" t="s">
        <v>21</v>
      </c>
      <c r="T7" s="22" t="s">
        <v>22</v>
      </c>
      <c r="U7" s="24"/>
    </row>
    <row r="8" spans="1:21" ht="15.5" x14ac:dyDescent="0.35">
      <c r="A8" s="25" t="s">
        <v>23</v>
      </c>
      <c r="B8" s="25" t="s">
        <v>24</v>
      </c>
      <c r="C8" s="26">
        <v>134996</v>
      </c>
      <c r="D8" s="25" t="s">
        <v>25</v>
      </c>
      <c r="E8" s="25" t="s">
        <v>26</v>
      </c>
      <c r="F8" s="26" t="s">
        <v>27</v>
      </c>
      <c r="G8" s="26" t="s">
        <v>27</v>
      </c>
      <c r="H8" s="26">
        <v>1</v>
      </c>
      <c r="I8" s="26">
        <v>2</v>
      </c>
      <c r="J8" s="26">
        <v>1</v>
      </c>
      <c r="K8" s="26">
        <v>138</v>
      </c>
      <c r="L8" s="26" t="s">
        <v>28</v>
      </c>
      <c r="M8" s="27">
        <v>643</v>
      </c>
      <c r="N8" s="28">
        <v>219559.98</v>
      </c>
      <c r="O8" s="26" t="s">
        <v>29</v>
      </c>
      <c r="P8" s="29"/>
      <c r="Q8" s="6"/>
      <c r="R8" s="29"/>
      <c r="S8" s="10"/>
      <c r="T8" s="8">
        <v>1</v>
      </c>
    </row>
    <row r="9" spans="1:21" ht="15.5" x14ac:dyDescent="0.35">
      <c r="A9" s="25" t="s">
        <v>23</v>
      </c>
      <c r="B9" s="25" t="s">
        <v>24</v>
      </c>
      <c r="C9" s="26">
        <v>135027</v>
      </c>
      <c r="D9" s="25" t="s">
        <v>30</v>
      </c>
      <c r="E9" s="25" t="s">
        <v>31</v>
      </c>
      <c r="F9" s="26" t="s">
        <v>27</v>
      </c>
      <c r="G9" s="26" t="s">
        <v>27</v>
      </c>
      <c r="H9" s="26">
        <v>1</v>
      </c>
      <c r="I9" s="26">
        <v>4</v>
      </c>
      <c r="J9" s="26">
        <v>1</v>
      </c>
      <c r="K9" s="26">
        <v>138</v>
      </c>
      <c r="L9" s="26" t="s">
        <v>28</v>
      </c>
      <c r="M9" s="27">
        <v>637</v>
      </c>
      <c r="N9" s="28">
        <v>456305.94</v>
      </c>
      <c r="O9" s="26" t="s">
        <v>29</v>
      </c>
      <c r="P9" s="29"/>
      <c r="Q9" s="6"/>
      <c r="R9" s="29"/>
      <c r="S9" s="10"/>
      <c r="T9" s="8">
        <v>1</v>
      </c>
    </row>
    <row r="10" spans="1:21" ht="15.5" x14ac:dyDescent="0.35">
      <c r="A10" s="25" t="s">
        <v>23</v>
      </c>
      <c r="B10" s="25" t="s">
        <v>24</v>
      </c>
      <c r="C10" s="26">
        <v>135047</v>
      </c>
      <c r="D10" s="25" t="s">
        <v>32</v>
      </c>
      <c r="E10" s="25" t="s">
        <v>33</v>
      </c>
      <c r="F10" s="26" t="s">
        <v>27</v>
      </c>
      <c r="G10" s="26" t="s">
        <v>27</v>
      </c>
      <c r="H10" s="26"/>
      <c r="I10" s="26"/>
      <c r="J10" s="26">
        <v>1</v>
      </c>
      <c r="K10" s="26">
        <v>138</v>
      </c>
      <c r="L10" s="26" t="s">
        <v>28</v>
      </c>
      <c r="M10" s="27">
        <v>636</v>
      </c>
      <c r="N10" s="28"/>
      <c r="O10" s="26" t="s">
        <v>29</v>
      </c>
      <c r="P10" s="29"/>
      <c r="Q10" s="6"/>
      <c r="R10" s="29"/>
      <c r="S10" s="10"/>
      <c r="T10" s="8"/>
    </row>
    <row r="11" spans="1:21" ht="15.5" x14ac:dyDescent="0.35">
      <c r="A11" s="25" t="s">
        <v>23</v>
      </c>
      <c r="B11" s="25" t="s">
        <v>24</v>
      </c>
      <c r="C11" s="26">
        <v>135055</v>
      </c>
      <c r="D11" s="25" t="s">
        <v>34</v>
      </c>
      <c r="E11" s="25" t="s">
        <v>33</v>
      </c>
      <c r="F11" s="26" t="s">
        <v>27</v>
      </c>
      <c r="G11" s="26" t="s">
        <v>27</v>
      </c>
      <c r="H11" s="26"/>
      <c r="I11" s="26"/>
      <c r="J11" s="26">
        <v>1</v>
      </c>
      <c r="K11" s="26">
        <v>138</v>
      </c>
      <c r="L11" s="26" t="s">
        <v>28</v>
      </c>
      <c r="M11" s="27">
        <v>638</v>
      </c>
      <c r="N11" s="28"/>
      <c r="O11" s="26" t="s">
        <v>29</v>
      </c>
      <c r="P11" s="29"/>
      <c r="Q11" s="6"/>
      <c r="R11" s="29"/>
      <c r="S11" s="10"/>
      <c r="T11" s="8"/>
    </row>
    <row r="12" spans="1:21" ht="15.5" x14ac:dyDescent="0.35">
      <c r="A12" s="25" t="s">
        <v>23</v>
      </c>
      <c r="B12" s="25" t="s">
        <v>24</v>
      </c>
      <c r="C12" s="26">
        <v>135063</v>
      </c>
      <c r="D12" s="25" t="s">
        <v>35</v>
      </c>
      <c r="E12" s="25" t="s">
        <v>36</v>
      </c>
      <c r="F12" s="26" t="s">
        <v>27</v>
      </c>
      <c r="G12" s="26" t="s">
        <v>27</v>
      </c>
      <c r="H12" s="26"/>
      <c r="I12" s="26"/>
      <c r="J12" s="26">
        <v>1</v>
      </c>
      <c r="K12" s="26">
        <v>138</v>
      </c>
      <c r="L12" s="26" t="s">
        <v>28</v>
      </c>
      <c r="M12" s="27">
        <v>639</v>
      </c>
      <c r="N12" s="28"/>
      <c r="O12" s="26" t="s">
        <v>29</v>
      </c>
      <c r="P12" s="29"/>
      <c r="Q12" s="6"/>
      <c r="R12" s="29"/>
      <c r="S12" s="10"/>
      <c r="T12" s="8"/>
    </row>
    <row r="13" spans="1:21" ht="15.5" x14ac:dyDescent="0.35">
      <c r="A13" s="25" t="s">
        <v>23</v>
      </c>
      <c r="B13" s="25" t="s">
        <v>24</v>
      </c>
      <c r="C13" s="26">
        <v>135067</v>
      </c>
      <c r="D13" s="25" t="s">
        <v>37</v>
      </c>
      <c r="E13" s="25" t="s">
        <v>33</v>
      </c>
      <c r="F13" s="26" t="s">
        <v>27</v>
      </c>
      <c r="G13" s="26" t="s">
        <v>27</v>
      </c>
      <c r="H13" s="26"/>
      <c r="I13" s="26"/>
      <c r="J13" s="26">
        <v>1</v>
      </c>
      <c r="K13" s="26">
        <v>138</v>
      </c>
      <c r="L13" s="26" t="s">
        <v>28</v>
      </c>
      <c r="M13" s="27">
        <v>641</v>
      </c>
      <c r="N13" s="28"/>
      <c r="O13" s="26" t="s">
        <v>29</v>
      </c>
      <c r="P13" s="29"/>
      <c r="Q13" s="6"/>
      <c r="R13" s="29"/>
      <c r="S13" s="10"/>
      <c r="T13" s="8"/>
    </row>
    <row r="14" spans="1:21" ht="15.5" x14ac:dyDescent="0.35">
      <c r="A14" s="25" t="s">
        <v>23</v>
      </c>
      <c r="B14" s="25" t="s">
        <v>24</v>
      </c>
      <c r="C14" s="26">
        <v>135076</v>
      </c>
      <c r="D14" s="25" t="s">
        <v>38</v>
      </c>
      <c r="E14" s="25" t="s">
        <v>33</v>
      </c>
      <c r="F14" s="26" t="s">
        <v>27</v>
      </c>
      <c r="G14" s="26" t="s">
        <v>27</v>
      </c>
      <c r="H14" s="26">
        <v>1</v>
      </c>
      <c r="I14" s="26">
        <v>7</v>
      </c>
      <c r="J14" s="26">
        <v>1</v>
      </c>
      <c r="K14" s="26">
        <v>138</v>
      </c>
      <c r="L14" s="26" t="s">
        <v>28</v>
      </c>
      <c r="M14" s="27">
        <v>647</v>
      </c>
      <c r="N14" s="28">
        <v>892219</v>
      </c>
      <c r="O14" s="26" t="s">
        <v>29</v>
      </c>
      <c r="P14" s="29"/>
      <c r="Q14" s="6"/>
      <c r="R14" s="29"/>
      <c r="S14" s="10"/>
      <c r="T14" s="8">
        <v>1</v>
      </c>
    </row>
    <row r="15" spans="1:21" ht="15.5" x14ac:dyDescent="0.35">
      <c r="A15" s="25" t="s">
        <v>23</v>
      </c>
      <c r="B15" s="25" t="s">
        <v>24</v>
      </c>
      <c r="C15" s="26">
        <v>135079</v>
      </c>
      <c r="D15" s="25" t="s">
        <v>39</v>
      </c>
      <c r="E15" s="25" t="s">
        <v>33</v>
      </c>
      <c r="F15" s="26" t="s">
        <v>27</v>
      </c>
      <c r="G15" s="26" t="s">
        <v>27</v>
      </c>
      <c r="H15" s="26"/>
      <c r="I15" s="26"/>
      <c r="J15" s="26">
        <v>1</v>
      </c>
      <c r="K15" s="26">
        <v>138</v>
      </c>
      <c r="L15" s="26" t="s">
        <v>28</v>
      </c>
      <c r="M15" s="27">
        <v>648</v>
      </c>
      <c r="N15" s="28"/>
      <c r="O15" s="26" t="s">
        <v>29</v>
      </c>
      <c r="P15" s="29"/>
      <c r="Q15" s="6"/>
      <c r="R15" s="29"/>
      <c r="S15" s="10"/>
      <c r="T15" s="8"/>
    </row>
    <row r="16" spans="1:21" ht="15.5" x14ac:dyDescent="0.35">
      <c r="A16" s="25" t="s">
        <v>23</v>
      </c>
      <c r="B16" s="25" t="s">
        <v>24</v>
      </c>
      <c r="C16" s="26">
        <v>135083</v>
      </c>
      <c r="D16" s="25" t="s">
        <v>40</v>
      </c>
      <c r="E16" s="25" t="s">
        <v>33</v>
      </c>
      <c r="F16" s="26" t="s">
        <v>27</v>
      </c>
      <c r="G16" s="26" t="s">
        <v>27</v>
      </c>
      <c r="H16" s="26"/>
      <c r="I16" s="26"/>
      <c r="J16" s="26">
        <v>1</v>
      </c>
      <c r="K16" s="26">
        <v>138</v>
      </c>
      <c r="L16" s="26" t="s">
        <v>28</v>
      </c>
      <c r="M16" s="27">
        <v>649</v>
      </c>
      <c r="N16" s="28"/>
      <c r="O16" s="26" t="s">
        <v>29</v>
      </c>
      <c r="P16" s="29"/>
      <c r="Q16" s="6"/>
      <c r="R16" s="29"/>
      <c r="S16" s="10"/>
      <c r="T16" s="8"/>
    </row>
    <row r="17" spans="1:20" ht="15.5" x14ac:dyDescent="0.35">
      <c r="A17" s="25" t="s">
        <v>23</v>
      </c>
      <c r="B17" s="25" t="s">
        <v>24</v>
      </c>
      <c r="C17" s="26">
        <v>135117</v>
      </c>
      <c r="D17" s="25" t="s">
        <v>41</v>
      </c>
      <c r="E17" s="25" t="s">
        <v>42</v>
      </c>
      <c r="F17" s="26" t="s">
        <v>27</v>
      </c>
      <c r="G17" s="26" t="s">
        <v>27</v>
      </c>
      <c r="H17" s="26">
        <v>1</v>
      </c>
      <c r="I17" s="26">
        <v>2</v>
      </c>
      <c r="J17" s="26">
        <v>1</v>
      </c>
      <c r="K17" s="26">
        <v>138</v>
      </c>
      <c r="L17" s="26" t="s">
        <v>28</v>
      </c>
      <c r="M17" s="27">
        <v>651</v>
      </c>
      <c r="N17" s="28">
        <v>405290.61</v>
      </c>
      <c r="O17" s="26" t="s">
        <v>29</v>
      </c>
      <c r="P17" s="29"/>
      <c r="Q17" s="6"/>
      <c r="R17" s="29"/>
      <c r="S17" s="10"/>
      <c r="T17" s="8">
        <v>1</v>
      </c>
    </row>
    <row r="18" spans="1:20" ht="15.5" x14ac:dyDescent="0.35">
      <c r="A18" s="25" t="s">
        <v>23</v>
      </c>
      <c r="B18" s="25" t="s">
        <v>24</v>
      </c>
      <c r="C18" s="26">
        <v>135124</v>
      </c>
      <c r="D18" s="25" t="s">
        <v>43</v>
      </c>
      <c r="E18" s="25" t="s">
        <v>44</v>
      </c>
      <c r="F18" s="26" t="s">
        <v>27</v>
      </c>
      <c r="G18" s="26" t="s">
        <v>27</v>
      </c>
      <c r="H18" s="26">
        <v>1</v>
      </c>
      <c r="I18" s="26">
        <v>2</v>
      </c>
      <c r="J18" s="26">
        <v>1</v>
      </c>
      <c r="K18" s="26">
        <v>138</v>
      </c>
      <c r="L18" s="26" t="s">
        <v>28</v>
      </c>
      <c r="M18" s="27">
        <v>645</v>
      </c>
      <c r="N18" s="28">
        <v>329073.96000000002</v>
      </c>
      <c r="O18" s="26" t="s">
        <v>29</v>
      </c>
      <c r="P18" s="29"/>
      <c r="Q18" s="6"/>
      <c r="R18" s="29"/>
      <c r="S18" s="10"/>
      <c r="T18" s="8">
        <v>1</v>
      </c>
    </row>
    <row r="19" spans="1:20" ht="15.5" x14ac:dyDescent="0.35">
      <c r="A19" s="25" t="s">
        <v>23</v>
      </c>
      <c r="B19" s="25" t="s">
        <v>24</v>
      </c>
      <c r="C19" s="26">
        <v>135186</v>
      </c>
      <c r="D19" s="25" t="s">
        <v>45</v>
      </c>
      <c r="E19" s="25" t="s">
        <v>46</v>
      </c>
      <c r="F19" s="26" t="s">
        <v>27</v>
      </c>
      <c r="G19" s="26" t="s">
        <v>27</v>
      </c>
      <c r="H19" s="26">
        <v>1</v>
      </c>
      <c r="I19" s="26">
        <v>2</v>
      </c>
      <c r="J19" s="26">
        <v>1</v>
      </c>
      <c r="K19" s="26">
        <v>138</v>
      </c>
      <c r="L19" s="26" t="s">
        <v>28</v>
      </c>
      <c r="M19" s="27">
        <v>640</v>
      </c>
      <c r="N19" s="28">
        <v>1028689.05</v>
      </c>
      <c r="O19" s="26" t="s">
        <v>29</v>
      </c>
      <c r="P19" s="29"/>
      <c r="Q19" s="6"/>
      <c r="R19" s="29"/>
      <c r="S19" s="10"/>
      <c r="T19" s="8">
        <v>1</v>
      </c>
    </row>
    <row r="20" spans="1:20" ht="15.5" x14ac:dyDescent="0.35">
      <c r="A20" s="25" t="s">
        <v>23</v>
      </c>
      <c r="B20" s="25" t="s">
        <v>24</v>
      </c>
      <c r="C20" s="26">
        <v>135187</v>
      </c>
      <c r="D20" s="25" t="s">
        <v>47</v>
      </c>
      <c r="E20" s="25" t="s">
        <v>48</v>
      </c>
      <c r="F20" s="26" t="s">
        <v>27</v>
      </c>
      <c r="G20" s="26" t="s">
        <v>27</v>
      </c>
      <c r="H20" s="26"/>
      <c r="I20" s="26"/>
      <c r="J20" s="26">
        <v>1</v>
      </c>
      <c r="K20" s="26">
        <v>138</v>
      </c>
      <c r="L20" s="26" t="s">
        <v>28</v>
      </c>
      <c r="M20" s="27">
        <v>642</v>
      </c>
      <c r="N20" s="28"/>
      <c r="O20" s="26" t="s">
        <v>29</v>
      </c>
      <c r="P20" s="29"/>
      <c r="Q20" s="6"/>
      <c r="R20" s="29"/>
      <c r="S20" s="10"/>
      <c r="T20" s="8"/>
    </row>
    <row r="21" spans="1:20" ht="15.75" customHeight="1" x14ac:dyDescent="0.35">
      <c r="A21" s="25" t="s">
        <v>23</v>
      </c>
      <c r="B21" s="25" t="s">
        <v>24</v>
      </c>
      <c r="C21" s="26">
        <v>135191</v>
      </c>
      <c r="D21" s="25" t="s">
        <v>49</v>
      </c>
      <c r="E21" s="25" t="s">
        <v>46</v>
      </c>
      <c r="F21" s="26" t="s">
        <v>27</v>
      </c>
      <c r="G21" s="26" t="s">
        <v>27</v>
      </c>
      <c r="H21" s="26">
        <v>1</v>
      </c>
      <c r="I21" s="26">
        <v>3</v>
      </c>
      <c r="J21" s="26">
        <v>1</v>
      </c>
      <c r="K21" s="26">
        <v>138</v>
      </c>
      <c r="L21" s="26" t="s">
        <v>28</v>
      </c>
      <c r="M21" s="27">
        <v>646</v>
      </c>
      <c r="N21" s="28">
        <v>465967.53</v>
      </c>
      <c r="O21" s="26" t="s">
        <v>29</v>
      </c>
      <c r="P21" s="29"/>
      <c r="Q21" s="6"/>
      <c r="R21" s="29"/>
      <c r="S21" s="10"/>
      <c r="T21" s="8">
        <v>1</v>
      </c>
    </row>
    <row r="22" spans="1:20" ht="15.75" customHeight="1" x14ac:dyDescent="0.35">
      <c r="A22" s="25" t="s">
        <v>23</v>
      </c>
      <c r="B22" s="25" t="s">
        <v>24</v>
      </c>
      <c r="C22" s="26">
        <v>135195</v>
      </c>
      <c r="D22" s="25" t="s">
        <v>50</v>
      </c>
      <c r="E22" s="25" t="s">
        <v>46</v>
      </c>
      <c r="F22" s="26" t="s">
        <v>27</v>
      </c>
      <c r="G22" s="26" t="s">
        <v>27</v>
      </c>
      <c r="H22" s="26">
        <v>1</v>
      </c>
      <c r="I22" s="26">
        <v>6</v>
      </c>
      <c r="J22" s="26">
        <v>1</v>
      </c>
      <c r="K22" s="26">
        <v>138</v>
      </c>
      <c r="L22" s="26" t="s">
        <v>28</v>
      </c>
      <c r="M22" s="27">
        <v>652</v>
      </c>
      <c r="N22" s="28">
        <v>599527.41</v>
      </c>
      <c r="O22" s="26" t="s">
        <v>29</v>
      </c>
      <c r="P22" s="29"/>
      <c r="Q22" s="6"/>
      <c r="R22" s="29"/>
      <c r="S22" s="10"/>
      <c r="T22" s="8">
        <v>1</v>
      </c>
    </row>
    <row r="23" spans="1:20" ht="15.75" customHeight="1" x14ac:dyDescent="0.35">
      <c r="A23" s="25" t="s">
        <v>23</v>
      </c>
      <c r="B23" s="25" t="s">
        <v>24</v>
      </c>
      <c r="C23" s="26">
        <v>135196</v>
      </c>
      <c r="D23" s="25" t="s">
        <v>51</v>
      </c>
      <c r="E23" s="25" t="s">
        <v>52</v>
      </c>
      <c r="F23" s="26" t="s">
        <v>27</v>
      </c>
      <c r="G23" s="26" t="s">
        <v>27</v>
      </c>
      <c r="H23" s="26">
        <v>1</v>
      </c>
      <c r="I23" s="26">
        <v>2</v>
      </c>
      <c r="J23" s="26">
        <v>1</v>
      </c>
      <c r="K23" s="26">
        <v>138</v>
      </c>
      <c r="L23" s="26" t="s">
        <v>28</v>
      </c>
      <c r="M23" s="27">
        <v>635</v>
      </c>
      <c r="N23" s="28">
        <v>364334.71</v>
      </c>
      <c r="O23" s="26" t="s">
        <v>29</v>
      </c>
      <c r="P23" s="29"/>
      <c r="Q23" s="6"/>
      <c r="R23" s="29"/>
      <c r="S23" s="10"/>
      <c r="T23" s="8">
        <v>1</v>
      </c>
    </row>
    <row r="24" spans="1:20" ht="15.75" customHeight="1" x14ac:dyDescent="0.35">
      <c r="A24" s="25" t="s">
        <v>23</v>
      </c>
      <c r="B24" s="25" t="s">
        <v>24</v>
      </c>
      <c r="C24" s="26">
        <v>135214</v>
      </c>
      <c r="D24" s="25" t="s">
        <v>53</v>
      </c>
      <c r="E24" s="25" t="s">
        <v>54</v>
      </c>
      <c r="F24" s="26" t="s">
        <v>27</v>
      </c>
      <c r="G24" s="26" t="s">
        <v>27</v>
      </c>
      <c r="H24" s="26">
        <v>1</v>
      </c>
      <c r="I24" s="26">
        <v>1</v>
      </c>
      <c r="J24" s="26">
        <v>1</v>
      </c>
      <c r="K24" s="26">
        <v>138</v>
      </c>
      <c r="L24" s="26" t="s">
        <v>28</v>
      </c>
      <c r="M24" s="27">
        <v>644</v>
      </c>
      <c r="N24" s="28">
        <v>198244.95</v>
      </c>
      <c r="O24" s="26" t="s">
        <v>29</v>
      </c>
      <c r="P24" s="29"/>
      <c r="Q24" s="6"/>
      <c r="R24" s="29"/>
      <c r="S24" s="10"/>
      <c r="T24" s="8">
        <v>1</v>
      </c>
    </row>
    <row r="25" spans="1:20" ht="15.75" customHeight="1" x14ac:dyDescent="0.35">
      <c r="A25" s="25" t="s">
        <v>23</v>
      </c>
      <c r="B25" s="25" t="s">
        <v>24</v>
      </c>
      <c r="C25" s="26">
        <v>218519</v>
      </c>
      <c r="D25" s="25" t="s">
        <v>55</v>
      </c>
      <c r="E25" s="25" t="s">
        <v>56</v>
      </c>
      <c r="F25" s="26" t="s">
        <v>27</v>
      </c>
      <c r="G25" s="26" t="s">
        <v>27</v>
      </c>
      <c r="H25" s="26">
        <v>1</v>
      </c>
      <c r="I25" s="26">
        <v>1</v>
      </c>
      <c r="J25" s="26">
        <v>1</v>
      </c>
      <c r="K25" s="26">
        <v>138</v>
      </c>
      <c r="L25" s="26" t="s">
        <v>28</v>
      </c>
      <c r="M25" s="27">
        <v>650</v>
      </c>
      <c r="N25" s="28">
        <v>254540.88</v>
      </c>
      <c r="O25" s="26" t="s">
        <v>29</v>
      </c>
      <c r="P25" s="29"/>
      <c r="Q25" s="6"/>
      <c r="R25" s="29"/>
      <c r="S25" s="10"/>
      <c r="T25" s="8">
        <v>1</v>
      </c>
    </row>
    <row r="26" spans="1:20" ht="15.75" customHeight="1" x14ac:dyDescent="0.35">
      <c r="A26" s="25" t="s">
        <v>23</v>
      </c>
      <c r="B26" s="25" t="s">
        <v>57</v>
      </c>
      <c r="C26" s="26">
        <v>135255</v>
      </c>
      <c r="D26" s="25" t="s">
        <v>58</v>
      </c>
      <c r="E26" s="25" t="s">
        <v>59</v>
      </c>
      <c r="F26" s="26" t="s">
        <v>27</v>
      </c>
      <c r="G26" s="26" t="s">
        <v>27</v>
      </c>
      <c r="H26" s="26"/>
      <c r="I26" s="26"/>
      <c r="J26" s="26">
        <v>1</v>
      </c>
      <c r="K26" s="26">
        <v>138</v>
      </c>
      <c r="L26" s="26" t="s">
        <v>28</v>
      </c>
      <c r="M26" s="27">
        <v>659</v>
      </c>
      <c r="N26" s="28"/>
      <c r="O26" s="26" t="s">
        <v>29</v>
      </c>
      <c r="P26" s="29"/>
      <c r="Q26" s="6"/>
      <c r="R26" s="29"/>
      <c r="S26" s="10"/>
      <c r="T26" s="8"/>
    </row>
    <row r="27" spans="1:20" ht="15.75" customHeight="1" x14ac:dyDescent="0.35">
      <c r="A27" s="25" t="s">
        <v>23</v>
      </c>
      <c r="B27" s="25" t="s">
        <v>57</v>
      </c>
      <c r="C27" s="26">
        <v>135300</v>
      </c>
      <c r="D27" s="25" t="s">
        <v>60</v>
      </c>
      <c r="E27" s="25" t="s">
        <v>61</v>
      </c>
      <c r="F27" s="26" t="s">
        <v>27</v>
      </c>
      <c r="G27" s="26" t="s">
        <v>27</v>
      </c>
      <c r="H27" s="26"/>
      <c r="I27" s="26"/>
      <c r="J27" s="26">
        <v>1</v>
      </c>
      <c r="K27" s="26">
        <v>138</v>
      </c>
      <c r="L27" s="26" t="s">
        <v>28</v>
      </c>
      <c r="M27" s="27">
        <v>663</v>
      </c>
      <c r="N27" s="28"/>
      <c r="O27" s="26" t="s">
        <v>29</v>
      </c>
      <c r="P27" s="29"/>
      <c r="Q27" s="6"/>
      <c r="R27" s="29"/>
      <c r="S27" s="10"/>
      <c r="T27" s="8"/>
    </row>
    <row r="28" spans="1:20" ht="15.75" customHeight="1" x14ac:dyDescent="0.35">
      <c r="A28" s="25" t="s">
        <v>23</v>
      </c>
      <c r="B28" s="25" t="s">
        <v>57</v>
      </c>
      <c r="C28" s="26">
        <v>135314</v>
      </c>
      <c r="D28" s="25" t="s">
        <v>62</v>
      </c>
      <c r="E28" s="25" t="s">
        <v>61</v>
      </c>
      <c r="F28" s="26" t="s">
        <v>27</v>
      </c>
      <c r="G28" s="26" t="s">
        <v>27</v>
      </c>
      <c r="H28" s="26"/>
      <c r="I28" s="26"/>
      <c r="J28" s="26">
        <v>1</v>
      </c>
      <c r="K28" s="26">
        <v>138</v>
      </c>
      <c r="L28" s="26" t="s">
        <v>28</v>
      </c>
      <c r="M28" s="27">
        <v>654</v>
      </c>
      <c r="N28" s="28"/>
      <c r="O28" s="26" t="s">
        <v>29</v>
      </c>
      <c r="P28" s="29"/>
      <c r="Q28" s="6"/>
      <c r="R28" s="29"/>
      <c r="S28" s="10"/>
      <c r="T28" s="8"/>
    </row>
    <row r="29" spans="1:20" ht="15.75" customHeight="1" x14ac:dyDescent="0.35">
      <c r="A29" s="25" t="s">
        <v>23</v>
      </c>
      <c r="B29" s="25" t="s">
        <v>57</v>
      </c>
      <c r="C29" s="26">
        <v>135315</v>
      </c>
      <c r="D29" s="25" t="s">
        <v>63</v>
      </c>
      <c r="E29" s="25" t="s">
        <v>61</v>
      </c>
      <c r="F29" s="26" t="s">
        <v>27</v>
      </c>
      <c r="G29" s="26" t="s">
        <v>27</v>
      </c>
      <c r="H29" s="26"/>
      <c r="I29" s="26"/>
      <c r="J29" s="26">
        <v>1</v>
      </c>
      <c r="K29" s="26">
        <v>138</v>
      </c>
      <c r="L29" s="26" t="s">
        <v>28</v>
      </c>
      <c r="M29" s="27">
        <v>660</v>
      </c>
      <c r="N29" s="28"/>
      <c r="O29" s="26" t="s">
        <v>29</v>
      </c>
      <c r="P29" s="29"/>
      <c r="Q29" s="6"/>
      <c r="R29" s="29"/>
      <c r="S29" s="10"/>
      <c r="T29" s="8"/>
    </row>
    <row r="30" spans="1:20" ht="15.75" customHeight="1" x14ac:dyDescent="0.35">
      <c r="A30" s="25" t="s">
        <v>23</v>
      </c>
      <c r="B30" s="25" t="s">
        <v>57</v>
      </c>
      <c r="C30" s="26">
        <v>135317</v>
      </c>
      <c r="D30" s="25" t="s">
        <v>64</v>
      </c>
      <c r="E30" s="25" t="s">
        <v>61</v>
      </c>
      <c r="F30" s="26" t="s">
        <v>27</v>
      </c>
      <c r="G30" s="26" t="s">
        <v>27</v>
      </c>
      <c r="H30" s="26"/>
      <c r="I30" s="26"/>
      <c r="J30" s="26">
        <v>1</v>
      </c>
      <c r="K30" s="26">
        <v>138</v>
      </c>
      <c r="L30" s="26" t="s">
        <v>28</v>
      </c>
      <c r="M30" s="27">
        <v>670</v>
      </c>
      <c r="N30" s="28"/>
      <c r="O30" s="26" t="s">
        <v>29</v>
      </c>
      <c r="P30" s="29"/>
      <c r="Q30" s="6"/>
      <c r="R30" s="29"/>
      <c r="S30" s="10"/>
      <c r="T30" s="8"/>
    </row>
    <row r="31" spans="1:20" ht="15.75" customHeight="1" x14ac:dyDescent="0.35">
      <c r="A31" s="25" t="s">
        <v>23</v>
      </c>
      <c r="B31" s="25" t="s">
        <v>57</v>
      </c>
      <c r="C31" s="26">
        <v>135337</v>
      </c>
      <c r="D31" s="25" t="s">
        <v>65</v>
      </c>
      <c r="E31" s="25" t="s">
        <v>66</v>
      </c>
      <c r="F31" s="26" t="s">
        <v>27</v>
      </c>
      <c r="G31" s="26" t="s">
        <v>27</v>
      </c>
      <c r="H31" s="26"/>
      <c r="I31" s="26"/>
      <c r="J31" s="26">
        <v>1</v>
      </c>
      <c r="K31" s="26">
        <v>138</v>
      </c>
      <c r="L31" s="26" t="s">
        <v>28</v>
      </c>
      <c r="M31" s="27">
        <v>664</v>
      </c>
      <c r="N31" s="28"/>
      <c r="O31" s="26" t="s">
        <v>29</v>
      </c>
      <c r="P31" s="29"/>
      <c r="Q31" s="6"/>
      <c r="R31" s="29"/>
      <c r="S31" s="10"/>
      <c r="T31" s="8"/>
    </row>
    <row r="32" spans="1:20" ht="15.75" customHeight="1" x14ac:dyDescent="0.35">
      <c r="A32" s="25" t="s">
        <v>23</v>
      </c>
      <c r="B32" s="25" t="s">
        <v>57</v>
      </c>
      <c r="C32" s="26">
        <v>135356</v>
      </c>
      <c r="D32" s="25" t="s">
        <v>67</v>
      </c>
      <c r="E32" s="25" t="s">
        <v>68</v>
      </c>
      <c r="F32" s="26" t="s">
        <v>27</v>
      </c>
      <c r="G32" s="26" t="s">
        <v>27</v>
      </c>
      <c r="H32" s="26"/>
      <c r="I32" s="26"/>
      <c r="J32" s="26">
        <v>1</v>
      </c>
      <c r="K32" s="26">
        <v>138</v>
      </c>
      <c r="L32" s="26" t="s">
        <v>28</v>
      </c>
      <c r="M32" s="27">
        <v>665</v>
      </c>
      <c r="N32" s="28"/>
      <c r="O32" s="26" t="s">
        <v>29</v>
      </c>
      <c r="P32" s="29"/>
      <c r="Q32" s="6"/>
      <c r="R32" s="29"/>
      <c r="S32" s="10"/>
      <c r="T32" s="8"/>
    </row>
    <row r="33" spans="1:20" ht="15.75" customHeight="1" x14ac:dyDescent="0.35">
      <c r="A33" s="25" t="s">
        <v>23</v>
      </c>
      <c r="B33" s="25" t="s">
        <v>57</v>
      </c>
      <c r="C33" s="26">
        <v>219002</v>
      </c>
      <c r="D33" s="25" t="s">
        <v>69</v>
      </c>
      <c r="E33" s="25" t="s">
        <v>70</v>
      </c>
      <c r="F33" s="26" t="s">
        <v>27</v>
      </c>
      <c r="G33" s="26" t="s">
        <v>27</v>
      </c>
      <c r="H33" s="26"/>
      <c r="I33" s="26"/>
      <c r="J33" s="26">
        <v>1</v>
      </c>
      <c r="K33" s="26">
        <v>138</v>
      </c>
      <c r="L33" s="26" t="s">
        <v>28</v>
      </c>
      <c r="M33" s="27">
        <v>666</v>
      </c>
      <c r="N33" s="28"/>
      <c r="O33" s="26" t="s">
        <v>29</v>
      </c>
      <c r="P33" s="29"/>
      <c r="Q33" s="6"/>
      <c r="R33" s="29"/>
      <c r="S33" s="10"/>
      <c r="T33" s="8"/>
    </row>
    <row r="34" spans="1:20" ht="15.75" customHeight="1" x14ac:dyDescent="0.35">
      <c r="A34" s="25" t="s">
        <v>23</v>
      </c>
      <c r="B34" s="25" t="s">
        <v>57</v>
      </c>
      <c r="C34" s="26">
        <v>219003</v>
      </c>
      <c r="D34" s="25" t="s">
        <v>71</v>
      </c>
      <c r="E34" s="25" t="s">
        <v>70</v>
      </c>
      <c r="F34" s="26" t="s">
        <v>27</v>
      </c>
      <c r="G34" s="26" t="s">
        <v>27</v>
      </c>
      <c r="H34" s="26"/>
      <c r="I34" s="26"/>
      <c r="J34" s="26">
        <v>1</v>
      </c>
      <c r="K34" s="26">
        <v>138</v>
      </c>
      <c r="L34" s="26" t="s">
        <v>28</v>
      </c>
      <c r="M34" s="27">
        <v>669</v>
      </c>
      <c r="N34" s="28"/>
      <c r="O34" s="26" t="s">
        <v>29</v>
      </c>
      <c r="P34" s="29"/>
      <c r="Q34" s="6"/>
      <c r="R34" s="29"/>
      <c r="S34" s="10"/>
      <c r="T34" s="8"/>
    </row>
    <row r="35" spans="1:20" ht="15.75" customHeight="1" x14ac:dyDescent="0.35">
      <c r="A35" s="25" t="s">
        <v>23</v>
      </c>
      <c r="B35" s="25" t="s">
        <v>57</v>
      </c>
      <c r="C35" s="26">
        <v>219008</v>
      </c>
      <c r="D35" s="25" t="s">
        <v>72</v>
      </c>
      <c r="E35" s="25" t="s">
        <v>61</v>
      </c>
      <c r="F35" s="26" t="s">
        <v>27</v>
      </c>
      <c r="G35" s="26" t="s">
        <v>27</v>
      </c>
      <c r="H35" s="26"/>
      <c r="I35" s="26"/>
      <c r="J35" s="26">
        <v>1</v>
      </c>
      <c r="K35" s="26">
        <v>138</v>
      </c>
      <c r="L35" s="26" t="s">
        <v>28</v>
      </c>
      <c r="M35" s="27">
        <v>657</v>
      </c>
      <c r="N35" s="28"/>
      <c r="O35" s="26" t="s">
        <v>29</v>
      </c>
      <c r="P35" s="29"/>
      <c r="Q35" s="6"/>
      <c r="R35" s="29"/>
      <c r="S35" s="10"/>
      <c r="T35" s="8"/>
    </row>
    <row r="36" spans="1:20" ht="15.75" customHeight="1" x14ac:dyDescent="0.35">
      <c r="A36" s="25" t="s">
        <v>23</v>
      </c>
      <c r="B36" s="25" t="s">
        <v>57</v>
      </c>
      <c r="C36" s="26">
        <v>219012</v>
      </c>
      <c r="D36" s="25" t="s">
        <v>73</v>
      </c>
      <c r="E36" s="25" t="s">
        <v>68</v>
      </c>
      <c r="F36" s="26" t="s">
        <v>27</v>
      </c>
      <c r="G36" s="26" t="s">
        <v>27</v>
      </c>
      <c r="H36" s="26"/>
      <c r="I36" s="26"/>
      <c r="J36" s="26">
        <v>1</v>
      </c>
      <c r="K36" s="26">
        <v>138</v>
      </c>
      <c r="L36" s="26" t="s">
        <v>28</v>
      </c>
      <c r="M36" s="27">
        <v>653</v>
      </c>
      <c r="N36" s="28"/>
      <c r="O36" s="26" t="s">
        <v>29</v>
      </c>
      <c r="P36" s="29"/>
      <c r="Q36" s="6"/>
      <c r="R36" s="29"/>
      <c r="S36" s="10"/>
      <c r="T36" s="8"/>
    </row>
    <row r="37" spans="1:20" ht="15.75" customHeight="1" x14ac:dyDescent="0.35">
      <c r="A37" s="25" t="s">
        <v>23</v>
      </c>
      <c r="B37" s="25" t="s">
        <v>57</v>
      </c>
      <c r="C37" s="26">
        <v>219013</v>
      </c>
      <c r="D37" s="25" t="s">
        <v>74</v>
      </c>
      <c r="E37" s="25" t="s">
        <v>68</v>
      </c>
      <c r="F37" s="26" t="s">
        <v>27</v>
      </c>
      <c r="G37" s="26" t="s">
        <v>27</v>
      </c>
      <c r="H37" s="26"/>
      <c r="I37" s="26"/>
      <c r="J37" s="26">
        <v>1</v>
      </c>
      <c r="K37" s="26">
        <v>138</v>
      </c>
      <c r="L37" s="26" t="s">
        <v>28</v>
      </c>
      <c r="M37" s="27">
        <v>668</v>
      </c>
      <c r="N37" s="28"/>
      <c r="O37" s="26" t="s">
        <v>29</v>
      </c>
      <c r="P37" s="29"/>
      <c r="Q37" s="6"/>
      <c r="R37" s="29"/>
      <c r="S37" s="10"/>
      <c r="T37" s="8"/>
    </row>
    <row r="38" spans="1:20" ht="15.75" customHeight="1" x14ac:dyDescent="0.35">
      <c r="A38" s="25" t="s">
        <v>23</v>
      </c>
      <c r="B38" s="25" t="s">
        <v>57</v>
      </c>
      <c r="C38" s="26">
        <v>219020</v>
      </c>
      <c r="D38" s="25" t="s">
        <v>75</v>
      </c>
      <c r="E38" s="25" t="s">
        <v>59</v>
      </c>
      <c r="F38" s="26" t="s">
        <v>27</v>
      </c>
      <c r="G38" s="26" t="s">
        <v>27</v>
      </c>
      <c r="H38" s="26"/>
      <c r="I38" s="26"/>
      <c r="J38" s="26">
        <v>1</v>
      </c>
      <c r="K38" s="26">
        <v>138</v>
      </c>
      <c r="L38" s="26" t="s">
        <v>28</v>
      </c>
      <c r="M38" s="27">
        <v>662</v>
      </c>
      <c r="N38" s="28"/>
      <c r="O38" s="26" t="s">
        <v>29</v>
      </c>
      <c r="P38" s="29"/>
      <c r="Q38" s="6"/>
      <c r="R38" s="29"/>
      <c r="S38" s="10"/>
      <c r="T38" s="8"/>
    </row>
    <row r="39" spans="1:20" ht="15.75" customHeight="1" x14ac:dyDescent="0.35">
      <c r="A39" s="25" t="s">
        <v>23</v>
      </c>
      <c r="B39" s="25" t="s">
        <v>57</v>
      </c>
      <c r="C39" s="26">
        <v>219026</v>
      </c>
      <c r="D39" s="25" t="s">
        <v>76</v>
      </c>
      <c r="E39" s="25" t="s">
        <v>68</v>
      </c>
      <c r="F39" s="26" t="s">
        <v>27</v>
      </c>
      <c r="G39" s="26" t="s">
        <v>27</v>
      </c>
      <c r="H39" s="26"/>
      <c r="I39" s="26"/>
      <c r="J39" s="26">
        <v>1</v>
      </c>
      <c r="K39" s="26">
        <v>138</v>
      </c>
      <c r="L39" s="26" t="s">
        <v>28</v>
      </c>
      <c r="M39" s="27">
        <v>661</v>
      </c>
      <c r="N39" s="28"/>
      <c r="O39" s="26" t="s">
        <v>29</v>
      </c>
      <c r="P39" s="29"/>
      <c r="Q39" s="6"/>
      <c r="R39" s="29"/>
      <c r="S39" s="10"/>
      <c r="T39" s="8"/>
    </row>
    <row r="40" spans="1:20" ht="15.75" customHeight="1" x14ac:dyDescent="0.35">
      <c r="A40" s="25" t="s">
        <v>23</v>
      </c>
      <c r="B40" s="25" t="s">
        <v>57</v>
      </c>
      <c r="C40" s="26">
        <v>220027</v>
      </c>
      <c r="D40" s="25" t="s">
        <v>77</v>
      </c>
      <c r="E40" s="25" t="s">
        <v>59</v>
      </c>
      <c r="F40" s="26" t="s">
        <v>27</v>
      </c>
      <c r="G40" s="26" t="s">
        <v>27</v>
      </c>
      <c r="H40" s="26"/>
      <c r="I40" s="26"/>
      <c r="J40" s="26">
        <v>1</v>
      </c>
      <c r="K40" s="26">
        <v>138</v>
      </c>
      <c r="L40" s="26" t="s">
        <v>28</v>
      </c>
      <c r="M40" s="27">
        <v>671</v>
      </c>
      <c r="N40" s="28"/>
      <c r="O40" s="26" t="s">
        <v>29</v>
      </c>
      <c r="P40" s="29"/>
      <c r="Q40" s="6"/>
      <c r="R40" s="29"/>
      <c r="S40" s="10"/>
      <c r="T40" s="8"/>
    </row>
    <row r="41" spans="1:20" ht="15.75" customHeight="1" x14ac:dyDescent="0.35">
      <c r="A41" s="25" t="s">
        <v>23</v>
      </c>
      <c r="B41" s="25" t="s">
        <v>57</v>
      </c>
      <c r="C41" s="26">
        <v>318807</v>
      </c>
      <c r="D41" s="25" t="s">
        <v>78</v>
      </c>
      <c r="E41" s="25" t="s">
        <v>59</v>
      </c>
      <c r="F41" s="26" t="s">
        <v>27</v>
      </c>
      <c r="G41" s="26" t="s">
        <v>27</v>
      </c>
      <c r="H41" s="26"/>
      <c r="I41" s="26"/>
      <c r="J41" s="26">
        <v>1</v>
      </c>
      <c r="K41" s="26">
        <v>138</v>
      </c>
      <c r="L41" s="26" t="s">
        <v>28</v>
      </c>
      <c r="M41" s="27">
        <v>655</v>
      </c>
      <c r="N41" s="28"/>
      <c r="O41" s="26" t="s">
        <v>29</v>
      </c>
      <c r="P41" s="29"/>
      <c r="Q41" s="6"/>
      <c r="R41" s="29"/>
      <c r="S41" s="10"/>
      <c r="T41" s="8"/>
    </row>
    <row r="42" spans="1:20" ht="15.75" customHeight="1" x14ac:dyDescent="0.35">
      <c r="A42" s="25" t="s">
        <v>23</v>
      </c>
      <c r="B42" s="25" t="s">
        <v>57</v>
      </c>
      <c r="C42" s="26">
        <v>318809</v>
      </c>
      <c r="D42" s="25" t="s">
        <v>79</v>
      </c>
      <c r="E42" s="25" t="s">
        <v>66</v>
      </c>
      <c r="F42" s="26" t="s">
        <v>27</v>
      </c>
      <c r="G42" s="26" t="s">
        <v>27</v>
      </c>
      <c r="H42" s="26"/>
      <c r="I42" s="26"/>
      <c r="J42" s="26">
        <v>1</v>
      </c>
      <c r="K42" s="26">
        <v>138</v>
      </c>
      <c r="L42" s="26" t="s">
        <v>28</v>
      </c>
      <c r="M42" s="27">
        <v>667</v>
      </c>
      <c r="N42" s="28"/>
      <c r="O42" s="26" t="s">
        <v>29</v>
      </c>
      <c r="P42" s="29"/>
      <c r="Q42" s="6"/>
      <c r="R42" s="29"/>
      <c r="S42" s="10"/>
      <c r="T42" s="8"/>
    </row>
    <row r="43" spans="1:20" ht="15.75" customHeight="1" x14ac:dyDescent="0.35">
      <c r="A43" s="25" t="s">
        <v>23</v>
      </c>
      <c r="B43" s="25" t="s">
        <v>57</v>
      </c>
      <c r="C43" s="26">
        <v>318812</v>
      </c>
      <c r="D43" s="25" t="s">
        <v>80</v>
      </c>
      <c r="E43" s="25" t="s">
        <v>59</v>
      </c>
      <c r="F43" s="26" t="s">
        <v>27</v>
      </c>
      <c r="G43" s="26" t="s">
        <v>27</v>
      </c>
      <c r="H43" s="26"/>
      <c r="I43" s="26"/>
      <c r="J43" s="26">
        <v>1</v>
      </c>
      <c r="K43" s="26">
        <v>138</v>
      </c>
      <c r="L43" s="26" t="s">
        <v>28</v>
      </c>
      <c r="M43" s="27">
        <v>656</v>
      </c>
      <c r="N43" s="28"/>
      <c r="O43" s="26" t="s">
        <v>29</v>
      </c>
      <c r="P43" s="29"/>
      <c r="Q43" s="6"/>
      <c r="R43" s="29"/>
      <c r="S43" s="10"/>
      <c r="T43" s="8"/>
    </row>
    <row r="44" spans="1:20" ht="15.75" customHeight="1" x14ac:dyDescent="0.35">
      <c r="A44" s="25" t="s">
        <v>23</v>
      </c>
      <c r="B44" s="25" t="s">
        <v>57</v>
      </c>
      <c r="C44" s="26">
        <v>318813</v>
      </c>
      <c r="D44" s="25" t="s">
        <v>81</v>
      </c>
      <c r="E44" s="25" t="s">
        <v>59</v>
      </c>
      <c r="F44" s="26" t="s">
        <v>27</v>
      </c>
      <c r="G44" s="26" t="s">
        <v>27</v>
      </c>
      <c r="H44" s="26"/>
      <c r="I44" s="26"/>
      <c r="J44" s="26">
        <v>1</v>
      </c>
      <c r="K44" s="26">
        <v>138</v>
      </c>
      <c r="L44" s="26" t="s">
        <v>28</v>
      </c>
      <c r="M44" s="27">
        <v>658</v>
      </c>
      <c r="N44" s="28"/>
      <c r="O44" s="26" t="s">
        <v>29</v>
      </c>
      <c r="P44" s="29"/>
      <c r="Q44" s="6"/>
      <c r="R44" s="29"/>
      <c r="S44" s="10"/>
      <c r="T44" s="8"/>
    </row>
    <row r="45" spans="1:20" ht="15.75" customHeight="1" x14ac:dyDescent="0.35">
      <c r="A45" s="25" t="s">
        <v>23</v>
      </c>
      <c r="B45" s="25" t="s">
        <v>82</v>
      </c>
      <c r="C45" s="26">
        <v>135408</v>
      </c>
      <c r="D45" s="25" t="s">
        <v>83</v>
      </c>
      <c r="E45" s="25" t="s">
        <v>84</v>
      </c>
      <c r="F45" s="26" t="s">
        <v>27</v>
      </c>
      <c r="G45" s="26" t="s">
        <v>27</v>
      </c>
      <c r="H45" s="26"/>
      <c r="I45" s="26"/>
      <c r="J45" s="26">
        <v>1</v>
      </c>
      <c r="K45" s="26">
        <v>138</v>
      </c>
      <c r="L45" s="26" t="s">
        <v>28</v>
      </c>
      <c r="M45" s="27">
        <v>673</v>
      </c>
      <c r="N45" s="28"/>
      <c r="O45" s="26" t="s">
        <v>29</v>
      </c>
      <c r="P45" s="29"/>
      <c r="Q45" s="6"/>
      <c r="R45" s="29"/>
      <c r="S45" s="10"/>
      <c r="T45" s="8"/>
    </row>
    <row r="46" spans="1:20" ht="15.75" customHeight="1" x14ac:dyDescent="0.35">
      <c r="A46" s="25" t="s">
        <v>23</v>
      </c>
      <c r="B46" s="25" t="s">
        <v>82</v>
      </c>
      <c r="C46" s="26">
        <v>135419</v>
      </c>
      <c r="D46" s="25" t="s">
        <v>85</v>
      </c>
      <c r="E46" s="25" t="s">
        <v>84</v>
      </c>
      <c r="F46" s="26" t="s">
        <v>27</v>
      </c>
      <c r="G46" s="26" t="s">
        <v>27</v>
      </c>
      <c r="H46" s="26"/>
      <c r="I46" s="26"/>
      <c r="J46" s="26">
        <v>1</v>
      </c>
      <c r="K46" s="26">
        <v>138</v>
      </c>
      <c r="L46" s="26" t="s">
        <v>28</v>
      </c>
      <c r="M46" s="27">
        <v>675</v>
      </c>
      <c r="N46" s="28"/>
      <c r="O46" s="26" t="s">
        <v>29</v>
      </c>
      <c r="P46" s="29"/>
      <c r="Q46" s="6"/>
      <c r="R46" s="29"/>
      <c r="S46" s="10"/>
      <c r="T46" s="8"/>
    </row>
    <row r="47" spans="1:20" ht="15.75" customHeight="1" x14ac:dyDescent="0.35">
      <c r="A47" s="25" t="s">
        <v>23</v>
      </c>
      <c r="B47" s="25" t="s">
        <v>82</v>
      </c>
      <c r="C47" s="26">
        <v>135421</v>
      </c>
      <c r="D47" s="25" t="s">
        <v>86</v>
      </c>
      <c r="E47" s="25" t="s">
        <v>84</v>
      </c>
      <c r="F47" s="26" t="s">
        <v>27</v>
      </c>
      <c r="G47" s="26" t="s">
        <v>27</v>
      </c>
      <c r="H47" s="26"/>
      <c r="I47" s="26"/>
      <c r="J47" s="26">
        <v>1</v>
      </c>
      <c r="K47" s="26">
        <v>138</v>
      </c>
      <c r="L47" s="26" t="s">
        <v>28</v>
      </c>
      <c r="M47" s="27">
        <v>678</v>
      </c>
      <c r="N47" s="28"/>
      <c r="O47" s="26" t="s">
        <v>29</v>
      </c>
      <c r="P47" s="29"/>
      <c r="Q47" s="6"/>
      <c r="R47" s="29"/>
      <c r="S47" s="10"/>
      <c r="T47" s="8"/>
    </row>
    <row r="48" spans="1:20" ht="15.75" customHeight="1" x14ac:dyDescent="0.35">
      <c r="A48" s="25" t="s">
        <v>23</v>
      </c>
      <c r="B48" s="25" t="s">
        <v>82</v>
      </c>
      <c r="C48" s="26">
        <v>135603</v>
      </c>
      <c r="D48" s="25" t="s">
        <v>87</v>
      </c>
      <c r="E48" s="25" t="s">
        <v>88</v>
      </c>
      <c r="F48" s="26" t="s">
        <v>27</v>
      </c>
      <c r="G48" s="26" t="s">
        <v>27</v>
      </c>
      <c r="H48" s="26"/>
      <c r="I48" s="26"/>
      <c r="J48" s="26">
        <v>1</v>
      </c>
      <c r="K48" s="26">
        <v>138</v>
      </c>
      <c r="L48" s="26" t="s">
        <v>28</v>
      </c>
      <c r="M48" s="27">
        <v>677</v>
      </c>
      <c r="N48" s="28"/>
      <c r="O48" s="26" t="s">
        <v>29</v>
      </c>
      <c r="P48" s="29"/>
      <c r="Q48" s="6"/>
      <c r="R48" s="29"/>
      <c r="S48" s="10"/>
      <c r="T48" s="8"/>
    </row>
    <row r="49" spans="1:20" ht="15.75" customHeight="1" x14ac:dyDescent="0.35">
      <c r="A49" s="25" t="s">
        <v>23</v>
      </c>
      <c r="B49" s="25" t="s">
        <v>82</v>
      </c>
      <c r="C49" s="26">
        <v>219502</v>
      </c>
      <c r="D49" s="25" t="s">
        <v>89</v>
      </c>
      <c r="E49" s="25" t="s">
        <v>84</v>
      </c>
      <c r="F49" s="26" t="s">
        <v>90</v>
      </c>
      <c r="G49" s="26" t="s">
        <v>90</v>
      </c>
      <c r="H49" s="26"/>
      <c r="I49" s="26"/>
      <c r="J49" s="26">
        <v>1</v>
      </c>
      <c r="K49" s="26">
        <v>138</v>
      </c>
      <c r="L49" s="26" t="s">
        <v>28</v>
      </c>
      <c r="M49" s="27">
        <v>672</v>
      </c>
      <c r="N49" s="28"/>
      <c r="O49" s="26" t="s">
        <v>29</v>
      </c>
      <c r="P49" s="29"/>
      <c r="Q49" s="6"/>
      <c r="R49" s="29"/>
      <c r="S49" s="10"/>
      <c r="T49" s="8"/>
    </row>
    <row r="50" spans="1:20" ht="15.75" customHeight="1" x14ac:dyDescent="0.35">
      <c r="A50" s="25" t="s">
        <v>23</v>
      </c>
      <c r="B50" s="25" t="s">
        <v>82</v>
      </c>
      <c r="C50" s="26">
        <v>219525</v>
      </c>
      <c r="D50" s="25" t="s">
        <v>91</v>
      </c>
      <c r="E50" s="25" t="s">
        <v>88</v>
      </c>
      <c r="F50" s="26" t="s">
        <v>27</v>
      </c>
      <c r="G50" s="26" t="s">
        <v>27</v>
      </c>
      <c r="H50" s="26"/>
      <c r="I50" s="26"/>
      <c r="J50" s="26">
        <v>1</v>
      </c>
      <c r="K50" s="26">
        <v>138</v>
      </c>
      <c r="L50" s="26" t="s">
        <v>28</v>
      </c>
      <c r="M50" s="27">
        <v>676</v>
      </c>
      <c r="N50" s="28"/>
      <c r="O50" s="26" t="s">
        <v>29</v>
      </c>
      <c r="P50" s="29"/>
      <c r="Q50" s="6"/>
      <c r="R50" s="29"/>
      <c r="S50" s="10"/>
      <c r="T50" s="8"/>
    </row>
    <row r="51" spans="1:20" ht="15.75" customHeight="1" x14ac:dyDescent="0.35">
      <c r="A51" s="25" t="s">
        <v>23</v>
      </c>
      <c r="B51" s="25" t="s">
        <v>82</v>
      </c>
      <c r="C51" s="26">
        <v>219529</v>
      </c>
      <c r="D51" s="25" t="s">
        <v>92</v>
      </c>
      <c r="E51" s="25" t="s">
        <v>84</v>
      </c>
      <c r="F51" s="26" t="s">
        <v>27</v>
      </c>
      <c r="G51" s="26" t="s">
        <v>27</v>
      </c>
      <c r="H51" s="26">
        <v>1</v>
      </c>
      <c r="I51" s="26">
        <v>2</v>
      </c>
      <c r="J51" s="26">
        <v>1</v>
      </c>
      <c r="K51" s="26">
        <v>138</v>
      </c>
      <c r="L51" s="26" t="s">
        <v>28</v>
      </c>
      <c r="M51" s="27">
        <v>674</v>
      </c>
      <c r="N51" s="28">
        <v>174192.98</v>
      </c>
      <c r="O51" s="26" t="s">
        <v>29</v>
      </c>
      <c r="P51" s="29"/>
      <c r="Q51" s="6"/>
      <c r="R51" s="29"/>
      <c r="S51" s="10"/>
      <c r="T51" s="8">
        <v>1</v>
      </c>
    </row>
    <row r="52" spans="1:20" ht="15.75" customHeight="1" x14ac:dyDescent="0.35">
      <c r="A52" s="25" t="s">
        <v>23</v>
      </c>
      <c r="B52" s="25" t="s">
        <v>93</v>
      </c>
      <c r="C52" s="26">
        <v>135750</v>
      </c>
      <c r="D52" s="25" t="s">
        <v>94</v>
      </c>
      <c r="E52" s="25" t="s">
        <v>95</v>
      </c>
      <c r="F52" s="26" t="s">
        <v>27</v>
      </c>
      <c r="G52" s="26" t="s">
        <v>27</v>
      </c>
      <c r="H52" s="26">
        <v>1</v>
      </c>
      <c r="I52" s="26">
        <v>2</v>
      </c>
      <c r="J52" s="26">
        <v>1</v>
      </c>
      <c r="K52" s="26">
        <v>138</v>
      </c>
      <c r="L52" s="26" t="s">
        <v>28</v>
      </c>
      <c r="M52" s="27">
        <v>682</v>
      </c>
      <c r="N52" s="30">
        <v>286085.36</v>
      </c>
      <c r="O52" s="26" t="s">
        <v>29</v>
      </c>
      <c r="P52" s="29"/>
      <c r="Q52" s="6"/>
      <c r="R52" s="29"/>
      <c r="S52" s="10"/>
      <c r="T52" s="8">
        <v>1</v>
      </c>
    </row>
    <row r="53" spans="1:20" ht="15.75" customHeight="1" x14ac:dyDescent="0.35">
      <c r="A53" s="25" t="s">
        <v>23</v>
      </c>
      <c r="B53" s="25" t="s">
        <v>93</v>
      </c>
      <c r="C53" s="26">
        <v>135752</v>
      </c>
      <c r="D53" s="25" t="s">
        <v>96</v>
      </c>
      <c r="E53" s="25" t="s">
        <v>95</v>
      </c>
      <c r="F53" s="26" t="s">
        <v>27</v>
      </c>
      <c r="G53" s="26" t="s">
        <v>27</v>
      </c>
      <c r="H53" s="26"/>
      <c r="I53" s="26"/>
      <c r="J53" s="26">
        <v>1</v>
      </c>
      <c r="K53" s="26">
        <v>138</v>
      </c>
      <c r="L53" s="26" t="s">
        <v>28</v>
      </c>
      <c r="M53" s="27">
        <v>683</v>
      </c>
      <c r="N53" s="28"/>
      <c r="O53" s="26" t="s">
        <v>29</v>
      </c>
      <c r="P53" s="29"/>
      <c r="Q53" s="6"/>
      <c r="R53" s="29"/>
      <c r="S53" s="10"/>
      <c r="T53" s="8"/>
    </row>
    <row r="54" spans="1:20" ht="15.75" customHeight="1" x14ac:dyDescent="0.35">
      <c r="A54" s="25" t="s">
        <v>23</v>
      </c>
      <c r="B54" s="25" t="s">
        <v>93</v>
      </c>
      <c r="C54" s="26">
        <v>135759</v>
      </c>
      <c r="D54" s="25" t="s">
        <v>97</v>
      </c>
      <c r="E54" s="25" t="s">
        <v>95</v>
      </c>
      <c r="F54" s="26" t="s">
        <v>27</v>
      </c>
      <c r="G54" s="26" t="s">
        <v>27</v>
      </c>
      <c r="H54" s="26">
        <v>1</v>
      </c>
      <c r="I54" s="26">
        <v>1</v>
      </c>
      <c r="J54" s="26">
        <v>1</v>
      </c>
      <c r="K54" s="26">
        <v>138</v>
      </c>
      <c r="L54" s="26" t="s">
        <v>28</v>
      </c>
      <c r="M54" s="27">
        <v>691</v>
      </c>
      <c r="N54" s="30">
        <v>234895.45</v>
      </c>
      <c r="O54" s="26" t="s">
        <v>29</v>
      </c>
      <c r="P54" s="29"/>
      <c r="Q54" s="6"/>
      <c r="R54" s="29"/>
      <c r="S54" s="10"/>
      <c r="T54" s="8">
        <v>1</v>
      </c>
    </row>
    <row r="55" spans="1:20" ht="15.75" customHeight="1" x14ac:dyDescent="0.35">
      <c r="A55" s="25" t="s">
        <v>23</v>
      </c>
      <c r="B55" s="25" t="s">
        <v>93</v>
      </c>
      <c r="C55" s="26">
        <v>135761</v>
      </c>
      <c r="D55" s="25" t="s">
        <v>98</v>
      </c>
      <c r="E55" s="25" t="s">
        <v>95</v>
      </c>
      <c r="F55" s="26" t="s">
        <v>27</v>
      </c>
      <c r="G55" s="26" t="s">
        <v>27</v>
      </c>
      <c r="H55" s="26">
        <v>1</v>
      </c>
      <c r="I55" s="26">
        <v>4</v>
      </c>
      <c r="J55" s="26">
        <v>1</v>
      </c>
      <c r="K55" s="26">
        <v>138</v>
      </c>
      <c r="L55" s="26" t="s">
        <v>28</v>
      </c>
      <c r="M55" s="27">
        <v>692</v>
      </c>
      <c r="N55" s="30">
        <v>434246.47</v>
      </c>
      <c r="O55" s="26" t="s">
        <v>29</v>
      </c>
      <c r="P55" s="29"/>
      <c r="Q55" s="6"/>
      <c r="R55" s="29"/>
      <c r="S55" s="10"/>
      <c r="T55" s="8">
        <v>1</v>
      </c>
    </row>
    <row r="56" spans="1:20" ht="15.75" customHeight="1" x14ac:dyDescent="0.35">
      <c r="A56" s="25" t="s">
        <v>23</v>
      </c>
      <c r="B56" s="25" t="s">
        <v>93</v>
      </c>
      <c r="C56" s="26">
        <v>135766</v>
      </c>
      <c r="D56" s="25" t="s">
        <v>99</v>
      </c>
      <c r="E56" s="25" t="s">
        <v>100</v>
      </c>
      <c r="F56" s="26" t="s">
        <v>27</v>
      </c>
      <c r="G56" s="26" t="s">
        <v>27</v>
      </c>
      <c r="H56" s="26">
        <v>1</v>
      </c>
      <c r="I56" s="26">
        <v>9</v>
      </c>
      <c r="J56" s="26">
        <v>1</v>
      </c>
      <c r="K56" s="26">
        <v>138</v>
      </c>
      <c r="L56" s="26" t="s">
        <v>28</v>
      </c>
      <c r="M56" s="27">
        <v>681</v>
      </c>
      <c r="N56" s="30">
        <v>802683.71</v>
      </c>
      <c r="O56" s="26" t="s">
        <v>29</v>
      </c>
      <c r="P56" s="29"/>
      <c r="Q56" s="6"/>
      <c r="R56" s="29"/>
      <c r="S56" s="10"/>
      <c r="T56" s="8">
        <v>1</v>
      </c>
    </row>
    <row r="57" spans="1:20" ht="15.75" customHeight="1" x14ac:dyDescent="0.35">
      <c r="A57" s="25" t="s">
        <v>23</v>
      </c>
      <c r="B57" s="25" t="s">
        <v>93</v>
      </c>
      <c r="C57" s="26">
        <v>135773</v>
      </c>
      <c r="D57" s="25" t="s">
        <v>101</v>
      </c>
      <c r="E57" s="25" t="s">
        <v>100</v>
      </c>
      <c r="F57" s="26" t="s">
        <v>27</v>
      </c>
      <c r="G57" s="26" t="s">
        <v>27</v>
      </c>
      <c r="H57" s="26">
        <v>1</v>
      </c>
      <c r="I57" s="26">
        <v>9</v>
      </c>
      <c r="J57" s="26">
        <v>1</v>
      </c>
      <c r="K57" s="26">
        <v>138</v>
      </c>
      <c r="L57" s="26" t="s">
        <v>28</v>
      </c>
      <c r="M57" s="27">
        <v>688</v>
      </c>
      <c r="N57" s="30">
        <v>835389.87</v>
      </c>
      <c r="O57" s="26" t="s">
        <v>29</v>
      </c>
      <c r="P57" s="29"/>
      <c r="Q57" s="6"/>
      <c r="R57" s="29"/>
      <c r="S57" s="10"/>
      <c r="T57" s="8">
        <v>1</v>
      </c>
    </row>
    <row r="58" spans="1:20" ht="15.75" customHeight="1" x14ac:dyDescent="0.35">
      <c r="A58" s="25" t="s">
        <v>23</v>
      </c>
      <c r="B58" s="25" t="s">
        <v>93</v>
      </c>
      <c r="C58" s="26">
        <v>135838</v>
      </c>
      <c r="D58" s="25" t="s">
        <v>102</v>
      </c>
      <c r="E58" s="25" t="s">
        <v>103</v>
      </c>
      <c r="F58" s="26" t="s">
        <v>27</v>
      </c>
      <c r="G58" s="26" t="s">
        <v>27</v>
      </c>
      <c r="H58" s="26">
        <v>1</v>
      </c>
      <c r="I58" s="26">
        <v>2</v>
      </c>
      <c r="J58" s="26">
        <v>1</v>
      </c>
      <c r="K58" s="26">
        <v>138</v>
      </c>
      <c r="L58" s="26" t="s">
        <v>28</v>
      </c>
      <c r="M58" s="27">
        <v>687</v>
      </c>
      <c r="N58" s="30">
        <v>311555.69</v>
      </c>
      <c r="O58" s="26" t="s">
        <v>29</v>
      </c>
      <c r="P58" s="29"/>
      <c r="Q58" s="6"/>
      <c r="R58" s="29"/>
      <c r="S58" s="10"/>
      <c r="T58" s="8">
        <v>1</v>
      </c>
    </row>
    <row r="59" spans="1:20" ht="15.75" customHeight="1" x14ac:dyDescent="0.35">
      <c r="A59" s="25" t="s">
        <v>23</v>
      </c>
      <c r="B59" s="25" t="s">
        <v>93</v>
      </c>
      <c r="C59" s="26">
        <v>135937</v>
      </c>
      <c r="D59" s="25" t="s">
        <v>104</v>
      </c>
      <c r="E59" s="25" t="s">
        <v>105</v>
      </c>
      <c r="F59" s="26" t="s">
        <v>27</v>
      </c>
      <c r="G59" s="26" t="s">
        <v>27</v>
      </c>
      <c r="H59" s="26">
        <v>1</v>
      </c>
      <c r="I59" s="26">
        <v>1</v>
      </c>
      <c r="J59" s="26">
        <v>1</v>
      </c>
      <c r="K59" s="26">
        <v>138</v>
      </c>
      <c r="L59" s="26" t="s">
        <v>28</v>
      </c>
      <c r="M59" s="27">
        <v>690</v>
      </c>
      <c r="N59" s="30">
        <v>245847.67</v>
      </c>
      <c r="O59" s="26" t="s">
        <v>29</v>
      </c>
      <c r="P59" s="29"/>
      <c r="Q59" s="6"/>
      <c r="R59" s="29"/>
      <c r="S59" s="10"/>
      <c r="T59" s="8">
        <v>1</v>
      </c>
    </row>
    <row r="60" spans="1:20" ht="15.75" customHeight="1" x14ac:dyDescent="0.35">
      <c r="A60" s="25" t="s">
        <v>23</v>
      </c>
      <c r="B60" s="25" t="s">
        <v>93</v>
      </c>
      <c r="C60" s="26">
        <v>220006</v>
      </c>
      <c r="D60" s="25" t="s">
        <v>106</v>
      </c>
      <c r="E60" s="25" t="s">
        <v>107</v>
      </c>
      <c r="F60" s="26" t="s">
        <v>27</v>
      </c>
      <c r="G60" s="26" t="s">
        <v>27</v>
      </c>
      <c r="H60" s="26"/>
      <c r="I60" s="26"/>
      <c r="J60" s="26">
        <v>1</v>
      </c>
      <c r="K60" s="26">
        <v>138</v>
      </c>
      <c r="L60" s="26" t="s">
        <v>28</v>
      </c>
      <c r="M60" s="27">
        <v>679</v>
      </c>
      <c r="N60" s="28"/>
      <c r="O60" s="26" t="s">
        <v>29</v>
      </c>
      <c r="P60" s="29"/>
      <c r="Q60" s="6"/>
      <c r="R60" s="29"/>
      <c r="S60" s="10"/>
      <c r="T60" s="8"/>
    </row>
    <row r="61" spans="1:20" ht="15.75" customHeight="1" x14ac:dyDescent="0.35">
      <c r="A61" s="25" t="s">
        <v>23</v>
      </c>
      <c r="B61" s="25" t="s">
        <v>93</v>
      </c>
      <c r="C61" s="26">
        <v>220011</v>
      </c>
      <c r="D61" s="25" t="s">
        <v>108</v>
      </c>
      <c r="E61" s="25" t="s">
        <v>100</v>
      </c>
      <c r="F61" s="26" t="s">
        <v>27</v>
      </c>
      <c r="G61" s="26" t="s">
        <v>27</v>
      </c>
      <c r="H61" s="26">
        <v>1</v>
      </c>
      <c r="I61" s="26">
        <v>3</v>
      </c>
      <c r="J61" s="26">
        <v>1</v>
      </c>
      <c r="K61" s="26">
        <v>138</v>
      </c>
      <c r="L61" s="26" t="s">
        <v>28</v>
      </c>
      <c r="M61" s="27">
        <v>689</v>
      </c>
      <c r="N61" s="30">
        <v>401332.26</v>
      </c>
      <c r="O61" s="26" t="s">
        <v>29</v>
      </c>
      <c r="P61" s="29"/>
      <c r="Q61" s="6"/>
      <c r="R61" s="29"/>
      <c r="S61" s="10"/>
      <c r="T61" s="8">
        <v>1</v>
      </c>
    </row>
    <row r="62" spans="1:20" ht="15.75" customHeight="1" x14ac:dyDescent="0.35">
      <c r="A62" s="25" t="s">
        <v>23</v>
      </c>
      <c r="B62" s="25" t="s">
        <v>93</v>
      </c>
      <c r="C62" s="26">
        <v>220012</v>
      </c>
      <c r="D62" s="25" t="s">
        <v>109</v>
      </c>
      <c r="E62" s="25" t="s">
        <v>95</v>
      </c>
      <c r="F62" s="26" t="s">
        <v>27</v>
      </c>
      <c r="G62" s="26" t="s">
        <v>27</v>
      </c>
      <c r="H62" s="26"/>
      <c r="I62" s="26"/>
      <c r="J62" s="26">
        <v>1</v>
      </c>
      <c r="K62" s="26">
        <v>138</v>
      </c>
      <c r="L62" s="26" t="s">
        <v>28</v>
      </c>
      <c r="M62" s="27">
        <v>686</v>
      </c>
      <c r="N62" s="28"/>
      <c r="O62" s="26" t="s">
        <v>29</v>
      </c>
      <c r="P62" s="29"/>
      <c r="Q62" s="6"/>
      <c r="R62" s="29"/>
      <c r="S62" s="10"/>
      <c r="T62" s="8"/>
    </row>
    <row r="63" spans="1:20" ht="15.75" customHeight="1" x14ac:dyDescent="0.35">
      <c r="A63" s="25" t="s">
        <v>23</v>
      </c>
      <c r="B63" s="25" t="s">
        <v>93</v>
      </c>
      <c r="C63" s="26">
        <v>305176</v>
      </c>
      <c r="D63" s="25" t="s">
        <v>110</v>
      </c>
      <c r="E63" s="25" t="s">
        <v>111</v>
      </c>
      <c r="F63" s="26" t="s">
        <v>27</v>
      </c>
      <c r="G63" s="26" t="s">
        <v>27</v>
      </c>
      <c r="H63" s="26">
        <v>1</v>
      </c>
      <c r="I63" s="26">
        <v>12</v>
      </c>
      <c r="J63" s="26">
        <v>1</v>
      </c>
      <c r="K63" s="26">
        <v>138</v>
      </c>
      <c r="L63" s="26" t="s">
        <v>28</v>
      </c>
      <c r="M63" s="27">
        <v>684</v>
      </c>
      <c r="N63" s="30">
        <v>925056.37</v>
      </c>
      <c r="O63" s="26" t="s">
        <v>29</v>
      </c>
      <c r="P63" s="29"/>
      <c r="Q63" s="6"/>
      <c r="R63" s="29"/>
      <c r="S63" s="10"/>
      <c r="T63" s="8">
        <v>1</v>
      </c>
    </row>
    <row r="64" spans="1:20" ht="15.75" customHeight="1" x14ac:dyDescent="0.35">
      <c r="A64" s="25" t="s">
        <v>23</v>
      </c>
      <c r="B64" s="25" t="s">
        <v>93</v>
      </c>
      <c r="C64" s="26">
        <v>305177</v>
      </c>
      <c r="D64" s="25" t="s">
        <v>112</v>
      </c>
      <c r="E64" s="25" t="s">
        <v>111</v>
      </c>
      <c r="F64" s="26" t="s">
        <v>27</v>
      </c>
      <c r="G64" s="26" t="s">
        <v>27</v>
      </c>
      <c r="H64" s="26">
        <v>1</v>
      </c>
      <c r="I64" s="26">
        <v>11</v>
      </c>
      <c r="J64" s="26">
        <v>1</v>
      </c>
      <c r="K64" s="26">
        <v>138</v>
      </c>
      <c r="L64" s="26" t="s">
        <v>28</v>
      </c>
      <c r="M64" s="27">
        <v>685</v>
      </c>
      <c r="N64" s="30">
        <v>940908.33</v>
      </c>
      <c r="O64" s="26" t="s">
        <v>29</v>
      </c>
      <c r="P64" s="29"/>
      <c r="Q64" s="6"/>
      <c r="R64" s="29"/>
      <c r="S64" s="10"/>
      <c r="T64" s="8">
        <v>1</v>
      </c>
    </row>
    <row r="65" spans="1:20" ht="15.75" customHeight="1" x14ac:dyDescent="0.35">
      <c r="A65" s="25" t="s">
        <v>23</v>
      </c>
      <c r="B65" s="25" t="s">
        <v>93</v>
      </c>
      <c r="C65" s="26">
        <v>319006</v>
      </c>
      <c r="D65" s="25" t="s">
        <v>113</v>
      </c>
      <c r="E65" s="25" t="s">
        <v>114</v>
      </c>
      <c r="F65" s="26" t="s">
        <v>27</v>
      </c>
      <c r="G65" s="26" t="s">
        <v>27</v>
      </c>
      <c r="H65" s="26">
        <v>1</v>
      </c>
      <c r="I65" s="26">
        <v>6</v>
      </c>
      <c r="J65" s="26">
        <v>1</v>
      </c>
      <c r="K65" s="26">
        <v>138</v>
      </c>
      <c r="L65" s="26" t="s">
        <v>28</v>
      </c>
      <c r="M65" s="27">
        <v>680</v>
      </c>
      <c r="N65" s="30">
        <v>537965.06000000006</v>
      </c>
      <c r="O65" s="26" t="s">
        <v>29</v>
      </c>
      <c r="P65" s="29"/>
      <c r="Q65" s="6"/>
      <c r="R65" s="29"/>
      <c r="S65" s="10"/>
      <c r="T65" s="8">
        <v>1</v>
      </c>
    </row>
    <row r="66" spans="1:20" ht="15.75" customHeight="1" x14ac:dyDescent="0.35">
      <c r="A66" s="25" t="s">
        <v>23</v>
      </c>
      <c r="B66" s="25" t="s">
        <v>115</v>
      </c>
      <c r="C66" s="26">
        <v>135965</v>
      </c>
      <c r="D66" s="25" t="s">
        <v>116</v>
      </c>
      <c r="E66" s="25" t="s">
        <v>117</v>
      </c>
      <c r="F66" s="26" t="s">
        <v>27</v>
      </c>
      <c r="G66" s="26" t="s">
        <v>27</v>
      </c>
      <c r="H66" s="26">
        <v>1</v>
      </c>
      <c r="I66" s="26">
        <v>1</v>
      </c>
      <c r="J66" s="26">
        <v>1</v>
      </c>
      <c r="K66" s="26">
        <v>138</v>
      </c>
      <c r="L66" s="26" t="s">
        <v>28</v>
      </c>
      <c r="M66" s="27">
        <v>701</v>
      </c>
      <c r="N66" s="28">
        <v>231941.93</v>
      </c>
      <c r="O66" s="26" t="s">
        <v>29</v>
      </c>
      <c r="P66" s="29"/>
      <c r="Q66" s="6"/>
      <c r="R66" s="29"/>
      <c r="S66" s="10"/>
      <c r="T66" s="8">
        <v>1</v>
      </c>
    </row>
    <row r="67" spans="1:20" ht="15.75" customHeight="1" x14ac:dyDescent="0.35">
      <c r="A67" s="25" t="s">
        <v>23</v>
      </c>
      <c r="B67" s="25" t="s">
        <v>115</v>
      </c>
      <c r="C67" s="26">
        <v>135966</v>
      </c>
      <c r="D67" s="25" t="s">
        <v>118</v>
      </c>
      <c r="E67" s="25" t="s">
        <v>117</v>
      </c>
      <c r="F67" s="26" t="s">
        <v>27</v>
      </c>
      <c r="G67" s="26" t="s">
        <v>27</v>
      </c>
      <c r="H67" s="26">
        <v>1</v>
      </c>
      <c r="I67" s="26">
        <v>2</v>
      </c>
      <c r="J67" s="26">
        <v>1</v>
      </c>
      <c r="K67" s="26">
        <v>138</v>
      </c>
      <c r="L67" s="26" t="s">
        <v>28</v>
      </c>
      <c r="M67" s="27">
        <v>703</v>
      </c>
      <c r="N67" s="28">
        <v>680800.49</v>
      </c>
      <c r="O67" s="26" t="s">
        <v>29</v>
      </c>
      <c r="P67" s="29"/>
      <c r="Q67" s="6"/>
      <c r="R67" s="29"/>
      <c r="S67" s="10"/>
      <c r="T67" s="8">
        <v>1</v>
      </c>
    </row>
    <row r="68" spans="1:20" ht="15.75" customHeight="1" x14ac:dyDescent="0.35">
      <c r="A68" s="25" t="s">
        <v>23</v>
      </c>
      <c r="B68" s="25" t="s">
        <v>115</v>
      </c>
      <c r="C68" s="26">
        <v>135968</v>
      </c>
      <c r="D68" s="25" t="s">
        <v>119</v>
      </c>
      <c r="E68" s="25" t="s">
        <v>117</v>
      </c>
      <c r="F68" s="26" t="s">
        <v>27</v>
      </c>
      <c r="G68" s="26" t="s">
        <v>27</v>
      </c>
      <c r="H68" s="26">
        <v>1</v>
      </c>
      <c r="I68" s="26">
        <v>1</v>
      </c>
      <c r="J68" s="26">
        <v>1</v>
      </c>
      <c r="K68" s="26">
        <v>138</v>
      </c>
      <c r="L68" s="26" t="s">
        <v>28</v>
      </c>
      <c r="M68" s="27">
        <v>705</v>
      </c>
      <c r="N68" s="28">
        <v>351309.51</v>
      </c>
      <c r="O68" s="26" t="s">
        <v>29</v>
      </c>
      <c r="P68" s="29"/>
      <c r="Q68" s="6"/>
      <c r="R68" s="29"/>
      <c r="S68" s="10"/>
      <c r="T68" s="8">
        <v>1</v>
      </c>
    </row>
    <row r="69" spans="1:20" ht="15.75" customHeight="1" x14ac:dyDescent="0.35">
      <c r="A69" s="25" t="s">
        <v>23</v>
      </c>
      <c r="B69" s="25" t="s">
        <v>115</v>
      </c>
      <c r="C69" s="26">
        <v>135969</v>
      </c>
      <c r="D69" s="25" t="s">
        <v>120</v>
      </c>
      <c r="E69" s="25" t="s">
        <v>117</v>
      </c>
      <c r="F69" s="26" t="s">
        <v>27</v>
      </c>
      <c r="G69" s="26" t="s">
        <v>27</v>
      </c>
      <c r="H69" s="26">
        <v>1</v>
      </c>
      <c r="I69" s="26">
        <v>3</v>
      </c>
      <c r="J69" s="26">
        <v>1</v>
      </c>
      <c r="K69" s="26">
        <v>138</v>
      </c>
      <c r="L69" s="26" t="s">
        <v>28</v>
      </c>
      <c r="M69" s="27">
        <v>706</v>
      </c>
      <c r="N69" s="28">
        <v>483534.77</v>
      </c>
      <c r="O69" s="26" t="s">
        <v>29</v>
      </c>
      <c r="P69" s="29"/>
      <c r="Q69" s="6"/>
      <c r="R69" s="29"/>
      <c r="S69" s="10"/>
      <c r="T69" s="8">
        <v>1</v>
      </c>
    </row>
    <row r="70" spans="1:20" ht="15.75" customHeight="1" x14ac:dyDescent="0.35">
      <c r="A70" s="25" t="s">
        <v>23</v>
      </c>
      <c r="B70" s="25" t="s">
        <v>115</v>
      </c>
      <c r="C70" s="26">
        <v>135970</v>
      </c>
      <c r="D70" s="25" t="s">
        <v>121</v>
      </c>
      <c r="E70" s="25" t="s">
        <v>117</v>
      </c>
      <c r="F70" s="26" t="s">
        <v>27</v>
      </c>
      <c r="G70" s="26" t="s">
        <v>27</v>
      </c>
      <c r="H70" s="26">
        <v>1</v>
      </c>
      <c r="I70" s="26">
        <v>1</v>
      </c>
      <c r="J70" s="26">
        <v>1</v>
      </c>
      <c r="K70" s="26">
        <v>138</v>
      </c>
      <c r="L70" s="26" t="s">
        <v>28</v>
      </c>
      <c r="M70" s="27">
        <v>709</v>
      </c>
      <c r="N70" s="28">
        <v>92771.34</v>
      </c>
      <c r="O70" s="26" t="s">
        <v>29</v>
      </c>
      <c r="P70" s="29"/>
      <c r="Q70" s="6"/>
      <c r="R70" s="29"/>
      <c r="S70" s="10"/>
      <c r="T70" s="8">
        <v>1</v>
      </c>
    </row>
    <row r="71" spans="1:20" ht="15.75" customHeight="1" x14ac:dyDescent="0.35">
      <c r="A71" s="25" t="s">
        <v>23</v>
      </c>
      <c r="B71" s="25" t="s">
        <v>115</v>
      </c>
      <c r="C71" s="26">
        <v>135975</v>
      </c>
      <c r="D71" s="25" t="s">
        <v>122</v>
      </c>
      <c r="E71" s="25" t="s">
        <v>117</v>
      </c>
      <c r="F71" s="26" t="s">
        <v>27</v>
      </c>
      <c r="G71" s="26" t="s">
        <v>27</v>
      </c>
      <c r="H71" s="26">
        <v>1</v>
      </c>
      <c r="I71" s="26">
        <v>4</v>
      </c>
      <c r="J71" s="26">
        <v>1</v>
      </c>
      <c r="K71" s="26">
        <v>138</v>
      </c>
      <c r="L71" s="26" t="s">
        <v>28</v>
      </c>
      <c r="M71" s="27">
        <v>721</v>
      </c>
      <c r="N71" s="28">
        <v>480823.46</v>
      </c>
      <c r="O71" s="26" t="s">
        <v>29</v>
      </c>
      <c r="P71" s="29"/>
      <c r="Q71" s="6"/>
      <c r="R71" s="29"/>
      <c r="S71" s="10"/>
      <c r="T71" s="8">
        <v>1</v>
      </c>
    </row>
    <row r="72" spans="1:20" ht="15.75" customHeight="1" x14ac:dyDescent="0.35">
      <c r="A72" s="25" t="s">
        <v>23</v>
      </c>
      <c r="B72" s="25" t="s">
        <v>115</v>
      </c>
      <c r="C72" s="26">
        <v>135977</v>
      </c>
      <c r="D72" s="25" t="s">
        <v>123</v>
      </c>
      <c r="E72" s="25" t="s">
        <v>117</v>
      </c>
      <c r="F72" s="26" t="s">
        <v>27</v>
      </c>
      <c r="G72" s="26" t="s">
        <v>27</v>
      </c>
      <c r="H72" s="26">
        <v>1</v>
      </c>
      <c r="I72" s="26">
        <v>6</v>
      </c>
      <c r="J72" s="26">
        <v>1</v>
      </c>
      <c r="K72" s="26">
        <v>138</v>
      </c>
      <c r="L72" s="26" t="s">
        <v>28</v>
      </c>
      <c r="M72" s="27">
        <v>725</v>
      </c>
      <c r="N72" s="28">
        <v>445017.81</v>
      </c>
      <c r="O72" s="26" t="s">
        <v>29</v>
      </c>
      <c r="P72" s="29"/>
      <c r="Q72" s="6"/>
      <c r="R72" s="29"/>
      <c r="S72" s="10"/>
      <c r="T72" s="8">
        <v>1</v>
      </c>
    </row>
    <row r="73" spans="1:20" ht="15.75" customHeight="1" x14ac:dyDescent="0.35">
      <c r="A73" s="25" t="s">
        <v>23</v>
      </c>
      <c r="B73" s="25" t="s">
        <v>115</v>
      </c>
      <c r="C73" s="26">
        <v>135985</v>
      </c>
      <c r="D73" s="25" t="s">
        <v>124</v>
      </c>
      <c r="E73" s="25" t="s">
        <v>117</v>
      </c>
      <c r="F73" s="26" t="s">
        <v>27</v>
      </c>
      <c r="G73" s="26" t="s">
        <v>27</v>
      </c>
      <c r="H73" s="26">
        <v>1</v>
      </c>
      <c r="I73" s="26">
        <v>6</v>
      </c>
      <c r="J73" s="26">
        <v>1</v>
      </c>
      <c r="K73" s="26">
        <v>138</v>
      </c>
      <c r="L73" s="26" t="s">
        <v>28</v>
      </c>
      <c r="M73" s="27">
        <v>743</v>
      </c>
      <c r="N73" s="28">
        <v>600152.85</v>
      </c>
      <c r="O73" s="26" t="s">
        <v>29</v>
      </c>
      <c r="P73" s="29"/>
      <c r="Q73" s="6"/>
      <c r="R73" s="29"/>
      <c r="S73" s="10"/>
      <c r="T73" s="8">
        <v>1</v>
      </c>
    </row>
    <row r="74" spans="1:20" ht="15.75" customHeight="1" x14ac:dyDescent="0.35">
      <c r="A74" s="25" t="s">
        <v>23</v>
      </c>
      <c r="B74" s="25" t="s">
        <v>115</v>
      </c>
      <c r="C74" s="26">
        <v>135986</v>
      </c>
      <c r="D74" s="25" t="s">
        <v>125</v>
      </c>
      <c r="E74" s="25" t="s">
        <v>117</v>
      </c>
      <c r="F74" s="26" t="s">
        <v>27</v>
      </c>
      <c r="G74" s="26" t="s">
        <v>27</v>
      </c>
      <c r="H74" s="26">
        <v>1</v>
      </c>
      <c r="I74" s="26">
        <v>3</v>
      </c>
      <c r="J74" s="26">
        <v>1</v>
      </c>
      <c r="K74" s="26">
        <v>138</v>
      </c>
      <c r="L74" s="26" t="s">
        <v>28</v>
      </c>
      <c r="M74" s="27">
        <v>745</v>
      </c>
      <c r="N74" s="28">
        <v>477185.26</v>
      </c>
      <c r="O74" s="26" t="s">
        <v>29</v>
      </c>
      <c r="P74" s="29"/>
      <c r="Q74" s="6"/>
      <c r="R74" s="29"/>
      <c r="S74" s="10"/>
      <c r="T74" s="8">
        <v>1</v>
      </c>
    </row>
    <row r="75" spans="1:20" ht="15.75" customHeight="1" x14ac:dyDescent="0.35">
      <c r="A75" s="25" t="s">
        <v>23</v>
      </c>
      <c r="B75" s="25" t="s">
        <v>115</v>
      </c>
      <c r="C75" s="26">
        <v>135988</v>
      </c>
      <c r="D75" s="25" t="s">
        <v>126</v>
      </c>
      <c r="E75" s="25" t="s">
        <v>127</v>
      </c>
      <c r="F75" s="26" t="s">
        <v>27</v>
      </c>
      <c r="G75" s="26" t="s">
        <v>27</v>
      </c>
      <c r="H75" s="26">
        <v>1</v>
      </c>
      <c r="I75" s="26">
        <v>1</v>
      </c>
      <c r="J75" s="26">
        <v>1</v>
      </c>
      <c r="K75" s="26">
        <v>138</v>
      </c>
      <c r="L75" s="26" t="s">
        <v>28</v>
      </c>
      <c r="M75" s="27">
        <v>717</v>
      </c>
      <c r="N75" s="28">
        <v>92038.13</v>
      </c>
      <c r="O75" s="26" t="s">
        <v>29</v>
      </c>
      <c r="P75" s="29"/>
      <c r="Q75" s="6"/>
      <c r="R75" s="29"/>
      <c r="S75" s="10"/>
      <c r="T75" s="8">
        <v>1</v>
      </c>
    </row>
    <row r="76" spans="1:20" ht="15.75" customHeight="1" x14ac:dyDescent="0.35">
      <c r="A76" s="25" t="s">
        <v>23</v>
      </c>
      <c r="B76" s="25" t="s">
        <v>115</v>
      </c>
      <c r="C76" s="26">
        <v>135990</v>
      </c>
      <c r="D76" s="25" t="s">
        <v>128</v>
      </c>
      <c r="E76" s="25" t="s">
        <v>127</v>
      </c>
      <c r="F76" s="26" t="s">
        <v>27</v>
      </c>
      <c r="G76" s="26" t="s">
        <v>27</v>
      </c>
      <c r="H76" s="26">
        <v>1</v>
      </c>
      <c r="I76" s="26">
        <v>1</v>
      </c>
      <c r="J76" s="26">
        <v>1</v>
      </c>
      <c r="K76" s="26">
        <v>138</v>
      </c>
      <c r="L76" s="26" t="s">
        <v>28</v>
      </c>
      <c r="M76" s="27">
        <v>719</v>
      </c>
      <c r="N76" s="28">
        <v>145589.59</v>
      </c>
      <c r="O76" s="26" t="s">
        <v>29</v>
      </c>
      <c r="P76" s="29"/>
      <c r="Q76" s="6"/>
      <c r="R76" s="29"/>
      <c r="S76" s="10"/>
      <c r="T76" s="8">
        <v>1</v>
      </c>
    </row>
    <row r="77" spans="1:20" ht="15.75" customHeight="1" x14ac:dyDescent="0.35">
      <c r="A77" s="25" t="s">
        <v>23</v>
      </c>
      <c r="B77" s="25" t="s">
        <v>115</v>
      </c>
      <c r="C77" s="26">
        <v>135991</v>
      </c>
      <c r="D77" s="25" t="s">
        <v>129</v>
      </c>
      <c r="E77" s="25" t="s">
        <v>127</v>
      </c>
      <c r="F77" s="26" t="s">
        <v>27</v>
      </c>
      <c r="G77" s="26" t="s">
        <v>27</v>
      </c>
      <c r="H77" s="26">
        <v>1</v>
      </c>
      <c r="I77" s="26">
        <v>1</v>
      </c>
      <c r="J77" s="26">
        <v>1</v>
      </c>
      <c r="K77" s="26">
        <v>138</v>
      </c>
      <c r="L77" s="26" t="s">
        <v>28</v>
      </c>
      <c r="M77" s="27">
        <v>722</v>
      </c>
      <c r="N77" s="28">
        <v>60030.07</v>
      </c>
      <c r="O77" s="26" t="s">
        <v>29</v>
      </c>
      <c r="P77" s="29"/>
      <c r="Q77" s="6"/>
      <c r="R77" s="29"/>
      <c r="S77" s="10"/>
      <c r="T77" s="8">
        <v>1</v>
      </c>
    </row>
    <row r="78" spans="1:20" ht="15.75" customHeight="1" x14ac:dyDescent="0.35">
      <c r="A78" s="25" t="s">
        <v>23</v>
      </c>
      <c r="B78" s="25" t="s">
        <v>115</v>
      </c>
      <c r="C78" s="26">
        <v>135995</v>
      </c>
      <c r="D78" s="25" t="s">
        <v>130</v>
      </c>
      <c r="E78" s="25" t="s">
        <v>127</v>
      </c>
      <c r="F78" s="26" t="s">
        <v>27</v>
      </c>
      <c r="G78" s="26" t="s">
        <v>27</v>
      </c>
      <c r="H78" s="26"/>
      <c r="I78" s="26"/>
      <c r="J78" s="26">
        <v>1</v>
      </c>
      <c r="K78" s="26">
        <v>138</v>
      </c>
      <c r="L78" s="26" t="s">
        <v>28</v>
      </c>
      <c r="M78" s="27">
        <v>731</v>
      </c>
      <c r="N78" s="28"/>
      <c r="O78" s="26" t="s">
        <v>29</v>
      </c>
      <c r="P78" s="29"/>
      <c r="Q78" s="6"/>
      <c r="R78" s="29"/>
      <c r="S78" s="10"/>
      <c r="T78" s="8"/>
    </row>
    <row r="79" spans="1:20" ht="15.75" customHeight="1" x14ac:dyDescent="0.35">
      <c r="A79" s="25" t="s">
        <v>23</v>
      </c>
      <c r="B79" s="25" t="s">
        <v>115</v>
      </c>
      <c r="C79" s="26">
        <v>136020</v>
      </c>
      <c r="D79" s="25" t="s">
        <v>131</v>
      </c>
      <c r="E79" s="25" t="s">
        <v>132</v>
      </c>
      <c r="F79" s="26" t="s">
        <v>27</v>
      </c>
      <c r="G79" s="26" t="s">
        <v>27</v>
      </c>
      <c r="H79" s="26">
        <v>1</v>
      </c>
      <c r="I79" s="26">
        <v>1</v>
      </c>
      <c r="J79" s="26">
        <v>1</v>
      </c>
      <c r="K79" s="26">
        <v>138</v>
      </c>
      <c r="L79" s="26" t="s">
        <v>28</v>
      </c>
      <c r="M79" s="27">
        <v>714</v>
      </c>
      <c r="N79" s="28">
        <v>90008.33</v>
      </c>
      <c r="O79" s="26" t="s">
        <v>29</v>
      </c>
      <c r="P79" s="29"/>
      <c r="Q79" s="6"/>
      <c r="R79" s="29"/>
      <c r="S79" s="10"/>
      <c r="T79" s="8">
        <v>1</v>
      </c>
    </row>
    <row r="80" spans="1:20" ht="15.75" customHeight="1" x14ac:dyDescent="0.35">
      <c r="A80" s="25" t="s">
        <v>23</v>
      </c>
      <c r="B80" s="25" t="s">
        <v>115</v>
      </c>
      <c r="C80" s="26">
        <v>136021</v>
      </c>
      <c r="D80" s="25" t="s">
        <v>133</v>
      </c>
      <c r="E80" s="25" t="s">
        <v>132</v>
      </c>
      <c r="F80" s="26" t="s">
        <v>27</v>
      </c>
      <c r="G80" s="26" t="s">
        <v>27</v>
      </c>
      <c r="H80" s="26">
        <v>1</v>
      </c>
      <c r="I80" s="26">
        <v>1</v>
      </c>
      <c r="J80" s="26">
        <v>1</v>
      </c>
      <c r="K80" s="26">
        <v>138</v>
      </c>
      <c r="L80" s="26" t="s">
        <v>28</v>
      </c>
      <c r="M80" s="27">
        <v>715</v>
      </c>
      <c r="N80" s="28">
        <v>75019.41</v>
      </c>
      <c r="O80" s="26" t="s">
        <v>29</v>
      </c>
      <c r="P80" s="29"/>
      <c r="Q80" s="6"/>
      <c r="R80" s="29"/>
      <c r="S80" s="10"/>
      <c r="T80" s="8">
        <v>1</v>
      </c>
    </row>
    <row r="81" spans="1:20" ht="15.75" customHeight="1" x14ac:dyDescent="0.35">
      <c r="A81" s="25" t="s">
        <v>23</v>
      </c>
      <c r="B81" s="25" t="s">
        <v>115</v>
      </c>
      <c r="C81" s="26">
        <v>136036</v>
      </c>
      <c r="D81" s="25" t="s">
        <v>134</v>
      </c>
      <c r="E81" s="25" t="s">
        <v>135</v>
      </c>
      <c r="F81" s="26" t="s">
        <v>27</v>
      </c>
      <c r="G81" s="26" t="s">
        <v>27</v>
      </c>
      <c r="H81" s="26">
        <v>1</v>
      </c>
      <c r="I81" s="26">
        <v>1</v>
      </c>
      <c r="J81" s="26">
        <v>1</v>
      </c>
      <c r="K81" s="26">
        <v>138</v>
      </c>
      <c r="L81" s="26" t="s">
        <v>28</v>
      </c>
      <c r="M81" s="27">
        <v>699</v>
      </c>
      <c r="N81" s="28">
        <v>115317.67</v>
      </c>
      <c r="O81" s="26" t="s">
        <v>29</v>
      </c>
      <c r="P81" s="29"/>
      <c r="Q81" s="6"/>
      <c r="R81" s="29"/>
      <c r="S81" s="10"/>
      <c r="T81" s="8">
        <v>1</v>
      </c>
    </row>
    <row r="82" spans="1:20" ht="15.75" customHeight="1" x14ac:dyDescent="0.35">
      <c r="A82" s="25" t="s">
        <v>23</v>
      </c>
      <c r="B82" s="25" t="s">
        <v>115</v>
      </c>
      <c r="C82" s="26">
        <v>136037</v>
      </c>
      <c r="D82" s="25" t="s">
        <v>136</v>
      </c>
      <c r="E82" s="25" t="s">
        <v>135</v>
      </c>
      <c r="F82" s="26" t="s">
        <v>27</v>
      </c>
      <c r="G82" s="26" t="s">
        <v>27</v>
      </c>
      <c r="H82" s="26">
        <v>1</v>
      </c>
      <c r="I82" s="26">
        <v>2</v>
      </c>
      <c r="J82" s="26">
        <v>1</v>
      </c>
      <c r="K82" s="26">
        <v>138</v>
      </c>
      <c r="L82" s="26" t="s">
        <v>28</v>
      </c>
      <c r="M82" s="27">
        <v>704</v>
      </c>
      <c r="N82" s="28">
        <v>680998.83</v>
      </c>
      <c r="O82" s="26" t="s">
        <v>29</v>
      </c>
      <c r="P82" s="29"/>
      <c r="Q82" s="6"/>
      <c r="R82" s="29"/>
      <c r="S82" s="10"/>
      <c r="T82" s="8">
        <v>1</v>
      </c>
    </row>
    <row r="83" spans="1:20" ht="15.75" customHeight="1" x14ac:dyDescent="0.35">
      <c r="A83" s="25" t="s">
        <v>23</v>
      </c>
      <c r="B83" s="25" t="s">
        <v>115</v>
      </c>
      <c r="C83" s="26">
        <v>136051</v>
      </c>
      <c r="D83" s="25" t="s">
        <v>137</v>
      </c>
      <c r="E83" s="25" t="s">
        <v>135</v>
      </c>
      <c r="F83" s="26" t="s">
        <v>27</v>
      </c>
      <c r="G83" s="26" t="s">
        <v>27</v>
      </c>
      <c r="H83" s="26">
        <v>1</v>
      </c>
      <c r="I83" s="26">
        <v>2</v>
      </c>
      <c r="J83" s="26">
        <v>1</v>
      </c>
      <c r="K83" s="26">
        <v>138</v>
      </c>
      <c r="L83" s="26" t="s">
        <v>28</v>
      </c>
      <c r="M83" s="27">
        <v>723</v>
      </c>
      <c r="N83" s="28">
        <v>140168.49</v>
      </c>
      <c r="O83" s="26" t="s">
        <v>29</v>
      </c>
      <c r="P83" s="29"/>
      <c r="Q83" s="6"/>
      <c r="R83" s="29"/>
      <c r="S83" s="10"/>
      <c r="T83" s="8">
        <v>1</v>
      </c>
    </row>
    <row r="84" spans="1:20" ht="15.75" customHeight="1" x14ac:dyDescent="0.35">
      <c r="A84" s="25" t="s">
        <v>23</v>
      </c>
      <c r="B84" s="25" t="s">
        <v>115</v>
      </c>
      <c r="C84" s="26">
        <v>136060</v>
      </c>
      <c r="D84" s="25" t="s">
        <v>138</v>
      </c>
      <c r="E84" s="25" t="s">
        <v>135</v>
      </c>
      <c r="F84" s="26" t="s">
        <v>27</v>
      </c>
      <c r="G84" s="26" t="s">
        <v>27</v>
      </c>
      <c r="H84" s="26">
        <v>1</v>
      </c>
      <c r="I84" s="26">
        <v>3</v>
      </c>
      <c r="J84" s="26">
        <v>1</v>
      </c>
      <c r="K84" s="26">
        <v>138</v>
      </c>
      <c r="L84" s="26" t="s">
        <v>28</v>
      </c>
      <c r="M84" s="27">
        <v>739</v>
      </c>
      <c r="N84" s="28">
        <v>393590.64</v>
      </c>
      <c r="O84" s="26" t="s">
        <v>29</v>
      </c>
      <c r="P84" s="29"/>
      <c r="Q84" s="6"/>
      <c r="R84" s="29"/>
      <c r="S84" s="10"/>
      <c r="T84" s="8">
        <v>1</v>
      </c>
    </row>
    <row r="85" spans="1:20" ht="15.75" customHeight="1" x14ac:dyDescent="0.35">
      <c r="A85" s="25" t="s">
        <v>23</v>
      </c>
      <c r="B85" s="25" t="s">
        <v>115</v>
      </c>
      <c r="C85" s="26">
        <v>136116</v>
      </c>
      <c r="D85" s="25" t="s">
        <v>139</v>
      </c>
      <c r="E85" s="25" t="s">
        <v>140</v>
      </c>
      <c r="F85" s="26" t="s">
        <v>27</v>
      </c>
      <c r="G85" s="26" t="s">
        <v>27</v>
      </c>
      <c r="H85" s="26">
        <v>1</v>
      </c>
      <c r="I85" s="26">
        <v>1</v>
      </c>
      <c r="J85" s="26">
        <v>1</v>
      </c>
      <c r="K85" s="26">
        <v>138</v>
      </c>
      <c r="L85" s="26" t="s">
        <v>28</v>
      </c>
      <c r="M85" s="27">
        <v>696</v>
      </c>
      <c r="N85" s="28">
        <v>165143.57</v>
      </c>
      <c r="O85" s="26" t="s">
        <v>29</v>
      </c>
      <c r="P85" s="29"/>
      <c r="Q85" s="6"/>
      <c r="R85" s="29"/>
      <c r="S85" s="10"/>
      <c r="T85" s="8">
        <v>1</v>
      </c>
    </row>
    <row r="86" spans="1:20" ht="15.75" customHeight="1" x14ac:dyDescent="0.35">
      <c r="A86" s="25" t="s">
        <v>23</v>
      </c>
      <c r="B86" s="25" t="s">
        <v>115</v>
      </c>
      <c r="C86" s="26">
        <v>136118</v>
      </c>
      <c r="D86" s="25" t="s">
        <v>141</v>
      </c>
      <c r="E86" s="25" t="s">
        <v>140</v>
      </c>
      <c r="F86" s="26" t="s">
        <v>27</v>
      </c>
      <c r="G86" s="26" t="s">
        <v>27</v>
      </c>
      <c r="H86" s="26"/>
      <c r="I86" s="26"/>
      <c r="J86" s="26">
        <v>1</v>
      </c>
      <c r="K86" s="26">
        <v>138</v>
      </c>
      <c r="L86" s="26" t="s">
        <v>28</v>
      </c>
      <c r="M86" s="27">
        <v>713</v>
      </c>
      <c r="N86" s="28"/>
      <c r="O86" s="26" t="s">
        <v>29</v>
      </c>
      <c r="P86" s="29"/>
      <c r="Q86" s="6"/>
      <c r="R86" s="29"/>
      <c r="S86" s="10"/>
      <c r="T86" s="8"/>
    </row>
    <row r="87" spans="1:20" ht="15.75" customHeight="1" x14ac:dyDescent="0.35">
      <c r="A87" s="25" t="s">
        <v>23</v>
      </c>
      <c r="B87" s="25" t="s">
        <v>115</v>
      </c>
      <c r="C87" s="26">
        <v>136121</v>
      </c>
      <c r="D87" s="25" t="s">
        <v>142</v>
      </c>
      <c r="E87" s="25" t="s">
        <v>140</v>
      </c>
      <c r="F87" s="26" t="s">
        <v>27</v>
      </c>
      <c r="G87" s="26" t="s">
        <v>27</v>
      </c>
      <c r="H87" s="26">
        <v>1</v>
      </c>
      <c r="I87" s="26">
        <v>4</v>
      </c>
      <c r="J87" s="26">
        <v>1</v>
      </c>
      <c r="K87" s="26">
        <v>138</v>
      </c>
      <c r="L87" s="26" t="s">
        <v>28</v>
      </c>
      <c r="M87" s="27">
        <v>718</v>
      </c>
      <c r="N87" s="28">
        <v>146393.25</v>
      </c>
      <c r="O87" s="26" t="s">
        <v>29</v>
      </c>
      <c r="P87" s="29"/>
      <c r="Q87" s="6"/>
      <c r="R87" s="29"/>
      <c r="S87" s="10"/>
      <c r="T87" s="8">
        <v>1</v>
      </c>
    </row>
    <row r="88" spans="1:20" ht="15.75" customHeight="1" x14ac:dyDescent="0.35">
      <c r="A88" s="25" t="s">
        <v>23</v>
      </c>
      <c r="B88" s="25" t="s">
        <v>115</v>
      </c>
      <c r="C88" s="26">
        <v>136125</v>
      </c>
      <c r="D88" s="25" t="s">
        <v>143</v>
      </c>
      <c r="E88" s="25" t="s">
        <v>140</v>
      </c>
      <c r="F88" s="26" t="s">
        <v>27</v>
      </c>
      <c r="G88" s="26" t="s">
        <v>27</v>
      </c>
      <c r="H88" s="26">
        <v>1</v>
      </c>
      <c r="I88" s="26">
        <v>1</v>
      </c>
      <c r="J88" s="26">
        <v>1</v>
      </c>
      <c r="K88" s="26">
        <v>138</v>
      </c>
      <c r="L88" s="26" t="s">
        <v>28</v>
      </c>
      <c r="M88" s="27">
        <v>724</v>
      </c>
      <c r="N88" s="28">
        <v>90084.87</v>
      </c>
      <c r="O88" s="26" t="s">
        <v>29</v>
      </c>
      <c r="P88" s="29"/>
      <c r="Q88" s="6"/>
      <c r="R88" s="29"/>
      <c r="S88" s="10"/>
      <c r="T88" s="8">
        <v>1</v>
      </c>
    </row>
    <row r="89" spans="1:20" ht="15.75" customHeight="1" x14ac:dyDescent="0.35">
      <c r="A89" s="25" t="s">
        <v>23</v>
      </c>
      <c r="B89" s="25" t="s">
        <v>115</v>
      </c>
      <c r="C89" s="26">
        <v>136128</v>
      </c>
      <c r="D89" s="25" t="s">
        <v>144</v>
      </c>
      <c r="E89" s="25" t="s">
        <v>140</v>
      </c>
      <c r="F89" s="26" t="s">
        <v>27</v>
      </c>
      <c r="G89" s="26" t="s">
        <v>27</v>
      </c>
      <c r="H89" s="26">
        <v>1</v>
      </c>
      <c r="I89" s="26">
        <v>3</v>
      </c>
      <c r="J89" s="26">
        <v>1</v>
      </c>
      <c r="K89" s="26">
        <v>138</v>
      </c>
      <c r="L89" s="26" t="s">
        <v>28</v>
      </c>
      <c r="M89" s="27">
        <v>736</v>
      </c>
      <c r="N89" s="28">
        <v>144802.45000000001</v>
      </c>
      <c r="O89" s="26" t="s">
        <v>29</v>
      </c>
      <c r="P89" s="29"/>
      <c r="Q89" s="6"/>
      <c r="R89" s="29"/>
      <c r="S89" s="10"/>
      <c r="T89" s="8">
        <v>1</v>
      </c>
    </row>
    <row r="90" spans="1:20" ht="15.75" customHeight="1" x14ac:dyDescent="0.35">
      <c r="A90" s="25" t="s">
        <v>23</v>
      </c>
      <c r="B90" s="25" t="s">
        <v>115</v>
      </c>
      <c r="C90" s="26">
        <v>136147</v>
      </c>
      <c r="D90" s="25" t="s">
        <v>145</v>
      </c>
      <c r="E90" s="25" t="s">
        <v>146</v>
      </c>
      <c r="F90" s="26" t="s">
        <v>27</v>
      </c>
      <c r="G90" s="26" t="s">
        <v>27</v>
      </c>
      <c r="H90" s="26"/>
      <c r="I90" s="26"/>
      <c r="J90" s="26">
        <v>1</v>
      </c>
      <c r="K90" s="26">
        <v>138</v>
      </c>
      <c r="L90" s="26" t="s">
        <v>28</v>
      </c>
      <c r="M90" s="27">
        <v>733</v>
      </c>
      <c r="N90" s="28"/>
      <c r="O90" s="26" t="s">
        <v>29</v>
      </c>
      <c r="P90" s="29"/>
      <c r="Q90" s="6"/>
      <c r="R90" s="29"/>
      <c r="S90" s="10"/>
      <c r="T90" s="8"/>
    </row>
    <row r="91" spans="1:20" ht="15.75" customHeight="1" x14ac:dyDescent="0.35">
      <c r="A91" s="25" t="s">
        <v>23</v>
      </c>
      <c r="B91" s="25" t="s">
        <v>115</v>
      </c>
      <c r="C91" s="26">
        <v>136152</v>
      </c>
      <c r="D91" s="25" t="s">
        <v>147</v>
      </c>
      <c r="E91" s="25" t="s">
        <v>146</v>
      </c>
      <c r="F91" s="26" t="s">
        <v>27</v>
      </c>
      <c r="G91" s="26" t="s">
        <v>27</v>
      </c>
      <c r="H91" s="26"/>
      <c r="I91" s="26"/>
      <c r="J91" s="26">
        <v>1</v>
      </c>
      <c r="K91" s="26">
        <v>138</v>
      </c>
      <c r="L91" s="26" t="s">
        <v>28</v>
      </c>
      <c r="M91" s="27">
        <v>698</v>
      </c>
      <c r="N91" s="28"/>
      <c r="O91" s="26" t="s">
        <v>29</v>
      </c>
      <c r="P91" s="29"/>
      <c r="Q91" s="6"/>
      <c r="R91" s="29"/>
      <c r="S91" s="10"/>
      <c r="T91" s="8"/>
    </row>
    <row r="92" spans="1:20" ht="15.75" customHeight="1" x14ac:dyDescent="0.35">
      <c r="A92" s="25" t="s">
        <v>23</v>
      </c>
      <c r="B92" s="25" t="s">
        <v>115</v>
      </c>
      <c r="C92" s="26">
        <v>220505</v>
      </c>
      <c r="D92" s="25" t="s">
        <v>148</v>
      </c>
      <c r="E92" s="25" t="s">
        <v>127</v>
      </c>
      <c r="F92" s="26" t="s">
        <v>27</v>
      </c>
      <c r="G92" s="26" t="s">
        <v>27</v>
      </c>
      <c r="H92" s="26"/>
      <c r="I92" s="26"/>
      <c r="J92" s="26">
        <v>1</v>
      </c>
      <c r="K92" s="26">
        <v>138</v>
      </c>
      <c r="L92" s="26" t="s">
        <v>28</v>
      </c>
      <c r="M92" s="27">
        <v>738</v>
      </c>
      <c r="N92" s="28"/>
      <c r="O92" s="26" t="s">
        <v>29</v>
      </c>
      <c r="P92" s="29"/>
      <c r="Q92" s="6"/>
      <c r="R92" s="29"/>
      <c r="S92" s="10"/>
      <c r="T92" s="8"/>
    </row>
    <row r="93" spans="1:20" ht="15.75" customHeight="1" x14ac:dyDescent="0.35">
      <c r="A93" s="25" t="s">
        <v>23</v>
      </c>
      <c r="B93" s="25" t="s">
        <v>115</v>
      </c>
      <c r="C93" s="26">
        <v>220509</v>
      </c>
      <c r="D93" s="25" t="s">
        <v>149</v>
      </c>
      <c r="E93" s="25" t="s">
        <v>140</v>
      </c>
      <c r="F93" s="26" t="s">
        <v>27</v>
      </c>
      <c r="G93" s="26" t="s">
        <v>27</v>
      </c>
      <c r="H93" s="26">
        <v>1</v>
      </c>
      <c r="I93" s="26">
        <v>1</v>
      </c>
      <c r="J93" s="26">
        <v>1</v>
      </c>
      <c r="K93" s="26">
        <v>138</v>
      </c>
      <c r="L93" s="26" t="s">
        <v>28</v>
      </c>
      <c r="M93" s="27">
        <v>729</v>
      </c>
      <c r="N93" s="28">
        <v>110504.51</v>
      </c>
      <c r="O93" s="26" t="s">
        <v>29</v>
      </c>
      <c r="P93" s="29"/>
      <c r="Q93" s="6"/>
      <c r="R93" s="29"/>
      <c r="S93" s="10"/>
      <c r="T93" s="8">
        <v>1</v>
      </c>
    </row>
    <row r="94" spans="1:20" ht="15.75" customHeight="1" x14ac:dyDescent="0.35">
      <c r="A94" s="25" t="s">
        <v>23</v>
      </c>
      <c r="B94" s="25" t="s">
        <v>115</v>
      </c>
      <c r="C94" s="26">
        <v>220511</v>
      </c>
      <c r="D94" s="25" t="s">
        <v>150</v>
      </c>
      <c r="E94" s="25" t="s">
        <v>135</v>
      </c>
      <c r="F94" s="26" t="s">
        <v>27</v>
      </c>
      <c r="G94" s="26" t="s">
        <v>27</v>
      </c>
      <c r="H94" s="26">
        <v>1</v>
      </c>
      <c r="I94" s="26">
        <v>1</v>
      </c>
      <c r="J94" s="26">
        <v>1</v>
      </c>
      <c r="K94" s="26">
        <v>138</v>
      </c>
      <c r="L94" s="26" t="s">
        <v>28</v>
      </c>
      <c r="M94" s="27">
        <v>695</v>
      </c>
      <c r="N94" s="28">
        <v>145546.34</v>
      </c>
      <c r="O94" s="26" t="s">
        <v>29</v>
      </c>
      <c r="P94" s="29"/>
      <c r="Q94" s="6"/>
      <c r="R94" s="29"/>
      <c r="S94" s="10"/>
      <c r="T94" s="8">
        <v>1</v>
      </c>
    </row>
    <row r="95" spans="1:20" ht="15.75" customHeight="1" x14ac:dyDescent="0.35">
      <c r="A95" s="25" t="s">
        <v>23</v>
      </c>
      <c r="B95" s="25" t="s">
        <v>115</v>
      </c>
      <c r="C95" s="26">
        <v>220516</v>
      </c>
      <c r="D95" s="25" t="s">
        <v>151</v>
      </c>
      <c r="E95" s="25" t="s">
        <v>135</v>
      </c>
      <c r="F95" s="26" t="s">
        <v>27</v>
      </c>
      <c r="G95" s="26" t="s">
        <v>27</v>
      </c>
      <c r="H95" s="26">
        <v>1</v>
      </c>
      <c r="I95" s="26">
        <v>2</v>
      </c>
      <c r="J95" s="26">
        <v>1</v>
      </c>
      <c r="K95" s="26">
        <v>138</v>
      </c>
      <c r="L95" s="26" t="s">
        <v>28</v>
      </c>
      <c r="M95" s="27">
        <v>716</v>
      </c>
      <c r="N95" s="28">
        <v>110076.5</v>
      </c>
      <c r="O95" s="26" t="s">
        <v>29</v>
      </c>
      <c r="P95" s="29"/>
      <c r="Q95" s="6"/>
      <c r="R95" s="29"/>
      <c r="S95" s="10"/>
      <c r="T95" s="8">
        <v>1</v>
      </c>
    </row>
    <row r="96" spans="1:20" ht="15.75" customHeight="1" x14ac:dyDescent="0.35">
      <c r="A96" s="25" t="s">
        <v>23</v>
      </c>
      <c r="B96" s="25" t="s">
        <v>115</v>
      </c>
      <c r="C96" s="26">
        <v>220527</v>
      </c>
      <c r="D96" s="25" t="s">
        <v>152</v>
      </c>
      <c r="E96" s="25" t="s">
        <v>135</v>
      </c>
      <c r="F96" s="26" t="s">
        <v>27</v>
      </c>
      <c r="G96" s="26" t="s">
        <v>27</v>
      </c>
      <c r="H96" s="26">
        <v>1</v>
      </c>
      <c r="I96" s="26">
        <v>1</v>
      </c>
      <c r="J96" s="26">
        <v>1</v>
      </c>
      <c r="K96" s="26">
        <v>138</v>
      </c>
      <c r="L96" s="26" t="s">
        <v>28</v>
      </c>
      <c r="M96" s="27">
        <v>694</v>
      </c>
      <c r="N96" s="28">
        <v>112190.04</v>
      </c>
      <c r="O96" s="26" t="s">
        <v>29</v>
      </c>
      <c r="P96" s="29"/>
      <c r="Q96" s="6"/>
      <c r="R96" s="29"/>
      <c r="S96" s="10"/>
      <c r="T96" s="8">
        <v>1</v>
      </c>
    </row>
    <row r="97" spans="1:20" ht="15.75" customHeight="1" x14ac:dyDescent="0.35">
      <c r="A97" s="25" t="s">
        <v>23</v>
      </c>
      <c r="B97" s="25" t="s">
        <v>153</v>
      </c>
      <c r="C97" s="26">
        <v>136193</v>
      </c>
      <c r="D97" s="25" t="s">
        <v>154</v>
      </c>
      <c r="E97" s="25" t="s">
        <v>155</v>
      </c>
      <c r="F97" s="26" t="s">
        <v>27</v>
      </c>
      <c r="G97" s="26" t="s">
        <v>27</v>
      </c>
      <c r="H97" s="26"/>
      <c r="I97" s="26"/>
      <c r="J97" s="26">
        <v>1</v>
      </c>
      <c r="K97" s="26">
        <v>138</v>
      </c>
      <c r="L97" s="26" t="s">
        <v>28</v>
      </c>
      <c r="M97" s="27">
        <v>755</v>
      </c>
      <c r="N97" s="28"/>
      <c r="O97" s="26" t="s">
        <v>29</v>
      </c>
      <c r="P97" s="29"/>
      <c r="Q97" s="6"/>
      <c r="R97" s="29"/>
      <c r="S97" s="10"/>
      <c r="T97" s="8"/>
    </row>
    <row r="98" spans="1:20" ht="15.75" customHeight="1" x14ac:dyDescent="0.35">
      <c r="A98" s="25" t="s">
        <v>23</v>
      </c>
      <c r="B98" s="25" t="s">
        <v>153</v>
      </c>
      <c r="C98" s="26">
        <v>136272</v>
      </c>
      <c r="D98" s="25" t="s">
        <v>156</v>
      </c>
      <c r="E98" s="25" t="s">
        <v>157</v>
      </c>
      <c r="F98" s="26" t="s">
        <v>27</v>
      </c>
      <c r="G98" s="26" t="s">
        <v>27</v>
      </c>
      <c r="H98" s="26">
        <v>1</v>
      </c>
      <c r="I98" s="26">
        <v>1</v>
      </c>
      <c r="J98" s="26">
        <v>1</v>
      </c>
      <c r="K98" s="26">
        <v>138</v>
      </c>
      <c r="L98" s="26" t="s">
        <v>28</v>
      </c>
      <c r="M98" s="27">
        <v>756</v>
      </c>
      <c r="N98" s="28">
        <v>518252.15</v>
      </c>
      <c r="O98" s="26" t="s">
        <v>29</v>
      </c>
      <c r="P98" s="29"/>
      <c r="Q98" s="6"/>
      <c r="R98" s="29"/>
      <c r="S98" s="10"/>
      <c r="T98" s="8">
        <v>1</v>
      </c>
    </row>
    <row r="99" spans="1:20" ht="15.75" customHeight="1" x14ac:dyDescent="0.35">
      <c r="A99" s="25" t="s">
        <v>23</v>
      </c>
      <c r="B99" s="25" t="s">
        <v>153</v>
      </c>
      <c r="C99" s="26">
        <v>136274</v>
      </c>
      <c r="D99" s="25" t="s">
        <v>158</v>
      </c>
      <c r="E99" s="25" t="s">
        <v>157</v>
      </c>
      <c r="F99" s="26" t="s">
        <v>27</v>
      </c>
      <c r="G99" s="26" t="s">
        <v>27</v>
      </c>
      <c r="H99" s="26">
        <v>1</v>
      </c>
      <c r="I99" s="26">
        <v>4</v>
      </c>
      <c r="J99" s="26">
        <v>1</v>
      </c>
      <c r="K99" s="26">
        <v>138</v>
      </c>
      <c r="L99" s="26" t="s">
        <v>28</v>
      </c>
      <c r="M99" s="27">
        <v>758</v>
      </c>
      <c r="N99" s="28">
        <v>420817.6</v>
      </c>
      <c r="O99" s="26" t="s">
        <v>29</v>
      </c>
      <c r="P99" s="29"/>
      <c r="Q99" s="6"/>
      <c r="R99" s="29"/>
      <c r="S99" s="10"/>
      <c r="T99" s="8">
        <v>1</v>
      </c>
    </row>
    <row r="100" spans="1:20" ht="15.75" customHeight="1" x14ac:dyDescent="0.35">
      <c r="A100" s="25" t="s">
        <v>23</v>
      </c>
      <c r="B100" s="25" t="s">
        <v>153</v>
      </c>
      <c r="C100" s="26">
        <v>136281</v>
      </c>
      <c r="D100" s="25" t="s">
        <v>159</v>
      </c>
      <c r="E100" s="25" t="s">
        <v>160</v>
      </c>
      <c r="F100" s="26" t="s">
        <v>27</v>
      </c>
      <c r="G100" s="26" t="s">
        <v>27</v>
      </c>
      <c r="H100" s="26">
        <v>1</v>
      </c>
      <c r="I100" s="26">
        <v>5</v>
      </c>
      <c r="J100" s="26">
        <v>1</v>
      </c>
      <c r="K100" s="26">
        <v>138</v>
      </c>
      <c r="L100" s="26" t="s">
        <v>28</v>
      </c>
      <c r="M100" s="27">
        <v>746</v>
      </c>
      <c r="N100" s="28">
        <v>431600.89</v>
      </c>
      <c r="O100" s="26" t="s">
        <v>29</v>
      </c>
      <c r="P100" s="29"/>
      <c r="Q100" s="6"/>
      <c r="R100" s="29"/>
      <c r="S100" s="10"/>
      <c r="T100" s="8">
        <v>1</v>
      </c>
    </row>
    <row r="101" spans="1:20" ht="15.75" customHeight="1" x14ac:dyDescent="0.35">
      <c r="A101" s="25" t="s">
        <v>23</v>
      </c>
      <c r="B101" s="25" t="s">
        <v>153</v>
      </c>
      <c r="C101" s="26">
        <v>136284</v>
      </c>
      <c r="D101" s="25" t="s">
        <v>161</v>
      </c>
      <c r="E101" s="25" t="s">
        <v>160</v>
      </c>
      <c r="F101" s="26" t="s">
        <v>27</v>
      </c>
      <c r="G101" s="26" t="s">
        <v>27</v>
      </c>
      <c r="H101" s="26"/>
      <c r="I101" s="26"/>
      <c r="J101" s="26">
        <v>1</v>
      </c>
      <c r="K101" s="26">
        <v>138</v>
      </c>
      <c r="L101" s="26" t="s">
        <v>28</v>
      </c>
      <c r="M101" s="27">
        <v>748</v>
      </c>
      <c r="N101" s="28"/>
      <c r="O101" s="26" t="s">
        <v>29</v>
      </c>
      <c r="P101" s="29"/>
      <c r="Q101" s="6"/>
      <c r="R101" s="29"/>
      <c r="S101" s="10"/>
      <c r="T101" s="8"/>
    </row>
    <row r="102" spans="1:20" ht="15.75" customHeight="1" x14ac:dyDescent="0.35">
      <c r="A102" s="9" t="s">
        <v>23</v>
      </c>
      <c r="B102" s="25" t="s">
        <v>153</v>
      </c>
      <c r="C102" s="31">
        <v>136286</v>
      </c>
      <c r="D102" s="32" t="s">
        <v>162</v>
      </c>
      <c r="E102" s="32" t="s">
        <v>160</v>
      </c>
      <c r="F102" s="29">
        <v>0</v>
      </c>
      <c r="G102" s="33"/>
      <c r="H102" s="8">
        <v>1</v>
      </c>
      <c r="I102" s="8">
        <v>1</v>
      </c>
      <c r="J102" s="29"/>
      <c r="K102" s="10"/>
      <c r="L102" s="10"/>
      <c r="M102" s="11"/>
      <c r="N102" s="34">
        <v>389551.84</v>
      </c>
      <c r="O102" s="26" t="s">
        <v>29</v>
      </c>
      <c r="P102" s="29" t="s">
        <v>163</v>
      </c>
      <c r="Q102" s="6"/>
      <c r="R102" s="29"/>
      <c r="S102" s="10"/>
      <c r="T102" s="8">
        <v>1</v>
      </c>
    </row>
    <row r="103" spans="1:20" ht="15.75" customHeight="1" x14ac:dyDescent="0.35">
      <c r="A103" s="9" t="s">
        <v>23</v>
      </c>
      <c r="B103" s="25" t="s">
        <v>153</v>
      </c>
      <c r="C103" s="31">
        <v>136291</v>
      </c>
      <c r="D103" s="32" t="s">
        <v>164</v>
      </c>
      <c r="E103" s="32" t="s">
        <v>160</v>
      </c>
      <c r="F103" s="29">
        <v>0</v>
      </c>
      <c r="G103" s="33"/>
      <c r="H103" s="8">
        <v>1</v>
      </c>
      <c r="I103" s="8">
        <v>3</v>
      </c>
      <c r="J103" s="29"/>
      <c r="K103" s="10"/>
      <c r="L103" s="10"/>
      <c r="M103" s="11"/>
      <c r="N103" s="34">
        <v>471192.59</v>
      </c>
      <c r="O103" s="26" t="s">
        <v>29</v>
      </c>
      <c r="P103" s="29" t="s">
        <v>163</v>
      </c>
      <c r="Q103" s="6"/>
      <c r="R103" s="29"/>
      <c r="S103" s="10"/>
      <c r="T103" s="8">
        <v>1</v>
      </c>
    </row>
    <row r="104" spans="1:20" ht="15.75" customHeight="1" x14ac:dyDescent="0.35">
      <c r="A104" s="9" t="s">
        <v>23</v>
      </c>
      <c r="B104" s="25" t="s">
        <v>153</v>
      </c>
      <c r="C104" s="31">
        <v>136294</v>
      </c>
      <c r="D104" s="32" t="s">
        <v>165</v>
      </c>
      <c r="E104" s="32" t="s">
        <v>160</v>
      </c>
      <c r="F104" s="29">
        <v>0</v>
      </c>
      <c r="G104" s="33"/>
      <c r="H104" s="8">
        <v>1</v>
      </c>
      <c r="I104" s="8">
        <v>3</v>
      </c>
      <c r="J104" s="29"/>
      <c r="K104" s="10"/>
      <c r="L104" s="10"/>
      <c r="M104" s="11"/>
      <c r="N104" s="34">
        <v>320237.21000000002</v>
      </c>
      <c r="O104" s="26" t="s">
        <v>29</v>
      </c>
      <c r="P104" s="29" t="s">
        <v>163</v>
      </c>
      <c r="Q104" s="6"/>
      <c r="R104" s="29"/>
      <c r="S104" s="10"/>
      <c r="T104" s="8">
        <v>1</v>
      </c>
    </row>
    <row r="105" spans="1:20" ht="15.75" customHeight="1" x14ac:dyDescent="0.35">
      <c r="A105" s="25" t="s">
        <v>23</v>
      </c>
      <c r="B105" s="25" t="s">
        <v>153</v>
      </c>
      <c r="C105" s="26">
        <v>136299</v>
      </c>
      <c r="D105" s="25" t="s">
        <v>166</v>
      </c>
      <c r="E105" s="25" t="s">
        <v>160</v>
      </c>
      <c r="F105" s="26" t="s">
        <v>27</v>
      </c>
      <c r="G105" s="26" t="s">
        <v>27</v>
      </c>
      <c r="H105" s="26">
        <v>1</v>
      </c>
      <c r="I105" s="26">
        <v>1</v>
      </c>
      <c r="J105" s="26">
        <v>1</v>
      </c>
      <c r="K105" s="26">
        <v>138</v>
      </c>
      <c r="L105" s="26" t="s">
        <v>28</v>
      </c>
      <c r="M105" s="27">
        <v>752</v>
      </c>
      <c r="N105" s="28">
        <v>1574032.37</v>
      </c>
      <c r="O105" s="26" t="s">
        <v>29</v>
      </c>
      <c r="P105" s="29"/>
      <c r="Q105" s="6"/>
      <c r="R105" s="29"/>
      <c r="S105" s="10"/>
      <c r="T105" s="8">
        <v>1</v>
      </c>
    </row>
    <row r="106" spans="1:20" ht="15.75" customHeight="1" x14ac:dyDescent="0.35">
      <c r="A106" s="25" t="s">
        <v>23</v>
      </c>
      <c r="B106" s="25" t="s">
        <v>153</v>
      </c>
      <c r="C106" s="26">
        <v>136301</v>
      </c>
      <c r="D106" s="25" t="s">
        <v>167</v>
      </c>
      <c r="E106" s="25" t="s">
        <v>160</v>
      </c>
      <c r="F106" s="26" t="s">
        <v>27</v>
      </c>
      <c r="G106" s="26" t="s">
        <v>27</v>
      </c>
      <c r="H106" s="26">
        <v>1</v>
      </c>
      <c r="I106" s="26">
        <v>4</v>
      </c>
      <c r="J106" s="26">
        <v>1</v>
      </c>
      <c r="K106" s="26">
        <v>138</v>
      </c>
      <c r="L106" s="26" t="s">
        <v>28</v>
      </c>
      <c r="M106" s="27">
        <v>753</v>
      </c>
      <c r="N106" s="28">
        <v>572634.05000000005</v>
      </c>
      <c r="O106" s="26" t="s">
        <v>29</v>
      </c>
      <c r="P106" s="29"/>
      <c r="Q106" s="6"/>
      <c r="R106" s="29"/>
      <c r="S106" s="10"/>
      <c r="T106" s="8">
        <v>1</v>
      </c>
    </row>
    <row r="107" spans="1:20" ht="15.75" customHeight="1" x14ac:dyDescent="0.35">
      <c r="A107" s="9" t="s">
        <v>23</v>
      </c>
      <c r="B107" s="25" t="s">
        <v>153</v>
      </c>
      <c r="C107" s="31">
        <v>136305</v>
      </c>
      <c r="D107" s="32" t="s">
        <v>168</v>
      </c>
      <c r="E107" s="32" t="s">
        <v>160</v>
      </c>
      <c r="F107" s="29">
        <v>0</v>
      </c>
      <c r="G107" s="33"/>
      <c r="H107" s="8">
        <v>1</v>
      </c>
      <c r="I107" s="8">
        <v>6</v>
      </c>
      <c r="J107" s="29"/>
      <c r="K107" s="10"/>
      <c r="L107" s="10"/>
      <c r="M107" s="11"/>
      <c r="N107" s="34">
        <v>494337.83</v>
      </c>
      <c r="O107" s="26" t="s">
        <v>29</v>
      </c>
      <c r="P107" s="29" t="s">
        <v>163</v>
      </c>
      <c r="Q107" s="6"/>
      <c r="R107" s="29"/>
      <c r="S107" s="10"/>
      <c r="T107" s="8">
        <v>1</v>
      </c>
    </row>
    <row r="108" spans="1:20" ht="15.75" customHeight="1" x14ac:dyDescent="0.35">
      <c r="A108" s="9" t="s">
        <v>23</v>
      </c>
      <c r="B108" s="25" t="s">
        <v>153</v>
      </c>
      <c r="C108" s="31">
        <v>136306</v>
      </c>
      <c r="D108" s="32" t="s">
        <v>169</v>
      </c>
      <c r="E108" s="32" t="s">
        <v>160</v>
      </c>
      <c r="F108" s="29">
        <v>0</v>
      </c>
      <c r="G108" s="33"/>
      <c r="H108" s="8">
        <v>1</v>
      </c>
      <c r="I108" s="8">
        <v>2</v>
      </c>
      <c r="J108" s="29"/>
      <c r="K108" s="10"/>
      <c r="L108" s="10"/>
      <c r="M108" s="11"/>
      <c r="N108" s="34">
        <v>267148.15000000002</v>
      </c>
      <c r="O108" s="26" t="s">
        <v>29</v>
      </c>
      <c r="P108" s="29" t="s">
        <v>163</v>
      </c>
      <c r="Q108" s="6"/>
      <c r="R108" s="29"/>
      <c r="S108" s="10"/>
      <c r="T108" s="8">
        <v>1</v>
      </c>
    </row>
    <row r="109" spans="1:20" ht="15.75" customHeight="1" x14ac:dyDescent="0.35">
      <c r="A109" s="25" t="s">
        <v>23</v>
      </c>
      <c r="B109" s="25" t="s">
        <v>153</v>
      </c>
      <c r="C109" s="26">
        <v>136308</v>
      </c>
      <c r="D109" s="25" t="s">
        <v>170</v>
      </c>
      <c r="E109" s="25" t="s">
        <v>160</v>
      </c>
      <c r="F109" s="26" t="s">
        <v>27</v>
      </c>
      <c r="G109" s="26" t="s">
        <v>27</v>
      </c>
      <c r="H109" s="26">
        <v>1</v>
      </c>
      <c r="I109" s="26">
        <v>2</v>
      </c>
      <c r="J109" s="26">
        <v>1</v>
      </c>
      <c r="K109" s="26">
        <v>138</v>
      </c>
      <c r="L109" s="26" t="s">
        <v>28</v>
      </c>
      <c r="M109" s="27">
        <v>757</v>
      </c>
      <c r="N109" s="28">
        <v>409013.3</v>
      </c>
      <c r="O109" s="26" t="s">
        <v>29</v>
      </c>
      <c r="P109" s="29"/>
      <c r="Q109" s="6"/>
      <c r="R109" s="29"/>
      <c r="S109" s="10"/>
      <c r="T109" s="8">
        <v>1</v>
      </c>
    </row>
    <row r="110" spans="1:20" ht="15.75" customHeight="1" x14ac:dyDescent="0.35">
      <c r="A110" s="9" t="s">
        <v>23</v>
      </c>
      <c r="B110" s="25" t="s">
        <v>153</v>
      </c>
      <c r="C110" s="31">
        <v>136363</v>
      </c>
      <c r="D110" s="32" t="s">
        <v>171</v>
      </c>
      <c r="E110" s="32" t="s">
        <v>172</v>
      </c>
      <c r="F110" s="29">
        <v>0</v>
      </c>
      <c r="G110" s="33"/>
      <c r="H110" s="8">
        <v>1</v>
      </c>
      <c r="I110" s="8">
        <v>2</v>
      </c>
      <c r="J110" s="29"/>
      <c r="K110" s="10"/>
      <c r="L110" s="10"/>
      <c r="M110" s="11"/>
      <c r="N110" s="34">
        <v>409013.3</v>
      </c>
      <c r="O110" s="26" t="s">
        <v>29</v>
      </c>
      <c r="P110" s="29" t="s">
        <v>163</v>
      </c>
      <c r="Q110" s="6"/>
      <c r="R110" s="29"/>
      <c r="S110" s="10"/>
      <c r="T110" s="8">
        <v>1</v>
      </c>
    </row>
    <row r="111" spans="1:20" ht="15.75" customHeight="1" x14ac:dyDescent="0.35">
      <c r="A111" s="25" t="s">
        <v>23</v>
      </c>
      <c r="B111" s="25" t="s">
        <v>153</v>
      </c>
      <c r="C111" s="26">
        <v>136378</v>
      </c>
      <c r="D111" s="25" t="s">
        <v>173</v>
      </c>
      <c r="E111" s="25" t="s">
        <v>172</v>
      </c>
      <c r="F111" s="26" t="s">
        <v>27</v>
      </c>
      <c r="G111" s="26" t="s">
        <v>27</v>
      </c>
      <c r="H111" s="26">
        <v>1</v>
      </c>
      <c r="I111" s="26">
        <v>2</v>
      </c>
      <c r="J111" s="26">
        <v>1</v>
      </c>
      <c r="K111" s="26">
        <v>138</v>
      </c>
      <c r="L111" s="26" t="s">
        <v>28</v>
      </c>
      <c r="M111" s="27">
        <v>759</v>
      </c>
      <c r="N111" s="28">
        <v>260832.89</v>
      </c>
      <c r="O111" s="26" t="s">
        <v>29</v>
      </c>
      <c r="P111" s="29"/>
      <c r="Q111" s="6"/>
      <c r="R111" s="29"/>
      <c r="S111" s="10"/>
      <c r="T111" s="8">
        <v>1</v>
      </c>
    </row>
    <row r="112" spans="1:20" ht="15.75" customHeight="1" x14ac:dyDescent="0.35">
      <c r="A112" s="25" t="s">
        <v>23</v>
      </c>
      <c r="B112" s="25" t="s">
        <v>153</v>
      </c>
      <c r="C112" s="26">
        <v>221002</v>
      </c>
      <c r="D112" s="25" t="s">
        <v>174</v>
      </c>
      <c r="E112" s="25" t="s">
        <v>160</v>
      </c>
      <c r="F112" s="26" t="s">
        <v>27</v>
      </c>
      <c r="G112" s="26" t="s">
        <v>27</v>
      </c>
      <c r="H112" s="26">
        <v>1</v>
      </c>
      <c r="I112" s="26">
        <v>1</v>
      </c>
      <c r="J112" s="26">
        <v>1</v>
      </c>
      <c r="K112" s="26">
        <v>138</v>
      </c>
      <c r="L112" s="26" t="s">
        <v>28</v>
      </c>
      <c r="M112" s="27">
        <v>749</v>
      </c>
      <c r="N112" s="28">
        <v>267892.43</v>
      </c>
      <c r="O112" s="26" t="s">
        <v>29</v>
      </c>
      <c r="P112" s="29"/>
      <c r="Q112" s="6"/>
      <c r="R112" s="29"/>
      <c r="S112" s="10"/>
      <c r="T112" s="8">
        <v>1</v>
      </c>
    </row>
    <row r="113" spans="1:20" ht="15.75" customHeight="1" x14ac:dyDescent="0.35">
      <c r="A113" s="25" t="s">
        <v>23</v>
      </c>
      <c r="B113" s="25" t="s">
        <v>153</v>
      </c>
      <c r="C113" s="26">
        <v>221009</v>
      </c>
      <c r="D113" s="25" t="s">
        <v>175</v>
      </c>
      <c r="E113" s="25" t="s">
        <v>160</v>
      </c>
      <c r="F113" s="26" t="s">
        <v>27</v>
      </c>
      <c r="G113" s="26" t="s">
        <v>27</v>
      </c>
      <c r="H113" s="26">
        <v>1</v>
      </c>
      <c r="I113" s="26">
        <v>2</v>
      </c>
      <c r="J113" s="26">
        <v>1</v>
      </c>
      <c r="K113" s="26">
        <v>138</v>
      </c>
      <c r="L113" s="26" t="s">
        <v>28</v>
      </c>
      <c r="M113" s="27">
        <v>751</v>
      </c>
      <c r="N113" s="28">
        <v>153581.45000000001</v>
      </c>
      <c r="O113" s="26" t="s">
        <v>29</v>
      </c>
      <c r="P113" s="29"/>
      <c r="Q113" s="6"/>
      <c r="R113" s="29"/>
      <c r="S113" s="10"/>
      <c r="T113" s="8">
        <v>1</v>
      </c>
    </row>
    <row r="114" spans="1:20" ht="15.75" customHeight="1" x14ac:dyDescent="0.35">
      <c r="A114" s="25" t="s">
        <v>23</v>
      </c>
      <c r="B114" s="25" t="s">
        <v>153</v>
      </c>
      <c r="C114" s="26">
        <v>319217</v>
      </c>
      <c r="D114" s="25" t="s">
        <v>176</v>
      </c>
      <c r="E114" s="25" t="s">
        <v>172</v>
      </c>
      <c r="F114" s="26" t="s">
        <v>27</v>
      </c>
      <c r="G114" s="26" t="s">
        <v>27</v>
      </c>
      <c r="H114" s="26"/>
      <c r="I114" s="26"/>
      <c r="J114" s="26">
        <v>1</v>
      </c>
      <c r="K114" s="26">
        <v>138</v>
      </c>
      <c r="L114" s="26" t="s">
        <v>28</v>
      </c>
      <c r="M114" s="27">
        <v>750</v>
      </c>
      <c r="N114" s="28"/>
      <c r="O114" s="26" t="s">
        <v>29</v>
      </c>
      <c r="P114" s="29"/>
      <c r="Q114" s="6"/>
      <c r="R114" s="29"/>
      <c r="S114" s="10"/>
      <c r="T114" s="8"/>
    </row>
    <row r="115" spans="1:20" ht="15.75" customHeight="1" x14ac:dyDescent="0.35">
      <c r="A115" s="25" t="s">
        <v>23</v>
      </c>
      <c r="B115" s="25" t="s">
        <v>153</v>
      </c>
      <c r="C115" s="26">
        <v>319223</v>
      </c>
      <c r="D115" s="25" t="s">
        <v>177</v>
      </c>
      <c r="E115" s="25" t="s">
        <v>172</v>
      </c>
      <c r="F115" s="26" t="s">
        <v>27</v>
      </c>
      <c r="G115" s="26" t="s">
        <v>27</v>
      </c>
      <c r="H115" s="26">
        <v>1</v>
      </c>
      <c r="I115" s="26">
        <v>1</v>
      </c>
      <c r="J115" s="26">
        <v>1</v>
      </c>
      <c r="K115" s="26">
        <v>138</v>
      </c>
      <c r="L115" s="26" t="s">
        <v>28</v>
      </c>
      <c r="M115" s="27">
        <v>754</v>
      </c>
      <c r="N115" s="28">
        <v>280934</v>
      </c>
      <c r="O115" s="26" t="s">
        <v>29</v>
      </c>
      <c r="P115" s="29"/>
      <c r="Q115" s="6"/>
      <c r="R115" s="29"/>
      <c r="S115" s="10"/>
      <c r="T115" s="8">
        <v>1</v>
      </c>
    </row>
    <row r="116" spans="1:20" ht="15.75" customHeight="1" x14ac:dyDescent="0.35">
      <c r="A116" s="25" t="s">
        <v>23</v>
      </c>
      <c r="B116" s="25" t="s">
        <v>153</v>
      </c>
      <c r="C116" s="26">
        <v>319225</v>
      </c>
      <c r="D116" s="25" t="s">
        <v>178</v>
      </c>
      <c r="E116" s="25" t="s">
        <v>179</v>
      </c>
      <c r="F116" s="26" t="s">
        <v>27</v>
      </c>
      <c r="G116" s="26" t="s">
        <v>27</v>
      </c>
      <c r="H116" s="26"/>
      <c r="I116" s="26"/>
      <c r="J116" s="26">
        <v>1</v>
      </c>
      <c r="K116" s="26">
        <v>138</v>
      </c>
      <c r="L116" s="26" t="s">
        <v>28</v>
      </c>
      <c r="M116" s="27">
        <v>747</v>
      </c>
      <c r="N116" s="28"/>
      <c r="O116" s="26" t="s">
        <v>29</v>
      </c>
      <c r="P116" s="29"/>
      <c r="Q116" s="6"/>
      <c r="R116" s="29"/>
      <c r="S116" s="10"/>
      <c r="T116" s="8"/>
    </row>
    <row r="117" spans="1:20" ht="15.75" customHeight="1" x14ac:dyDescent="0.35">
      <c r="A117" s="9" t="s">
        <v>23</v>
      </c>
      <c r="B117" s="25" t="s">
        <v>153</v>
      </c>
      <c r="C117" s="31">
        <v>319226</v>
      </c>
      <c r="D117" s="32" t="s">
        <v>180</v>
      </c>
      <c r="E117" s="32" t="s">
        <v>160</v>
      </c>
      <c r="F117" s="29">
        <v>0</v>
      </c>
      <c r="G117" s="33"/>
      <c r="H117" s="8">
        <v>1</v>
      </c>
      <c r="I117" s="8">
        <v>2</v>
      </c>
      <c r="J117" s="29"/>
      <c r="K117" s="10"/>
      <c r="L117" s="10"/>
      <c r="M117" s="11"/>
      <c r="N117" s="34">
        <v>403508.13</v>
      </c>
      <c r="O117" s="26" t="s">
        <v>29</v>
      </c>
      <c r="P117" s="29" t="s">
        <v>163</v>
      </c>
      <c r="Q117" s="6"/>
      <c r="R117" s="29"/>
      <c r="S117" s="10"/>
      <c r="T117" s="8">
        <v>1</v>
      </c>
    </row>
    <row r="118" spans="1:20" ht="15.75" customHeight="1" x14ac:dyDescent="0.35">
      <c r="A118" s="25" t="s">
        <v>23</v>
      </c>
      <c r="B118" s="25" t="s">
        <v>181</v>
      </c>
      <c r="C118" s="26">
        <v>136002</v>
      </c>
      <c r="D118" s="25" t="s">
        <v>182</v>
      </c>
      <c r="E118" s="25" t="s">
        <v>183</v>
      </c>
      <c r="F118" s="26" t="s">
        <v>27</v>
      </c>
      <c r="G118" s="26" t="s">
        <v>27</v>
      </c>
      <c r="H118" s="26"/>
      <c r="I118" s="26"/>
      <c r="J118" s="26">
        <v>1</v>
      </c>
      <c r="K118" s="26">
        <v>138</v>
      </c>
      <c r="L118" s="26" t="s">
        <v>28</v>
      </c>
      <c r="M118" s="27">
        <v>702</v>
      </c>
      <c r="N118" s="28"/>
      <c r="O118" s="26" t="s">
        <v>29</v>
      </c>
      <c r="P118" s="29"/>
      <c r="Q118" s="6"/>
      <c r="R118" s="29"/>
      <c r="S118" s="10"/>
      <c r="T118" s="8"/>
    </row>
    <row r="119" spans="1:20" ht="15.75" customHeight="1" x14ac:dyDescent="0.35">
      <c r="A119" s="25" t="s">
        <v>23</v>
      </c>
      <c r="B119" s="25" t="s">
        <v>181</v>
      </c>
      <c r="C119" s="26">
        <v>136102</v>
      </c>
      <c r="D119" s="25" t="s">
        <v>184</v>
      </c>
      <c r="E119" s="25" t="s">
        <v>183</v>
      </c>
      <c r="F119" s="26" t="s">
        <v>27</v>
      </c>
      <c r="G119" s="26" t="s">
        <v>27</v>
      </c>
      <c r="H119" s="26"/>
      <c r="I119" s="26"/>
      <c r="J119" s="26">
        <v>1</v>
      </c>
      <c r="K119" s="26">
        <v>138</v>
      </c>
      <c r="L119" s="26" t="s">
        <v>28</v>
      </c>
      <c r="M119" s="27">
        <v>727</v>
      </c>
      <c r="N119" s="28"/>
      <c r="O119" s="26" t="s">
        <v>29</v>
      </c>
      <c r="P119" s="29"/>
      <c r="Q119" s="6"/>
      <c r="R119" s="29"/>
      <c r="S119" s="10"/>
      <c r="T119" s="8"/>
    </row>
    <row r="120" spans="1:20" ht="15.75" customHeight="1" x14ac:dyDescent="0.35">
      <c r="A120" s="25" t="s">
        <v>23</v>
      </c>
      <c r="B120" s="25" t="s">
        <v>181</v>
      </c>
      <c r="C120" s="26">
        <v>136105</v>
      </c>
      <c r="D120" s="25" t="s">
        <v>185</v>
      </c>
      <c r="E120" s="25" t="s">
        <v>183</v>
      </c>
      <c r="F120" s="26" t="s">
        <v>27</v>
      </c>
      <c r="G120" s="26" t="s">
        <v>27</v>
      </c>
      <c r="H120" s="26"/>
      <c r="I120" s="26"/>
      <c r="J120" s="26">
        <v>1</v>
      </c>
      <c r="K120" s="26">
        <v>138</v>
      </c>
      <c r="L120" s="26" t="s">
        <v>28</v>
      </c>
      <c r="M120" s="27">
        <v>730</v>
      </c>
      <c r="N120" s="28"/>
      <c r="O120" s="26" t="s">
        <v>29</v>
      </c>
      <c r="P120" s="29"/>
      <c r="Q120" s="6"/>
      <c r="R120" s="29"/>
      <c r="S120" s="10"/>
      <c r="T120" s="8"/>
    </row>
    <row r="121" spans="1:20" ht="15.75" customHeight="1" x14ac:dyDescent="0.35">
      <c r="A121" s="25" t="s">
        <v>23</v>
      </c>
      <c r="B121" s="25" t="s">
        <v>181</v>
      </c>
      <c r="C121" s="26">
        <v>136110</v>
      </c>
      <c r="D121" s="25" t="s">
        <v>186</v>
      </c>
      <c r="E121" s="25" t="s">
        <v>183</v>
      </c>
      <c r="F121" s="26" t="s">
        <v>27</v>
      </c>
      <c r="G121" s="26" t="s">
        <v>27</v>
      </c>
      <c r="H121" s="26"/>
      <c r="I121" s="26"/>
      <c r="J121" s="26">
        <v>1</v>
      </c>
      <c r="K121" s="26">
        <v>138</v>
      </c>
      <c r="L121" s="26" t="s">
        <v>28</v>
      </c>
      <c r="M121" s="27">
        <v>735</v>
      </c>
      <c r="N121" s="28"/>
      <c r="O121" s="26" t="s">
        <v>29</v>
      </c>
      <c r="P121" s="29"/>
      <c r="Q121" s="6"/>
      <c r="R121" s="29"/>
      <c r="S121" s="10"/>
      <c r="T121" s="8"/>
    </row>
    <row r="122" spans="1:20" ht="15.75" customHeight="1" x14ac:dyDescent="0.35">
      <c r="A122" s="25" t="s">
        <v>23</v>
      </c>
      <c r="B122" s="25" t="s">
        <v>181</v>
      </c>
      <c r="C122" s="26">
        <v>136111</v>
      </c>
      <c r="D122" s="25" t="s">
        <v>187</v>
      </c>
      <c r="E122" s="25" t="s">
        <v>183</v>
      </c>
      <c r="F122" s="26" t="s">
        <v>27</v>
      </c>
      <c r="G122" s="26" t="s">
        <v>27</v>
      </c>
      <c r="H122" s="26"/>
      <c r="I122" s="26"/>
      <c r="J122" s="26">
        <v>1</v>
      </c>
      <c r="K122" s="26">
        <v>138</v>
      </c>
      <c r="L122" s="26" t="s">
        <v>28</v>
      </c>
      <c r="M122" s="27">
        <v>740</v>
      </c>
      <c r="N122" s="28"/>
      <c r="O122" s="26" t="s">
        <v>29</v>
      </c>
      <c r="P122" s="29"/>
      <c r="Q122" s="6"/>
      <c r="R122" s="29"/>
      <c r="S122" s="10"/>
      <c r="T122" s="8"/>
    </row>
    <row r="123" spans="1:20" ht="15.75" customHeight="1" x14ac:dyDescent="0.35">
      <c r="A123" s="25" t="s">
        <v>23</v>
      </c>
      <c r="B123" s="25" t="s">
        <v>181</v>
      </c>
      <c r="C123" s="26">
        <v>136112</v>
      </c>
      <c r="D123" s="25" t="s">
        <v>188</v>
      </c>
      <c r="E123" s="25" t="s">
        <v>183</v>
      </c>
      <c r="F123" s="26" t="s">
        <v>27</v>
      </c>
      <c r="G123" s="26" t="s">
        <v>27</v>
      </c>
      <c r="H123" s="26"/>
      <c r="I123" s="26"/>
      <c r="J123" s="26">
        <v>1</v>
      </c>
      <c r="K123" s="26">
        <v>138</v>
      </c>
      <c r="L123" s="26" t="s">
        <v>28</v>
      </c>
      <c r="M123" s="27">
        <v>742</v>
      </c>
      <c r="N123" s="28"/>
      <c r="O123" s="26" t="s">
        <v>29</v>
      </c>
      <c r="P123" s="29"/>
      <c r="Q123" s="6"/>
      <c r="R123" s="29"/>
      <c r="S123" s="10"/>
      <c r="T123" s="8"/>
    </row>
    <row r="124" spans="1:20" ht="15.75" customHeight="1" x14ac:dyDescent="0.35">
      <c r="A124" s="25" t="s">
        <v>23</v>
      </c>
      <c r="B124" s="25" t="s">
        <v>181</v>
      </c>
      <c r="C124" s="26">
        <v>136153</v>
      </c>
      <c r="D124" s="25" t="s">
        <v>189</v>
      </c>
      <c r="E124" s="25" t="s">
        <v>183</v>
      </c>
      <c r="F124" s="26" t="s">
        <v>27</v>
      </c>
      <c r="G124" s="26" t="s">
        <v>27</v>
      </c>
      <c r="H124" s="26"/>
      <c r="I124" s="26"/>
      <c r="J124" s="26">
        <v>1</v>
      </c>
      <c r="K124" s="26">
        <v>138</v>
      </c>
      <c r="L124" s="26" t="s">
        <v>28</v>
      </c>
      <c r="M124" s="27">
        <v>693</v>
      </c>
      <c r="N124" s="28"/>
      <c r="O124" s="26" t="s">
        <v>29</v>
      </c>
      <c r="P124" s="29"/>
      <c r="Q124" s="6"/>
      <c r="R124" s="29"/>
      <c r="S124" s="10"/>
      <c r="T124" s="8"/>
    </row>
    <row r="125" spans="1:20" ht="15.75" customHeight="1" x14ac:dyDescent="0.35">
      <c r="A125" s="25" t="s">
        <v>23</v>
      </c>
      <c r="B125" s="25" t="s">
        <v>181</v>
      </c>
      <c r="C125" s="26">
        <v>136157</v>
      </c>
      <c r="D125" s="25" t="s">
        <v>190</v>
      </c>
      <c r="E125" s="25" t="s">
        <v>183</v>
      </c>
      <c r="F125" s="26" t="s">
        <v>27</v>
      </c>
      <c r="G125" s="26" t="s">
        <v>27</v>
      </c>
      <c r="H125" s="26"/>
      <c r="I125" s="26"/>
      <c r="J125" s="26">
        <v>1</v>
      </c>
      <c r="K125" s="26">
        <v>138</v>
      </c>
      <c r="L125" s="26" t="s">
        <v>28</v>
      </c>
      <c r="M125" s="27">
        <v>697</v>
      </c>
      <c r="N125" s="28"/>
      <c r="O125" s="26" t="s">
        <v>29</v>
      </c>
      <c r="P125" s="29"/>
      <c r="Q125" s="6"/>
      <c r="R125" s="29"/>
      <c r="S125" s="10"/>
      <c r="T125" s="8"/>
    </row>
    <row r="126" spans="1:20" ht="15.75" customHeight="1" x14ac:dyDescent="0.35">
      <c r="A126" s="25" t="s">
        <v>23</v>
      </c>
      <c r="B126" s="25" t="s">
        <v>181</v>
      </c>
      <c r="C126" s="26">
        <v>136159</v>
      </c>
      <c r="D126" s="25" t="s">
        <v>191</v>
      </c>
      <c r="E126" s="25" t="s">
        <v>183</v>
      </c>
      <c r="F126" s="26" t="s">
        <v>27</v>
      </c>
      <c r="G126" s="26" t="s">
        <v>27</v>
      </c>
      <c r="H126" s="26"/>
      <c r="I126" s="26"/>
      <c r="J126" s="26">
        <v>1</v>
      </c>
      <c r="K126" s="26">
        <v>138</v>
      </c>
      <c r="L126" s="26" t="s">
        <v>28</v>
      </c>
      <c r="M126" s="27">
        <v>700</v>
      </c>
      <c r="N126" s="28"/>
      <c r="O126" s="26" t="s">
        <v>29</v>
      </c>
      <c r="P126" s="29"/>
      <c r="Q126" s="6"/>
      <c r="R126" s="29"/>
      <c r="S126" s="10"/>
      <c r="T126" s="8"/>
    </row>
    <row r="127" spans="1:20" ht="15.75" customHeight="1" x14ac:dyDescent="0.35">
      <c r="A127" s="25" t="s">
        <v>23</v>
      </c>
      <c r="B127" s="25" t="s">
        <v>181</v>
      </c>
      <c r="C127" s="26">
        <v>136162</v>
      </c>
      <c r="D127" s="25" t="s">
        <v>192</v>
      </c>
      <c r="E127" s="25" t="s">
        <v>183</v>
      </c>
      <c r="F127" s="26" t="s">
        <v>27</v>
      </c>
      <c r="G127" s="26" t="s">
        <v>27</v>
      </c>
      <c r="H127" s="26"/>
      <c r="I127" s="26"/>
      <c r="J127" s="26">
        <v>1</v>
      </c>
      <c r="K127" s="26">
        <v>138</v>
      </c>
      <c r="L127" s="26" t="s">
        <v>28</v>
      </c>
      <c r="M127" s="27">
        <v>708</v>
      </c>
      <c r="N127" s="28"/>
      <c r="O127" s="26" t="s">
        <v>29</v>
      </c>
      <c r="P127" s="29"/>
      <c r="Q127" s="6"/>
      <c r="R127" s="29"/>
      <c r="S127" s="10"/>
      <c r="T127" s="8"/>
    </row>
    <row r="128" spans="1:20" ht="15.75" customHeight="1" x14ac:dyDescent="0.35">
      <c r="A128" s="25" t="s">
        <v>23</v>
      </c>
      <c r="B128" s="25" t="s">
        <v>181</v>
      </c>
      <c r="C128" s="26">
        <v>136169</v>
      </c>
      <c r="D128" s="25" t="s">
        <v>193</v>
      </c>
      <c r="E128" s="25" t="s">
        <v>183</v>
      </c>
      <c r="F128" s="26" t="s">
        <v>27</v>
      </c>
      <c r="G128" s="26" t="s">
        <v>27</v>
      </c>
      <c r="H128" s="26"/>
      <c r="I128" s="26"/>
      <c r="J128" s="26">
        <v>1</v>
      </c>
      <c r="K128" s="26">
        <v>138</v>
      </c>
      <c r="L128" s="26" t="s">
        <v>28</v>
      </c>
      <c r="M128" s="27">
        <v>720</v>
      </c>
      <c r="N128" s="28"/>
      <c r="O128" s="26" t="s">
        <v>29</v>
      </c>
      <c r="P128" s="29"/>
      <c r="Q128" s="6"/>
      <c r="R128" s="29"/>
      <c r="S128" s="10"/>
      <c r="T128" s="8"/>
    </row>
    <row r="129" spans="1:20" ht="15.75" customHeight="1" x14ac:dyDescent="0.35">
      <c r="A129" s="25" t="s">
        <v>23</v>
      </c>
      <c r="B129" s="25" t="s">
        <v>181</v>
      </c>
      <c r="C129" s="26">
        <v>136173</v>
      </c>
      <c r="D129" s="25" t="s">
        <v>194</v>
      </c>
      <c r="E129" s="25" t="s">
        <v>183</v>
      </c>
      <c r="F129" s="26" t="s">
        <v>27</v>
      </c>
      <c r="G129" s="26" t="s">
        <v>27</v>
      </c>
      <c r="H129" s="26"/>
      <c r="I129" s="26"/>
      <c r="J129" s="26">
        <v>1</v>
      </c>
      <c r="K129" s="26">
        <v>138</v>
      </c>
      <c r="L129" s="26" t="s">
        <v>28</v>
      </c>
      <c r="M129" s="27">
        <v>728</v>
      </c>
      <c r="N129" s="28"/>
      <c r="O129" s="26" t="s">
        <v>29</v>
      </c>
      <c r="P129" s="29"/>
      <c r="Q129" s="6"/>
      <c r="R129" s="29"/>
      <c r="S129" s="10"/>
      <c r="T129" s="8"/>
    </row>
    <row r="130" spans="1:20" ht="15.75" customHeight="1" x14ac:dyDescent="0.35">
      <c r="A130" s="25" t="s">
        <v>23</v>
      </c>
      <c r="B130" s="25" t="s">
        <v>181</v>
      </c>
      <c r="C130" s="26">
        <v>136181</v>
      </c>
      <c r="D130" s="25" t="s">
        <v>195</v>
      </c>
      <c r="E130" s="25" t="s">
        <v>183</v>
      </c>
      <c r="F130" s="26" t="s">
        <v>27</v>
      </c>
      <c r="G130" s="26" t="s">
        <v>27</v>
      </c>
      <c r="H130" s="26"/>
      <c r="I130" s="26"/>
      <c r="J130" s="26">
        <v>1</v>
      </c>
      <c r="K130" s="26">
        <v>138</v>
      </c>
      <c r="L130" s="26" t="s">
        <v>28</v>
      </c>
      <c r="M130" s="27">
        <v>744</v>
      </c>
      <c r="N130" s="28"/>
      <c r="O130" s="26" t="s">
        <v>29</v>
      </c>
      <c r="P130" s="29"/>
      <c r="Q130" s="6"/>
      <c r="R130" s="29"/>
      <c r="S130" s="10"/>
      <c r="T130" s="8"/>
    </row>
    <row r="131" spans="1:20" ht="15.75" customHeight="1" x14ac:dyDescent="0.35">
      <c r="A131" s="25" t="s">
        <v>23</v>
      </c>
      <c r="B131" s="25" t="s">
        <v>181</v>
      </c>
      <c r="C131" s="26">
        <v>136182</v>
      </c>
      <c r="D131" s="25" t="s">
        <v>196</v>
      </c>
      <c r="E131" s="25" t="s">
        <v>183</v>
      </c>
      <c r="F131" s="26" t="s">
        <v>27</v>
      </c>
      <c r="G131" s="26" t="s">
        <v>27</v>
      </c>
      <c r="H131" s="26"/>
      <c r="I131" s="26"/>
      <c r="J131" s="26">
        <v>1</v>
      </c>
      <c r="K131" s="26">
        <v>138</v>
      </c>
      <c r="L131" s="26" t="s">
        <v>28</v>
      </c>
      <c r="M131" s="27">
        <v>741</v>
      </c>
      <c r="N131" s="28"/>
      <c r="O131" s="26" t="s">
        <v>29</v>
      </c>
      <c r="P131" s="29"/>
      <c r="Q131" s="6"/>
      <c r="R131" s="29"/>
      <c r="S131" s="10"/>
      <c r="T131" s="8"/>
    </row>
    <row r="132" spans="1:20" ht="15.75" customHeight="1" x14ac:dyDescent="0.35">
      <c r="A132" s="25" t="s">
        <v>23</v>
      </c>
      <c r="B132" s="25" t="s">
        <v>181</v>
      </c>
      <c r="C132" s="26">
        <v>220501</v>
      </c>
      <c r="D132" s="25" t="s">
        <v>197</v>
      </c>
      <c r="E132" s="25" t="s">
        <v>183</v>
      </c>
      <c r="F132" s="26" t="s">
        <v>27</v>
      </c>
      <c r="G132" s="26" t="s">
        <v>27</v>
      </c>
      <c r="H132" s="26"/>
      <c r="I132" s="26"/>
      <c r="J132" s="26">
        <v>1</v>
      </c>
      <c r="K132" s="26">
        <v>138</v>
      </c>
      <c r="L132" s="26" t="s">
        <v>28</v>
      </c>
      <c r="M132" s="27">
        <v>737</v>
      </c>
      <c r="N132" s="28"/>
      <c r="O132" s="26" t="s">
        <v>29</v>
      </c>
      <c r="P132" s="29"/>
      <c r="Q132" s="6"/>
      <c r="R132" s="29"/>
      <c r="S132" s="10"/>
      <c r="T132" s="8"/>
    </row>
    <row r="133" spans="1:20" ht="15.75" customHeight="1" x14ac:dyDescent="0.35">
      <c r="A133" s="25" t="s">
        <v>23</v>
      </c>
      <c r="B133" s="25" t="s">
        <v>181</v>
      </c>
      <c r="C133" s="26">
        <v>220514</v>
      </c>
      <c r="D133" s="25" t="s">
        <v>198</v>
      </c>
      <c r="E133" s="25" t="s">
        <v>183</v>
      </c>
      <c r="F133" s="26" t="s">
        <v>27</v>
      </c>
      <c r="G133" s="26" t="s">
        <v>27</v>
      </c>
      <c r="H133" s="26"/>
      <c r="I133" s="26"/>
      <c r="J133" s="26">
        <v>1</v>
      </c>
      <c r="K133" s="26">
        <v>138</v>
      </c>
      <c r="L133" s="26" t="s">
        <v>28</v>
      </c>
      <c r="M133" s="27">
        <v>732</v>
      </c>
      <c r="N133" s="28"/>
      <c r="O133" s="26" t="s">
        <v>29</v>
      </c>
      <c r="P133" s="29"/>
      <c r="Q133" s="6"/>
      <c r="R133" s="29"/>
      <c r="S133" s="10"/>
      <c r="T133" s="8"/>
    </row>
    <row r="134" spans="1:20" ht="15.75" customHeight="1" x14ac:dyDescent="0.35">
      <c r="A134" s="25" t="s">
        <v>23</v>
      </c>
      <c r="B134" s="25" t="s">
        <v>181</v>
      </c>
      <c r="C134" s="26">
        <v>220520</v>
      </c>
      <c r="D134" s="25" t="s">
        <v>199</v>
      </c>
      <c r="E134" s="25" t="s">
        <v>183</v>
      </c>
      <c r="F134" s="26" t="s">
        <v>27</v>
      </c>
      <c r="G134" s="26" t="s">
        <v>27</v>
      </c>
      <c r="H134" s="26"/>
      <c r="I134" s="26"/>
      <c r="J134" s="26">
        <v>1</v>
      </c>
      <c r="K134" s="26">
        <v>138</v>
      </c>
      <c r="L134" s="26" t="s">
        <v>28</v>
      </c>
      <c r="M134" s="27">
        <v>726</v>
      </c>
      <c r="N134" s="28"/>
      <c r="O134" s="26" t="s">
        <v>29</v>
      </c>
      <c r="P134" s="29"/>
      <c r="Q134" s="6"/>
      <c r="R134" s="29"/>
      <c r="S134" s="10"/>
      <c r="T134" s="8"/>
    </row>
    <row r="135" spans="1:20" ht="15.75" customHeight="1" x14ac:dyDescent="0.35">
      <c r="A135" s="25" t="s">
        <v>23</v>
      </c>
      <c r="B135" s="25" t="s">
        <v>181</v>
      </c>
      <c r="C135" s="26">
        <v>220524</v>
      </c>
      <c r="D135" s="25" t="s">
        <v>200</v>
      </c>
      <c r="E135" s="25" t="s">
        <v>183</v>
      </c>
      <c r="F135" s="26" t="s">
        <v>27</v>
      </c>
      <c r="G135" s="26" t="s">
        <v>27</v>
      </c>
      <c r="H135" s="26"/>
      <c r="I135" s="26"/>
      <c r="J135" s="26">
        <v>1</v>
      </c>
      <c r="K135" s="26">
        <v>138</v>
      </c>
      <c r="L135" s="26" t="s">
        <v>28</v>
      </c>
      <c r="M135" s="27">
        <v>711</v>
      </c>
      <c r="N135" s="28"/>
      <c r="O135" s="26" t="s">
        <v>29</v>
      </c>
      <c r="P135" s="29"/>
      <c r="Q135" s="6"/>
      <c r="R135" s="29"/>
      <c r="S135" s="10"/>
      <c r="T135" s="8"/>
    </row>
    <row r="136" spans="1:20" ht="15.75" customHeight="1" x14ac:dyDescent="0.35">
      <c r="A136" s="25" t="s">
        <v>23</v>
      </c>
      <c r="B136" s="25" t="s">
        <v>181</v>
      </c>
      <c r="C136" s="26">
        <v>220525</v>
      </c>
      <c r="D136" s="25" t="s">
        <v>201</v>
      </c>
      <c r="E136" s="25" t="s">
        <v>183</v>
      </c>
      <c r="F136" s="26" t="s">
        <v>27</v>
      </c>
      <c r="G136" s="26" t="s">
        <v>27</v>
      </c>
      <c r="H136" s="26"/>
      <c r="I136" s="26"/>
      <c r="J136" s="26">
        <v>1</v>
      </c>
      <c r="K136" s="26">
        <v>138</v>
      </c>
      <c r="L136" s="26" t="s">
        <v>28</v>
      </c>
      <c r="M136" s="27">
        <v>712</v>
      </c>
      <c r="N136" s="28"/>
      <c r="O136" s="26" t="s">
        <v>29</v>
      </c>
      <c r="P136" s="29"/>
      <c r="Q136" s="6"/>
      <c r="R136" s="29"/>
      <c r="S136" s="10"/>
      <c r="T136" s="8"/>
    </row>
    <row r="137" spans="1:20" ht="15.75" customHeight="1" x14ac:dyDescent="0.35">
      <c r="A137" s="25" t="s">
        <v>23</v>
      </c>
      <c r="B137" s="25" t="s">
        <v>181</v>
      </c>
      <c r="C137" s="26">
        <v>220531</v>
      </c>
      <c r="D137" s="25" t="s">
        <v>202</v>
      </c>
      <c r="E137" s="25" t="s">
        <v>183</v>
      </c>
      <c r="F137" s="26" t="s">
        <v>27</v>
      </c>
      <c r="G137" s="26" t="s">
        <v>27</v>
      </c>
      <c r="H137" s="26"/>
      <c r="I137" s="26"/>
      <c r="J137" s="26">
        <v>1</v>
      </c>
      <c r="K137" s="26">
        <v>138</v>
      </c>
      <c r="L137" s="26" t="s">
        <v>28</v>
      </c>
      <c r="M137" s="27">
        <v>707</v>
      </c>
      <c r="N137" s="28"/>
      <c r="O137" s="26" t="s">
        <v>29</v>
      </c>
      <c r="P137" s="29"/>
      <c r="Q137" s="6"/>
      <c r="R137" s="29"/>
      <c r="S137" s="10"/>
      <c r="T137" s="8"/>
    </row>
    <row r="138" spans="1:20" ht="15.75" customHeight="1" x14ac:dyDescent="0.35">
      <c r="A138" s="25" t="s">
        <v>23</v>
      </c>
      <c r="B138" s="25" t="s">
        <v>181</v>
      </c>
      <c r="C138" s="26">
        <v>319101</v>
      </c>
      <c r="D138" s="25" t="s">
        <v>203</v>
      </c>
      <c r="E138" s="25" t="s">
        <v>183</v>
      </c>
      <c r="F138" s="26" t="s">
        <v>27</v>
      </c>
      <c r="G138" s="26" t="s">
        <v>27</v>
      </c>
      <c r="H138" s="26"/>
      <c r="I138" s="26"/>
      <c r="J138" s="26">
        <v>1</v>
      </c>
      <c r="K138" s="26">
        <v>138</v>
      </c>
      <c r="L138" s="26" t="s">
        <v>28</v>
      </c>
      <c r="M138" s="27">
        <v>710</v>
      </c>
      <c r="N138" s="28"/>
      <c r="O138" s="26" t="s">
        <v>29</v>
      </c>
      <c r="P138" s="29"/>
      <c r="Q138" s="6"/>
      <c r="R138" s="29"/>
      <c r="S138" s="10"/>
      <c r="T138" s="8"/>
    </row>
    <row r="139" spans="1:20" ht="15.75" customHeight="1" x14ac:dyDescent="0.35">
      <c r="A139" s="25" t="s">
        <v>23</v>
      </c>
      <c r="B139" s="25" t="s">
        <v>181</v>
      </c>
      <c r="C139" s="26">
        <v>319117</v>
      </c>
      <c r="D139" s="25" t="s">
        <v>204</v>
      </c>
      <c r="E139" s="25" t="s">
        <v>183</v>
      </c>
      <c r="F139" s="26" t="s">
        <v>27</v>
      </c>
      <c r="G139" s="26" t="s">
        <v>27</v>
      </c>
      <c r="H139" s="26"/>
      <c r="I139" s="26"/>
      <c r="J139" s="26">
        <v>1</v>
      </c>
      <c r="K139" s="26">
        <v>138</v>
      </c>
      <c r="L139" s="26" t="s">
        <v>28</v>
      </c>
      <c r="M139" s="27">
        <v>734</v>
      </c>
      <c r="N139" s="28"/>
      <c r="O139" s="26" t="s">
        <v>29</v>
      </c>
      <c r="P139" s="29"/>
      <c r="Q139" s="6"/>
      <c r="R139" s="29"/>
      <c r="S139" s="10"/>
      <c r="T139" s="8"/>
    </row>
    <row r="140" spans="1:20" ht="15.75" customHeight="1" x14ac:dyDescent="0.35">
      <c r="A140" s="25" t="s">
        <v>205</v>
      </c>
      <c r="B140" s="25" t="s">
        <v>206</v>
      </c>
      <c r="C140" s="26">
        <v>131415</v>
      </c>
      <c r="D140" s="25" t="s">
        <v>207</v>
      </c>
      <c r="E140" s="25" t="s">
        <v>208</v>
      </c>
      <c r="F140" s="26" t="s">
        <v>90</v>
      </c>
      <c r="G140" s="26" t="s">
        <v>90</v>
      </c>
      <c r="H140" s="26">
        <v>1</v>
      </c>
      <c r="I140" s="26">
        <v>3</v>
      </c>
      <c r="J140" s="26">
        <v>1</v>
      </c>
      <c r="K140" s="26">
        <v>138</v>
      </c>
      <c r="L140" s="26" t="s">
        <v>28</v>
      </c>
      <c r="M140" s="27">
        <v>764</v>
      </c>
      <c r="N140" s="28">
        <v>220633.82</v>
      </c>
      <c r="O140" s="26" t="s">
        <v>29</v>
      </c>
      <c r="P140" s="29"/>
      <c r="Q140" s="6"/>
      <c r="R140" s="29"/>
      <c r="S140" s="10"/>
      <c r="T140" s="8">
        <v>1</v>
      </c>
    </row>
    <row r="141" spans="1:20" ht="15.75" customHeight="1" x14ac:dyDescent="0.35">
      <c r="A141" s="25" t="s">
        <v>205</v>
      </c>
      <c r="B141" s="25" t="s">
        <v>206</v>
      </c>
      <c r="C141" s="26">
        <v>131439</v>
      </c>
      <c r="D141" s="25" t="s">
        <v>209</v>
      </c>
      <c r="E141" s="25" t="s">
        <v>210</v>
      </c>
      <c r="F141" s="26" t="s">
        <v>90</v>
      </c>
      <c r="G141" s="26" t="s">
        <v>90</v>
      </c>
      <c r="H141" s="26"/>
      <c r="I141" s="26"/>
      <c r="J141" s="26">
        <v>1</v>
      </c>
      <c r="K141" s="26">
        <v>138</v>
      </c>
      <c r="L141" s="26" t="s">
        <v>28</v>
      </c>
      <c r="M141" s="27">
        <v>771</v>
      </c>
      <c r="N141" s="28"/>
      <c r="O141" s="26" t="s">
        <v>29</v>
      </c>
      <c r="P141" s="29"/>
      <c r="Q141" s="6"/>
      <c r="R141" s="29"/>
      <c r="S141" s="10"/>
      <c r="T141" s="8"/>
    </row>
    <row r="142" spans="1:20" ht="15.75" customHeight="1" x14ac:dyDescent="0.35">
      <c r="A142" s="25" t="s">
        <v>205</v>
      </c>
      <c r="B142" s="25" t="s">
        <v>206</v>
      </c>
      <c r="C142" s="26">
        <v>131455</v>
      </c>
      <c r="D142" s="25" t="s">
        <v>211</v>
      </c>
      <c r="E142" s="25" t="s">
        <v>212</v>
      </c>
      <c r="F142" s="26" t="s">
        <v>90</v>
      </c>
      <c r="G142" s="26" t="s">
        <v>90</v>
      </c>
      <c r="H142" s="26"/>
      <c r="I142" s="26"/>
      <c r="J142" s="26">
        <v>1</v>
      </c>
      <c r="K142" s="26">
        <v>138</v>
      </c>
      <c r="L142" s="26" t="s">
        <v>28</v>
      </c>
      <c r="M142" s="27">
        <v>774</v>
      </c>
      <c r="N142" s="28"/>
      <c r="O142" s="26" t="s">
        <v>29</v>
      </c>
      <c r="P142" s="29"/>
      <c r="Q142" s="6"/>
      <c r="R142" s="29"/>
      <c r="S142" s="10"/>
      <c r="T142" s="8"/>
    </row>
    <row r="143" spans="1:20" ht="15.75" customHeight="1" x14ac:dyDescent="0.35">
      <c r="A143" s="25" t="s">
        <v>205</v>
      </c>
      <c r="B143" s="25" t="s">
        <v>206</v>
      </c>
      <c r="C143" s="26">
        <v>131475</v>
      </c>
      <c r="D143" s="25" t="s">
        <v>213</v>
      </c>
      <c r="E143" s="25" t="s">
        <v>214</v>
      </c>
      <c r="F143" s="26" t="s">
        <v>215</v>
      </c>
      <c r="G143" s="26" t="s">
        <v>215</v>
      </c>
      <c r="H143" s="26"/>
      <c r="I143" s="26"/>
      <c r="J143" s="26">
        <v>1</v>
      </c>
      <c r="K143" s="26">
        <v>138</v>
      </c>
      <c r="L143" s="26" t="s">
        <v>28</v>
      </c>
      <c r="M143" s="27">
        <v>762</v>
      </c>
      <c r="N143" s="28"/>
      <c r="O143" s="26" t="s">
        <v>29</v>
      </c>
      <c r="P143" s="29"/>
      <c r="Q143" s="6"/>
      <c r="R143" s="29"/>
      <c r="S143" s="10"/>
      <c r="T143" s="8"/>
    </row>
    <row r="144" spans="1:20" ht="15.75" customHeight="1" x14ac:dyDescent="0.35">
      <c r="A144" s="25" t="s">
        <v>205</v>
      </c>
      <c r="B144" s="25" t="s">
        <v>206</v>
      </c>
      <c r="C144" s="26">
        <v>131478</v>
      </c>
      <c r="D144" s="25" t="s">
        <v>216</v>
      </c>
      <c r="E144" s="25" t="s">
        <v>214</v>
      </c>
      <c r="F144" s="26" t="s">
        <v>215</v>
      </c>
      <c r="G144" s="26" t="s">
        <v>215</v>
      </c>
      <c r="H144" s="26"/>
      <c r="I144" s="26"/>
      <c r="J144" s="26">
        <v>1</v>
      </c>
      <c r="K144" s="26">
        <v>138</v>
      </c>
      <c r="L144" s="26" t="s">
        <v>28</v>
      </c>
      <c r="M144" s="27">
        <v>763</v>
      </c>
      <c r="N144" s="28"/>
      <c r="O144" s="26" t="s">
        <v>29</v>
      </c>
      <c r="P144" s="29"/>
      <c r="Q144" s="6"/>
      <c r="R144" s="29"/>
      <c r="S144" s="10"/>
      <c r="T144" s="8"/>
    </row>
    <row r="145" spans="1:20" ht="15.75" customHeight="1" x14ac:dyDescent="0.35">
      <c r="A145" s="25" t="s">
        <v>205</v>
      </c>
      <c r="B145" s="25" t="s">
        <v>206</v>
      </c>
      <c r="C145" s="26">
        <v>131553</v>
      </c>
      <c r="D145" s="25" t="s">
        <v>217</v>
      </c>
      <c r="E145" s="25" t="s">
        <v>218</v>
      </c>
      <c r="F145" s="26" t="s">
        <v>90</v>
      </c>
      <c r="G145" s="26" t="s">
        <v>90</v>
      </c>
      <c r="H145" s="26"/>
      <c r="I145" s="26"/>
      <c r="J145" s="26">
        <v>1</v>
      </c>
      <c r="K145" s="26">
        <v>138</v>
      </c>
      <c r="L145" s="26" t="s">
        <v>28</v>
      </c>
      <c r="M145" s="27">
        <v>768</v>
      </c>
      <c r="N145" s="28"/>
      <c r="O145" s="26" t="s">
        <v>29</v>
      </c>
      <c r="P145" s="29"/>
      <c r="Q145" s="6"/>
      <c r="R145" s="29"/>
      <c r="S145" s="10"/>
      <c r="T145" s="8"/>
    </row>
    <row r="146" spans="1:20" ht="15.75" customHeight="1" x14ac:dyDescent="0.35">
      <c r="A146" s="25" t="s">
        <v>205</v>
      </c>
      <c r="B146" s="25" t="s">
        <v>206</v>
      </c>
      <c r="C146" s="26">
        <v>131555</v>
      </c>
      <c r="D146" s="25" t="s">
        <v>219</v>
      </c>
      <c r="E146" s="25" t="s">
        <v>218</v>
      </c>
      <c r="F146" s="26" t="s">
        <v>90</v>
      </c>
      <c r="G146" s="26" t="s">
        <v>90</v>
      </c>
      <c r="H146" s="26"/>
      <c r="I146" s="26"/>
      <c r="J146" s="26">
        <v>1</v>
      </c>
      <c r="K146" s="26">
        <v>138</v>
      </c>
      <c r="L146" s="26" t="s">
        <v>28</v>
      </c>
      <c r="M146" s="27">
        <v>769</v>
      </c>
      <c r="N146" s="28"/>
      <c r="O146" s="26" t="s">
        <v>29</v>
      </c>
      <c r="P146" s="29"/>
      <c r="Q146" s="6"/>
      <c r="R146" s="29"/>
      <c r="S146" s="10"/>
      <c r="T146" s="8"/>
    </row>
    <row r="147" spans="1:20" ht="15.75" customHeight="1" x14ac:dyDescent="0.35">
      <c r="A147" s="25" t="s">
        <v>205</v>
      </c>
      <c r="B147" s="25" t="s">
        <v>206</v>
      </c>
      <c r="C147" s="26">
        <v>211503</v>
      </c>
      <c r="D147" s="25" t="s">
        <v>220</v>
      </c>
      <c r="E147" s="25" t="s">
        <v>218</v>
      </c>
      <c r="F147" s="26" t="s">
        <v>90</v>
      </c>
      <c r="G147" s="26" t="s">
        <v>90</v>
      </c>
      <c r="H147" s="26">
        <v>1</v>
      </c>
      <c r="I147" s="26">
        <v>4</v>
      </c>
      <c r="J147" s="26">
        <v>1</v>
      </c>
      <c r="K147" s="26">
        <v>138</v>
      </c>
      <c r="L147" s="26" t="s">
        <v>28</v>
      </c>
      <c r="M147" s="27">
        <v>765</v>
      </c>
      <c r="N147" s="28">
        <v>294804.52</v>
      </c>
      <c r="O147" s="26" t="s">
        <v>29</v>
      </c>
      <c r="P147" s="29"/>
      <c r="Q147" s="6"/>
      <c r="R147" s="29"/>
      <c r="S147" s="10"/>
      <c r="T147" s="8">
        <v>1</v>
      </c>
    </row>
    <row r="148" spans="1:20" ht="15.75" customHeight="1" x14ac:dyDescent="0.35">
      <c r="A148" s="25" t="s">
        <v>205</v>
      </c>
      <c r="B148" s="25" t="s">
        <v>206</v>
      </c>
      <c r="C148" s="26">
        <v>211505</v>
      </c>
      <c r="D148" s="25" t="s">
        <v>221</v>
      </c>
      <c r="E148" s="25" t="s">
        <v>214</v>
      </c>
      <c r="F148" s="26" t="s">
        <v>215</v>
      </c>
      <c r="G148" s="26" t="s">
        <v>215</v>
      </c>
      <c r="H148" s="26"/>
      <c r="I148" s="26"/>
      <c r="J148" s="26">
        <v>1</v>
      </c>
      <c r="K148" s="26">
        <v>138</v>
      </c>
      <c r="L148" s="26" t="s">
        <v>28</v>
      </c>
      <c r="M148" s="27">
        <v>760</v>
      </c>
      <c r="N148" s="28"/>
      <c r="O148" s="26" t="s">
        <v>29</v>
      </c>
      <c r="P148" s="29"/>
      <c r="Q148" s="6"/>
      <c r="R148" s="29"/>
      <c r="S148" s="10"/>
      <c r="T148" s="8"/>
    </row>
    <row r="149" spans="1:20" ht="15.75" customHeight="1" x14ac:dyDescent="0.35">
      <c r="A149" s="25" t="s">
        <v>205</v>
      </c>
      <c r="B149" s="25" t="s">
        <v>206</v>
      </c>
      <c r="C149" s="26">
        <v>211506</v>
      </c>
      <c r="D149" s="25" t="s">
        <v>222</v>
      </c>
      <c r="E149" s="25" t="s">
        <v>218</v>
      </c>
      <c r="F149" s="26" t="s">
        <v>90</v>
      </c>
      <c r="G149" s="26" t="s">
        <v>90</v>
      </c>
      <c r="H149" s="26"/>
      <c r="I149" s="26"/>
      <c r="J149" s="26">
        <v>1</v>
      </c>
      <c r="K149" s="26">
        <v>138</v>
      </c>
      <c r="L149" s="26" t="s">
        <v>28</v>
      </c>
      <c r="M149" s="27">
        <v>766</v>
      </c>
      <c r="N149" s="28"/>
      <c r="O149" s="26" t="s">
        <v>29</v>
      </c>
      <c r="P149" s="29"/>
      <c r="Q149" s="6"/>
      <c r="R149" s="29"/>
      <c r="S149" s="10"/>
      <c r="T149" s="8"/>
    </row>
    <row r="150" spans="1:20" ht="15.75" customHeight="1" x14ac:dyDescent="0.35">
      <c r="A150" s="25" t="s">
        <v>205</v>
      </c>
      <c r="B150" s="25" t="s">
        <v>206</v>
      </c>
      <c r="C150" s="26">
        <v>211508</v>
      </c>
      <c r="D150" s="25" t="s">
        <v>223</v>
      </c>
      <c r="E150" s="25" t="s">
        <v>224</v>
      </c>
      <c r="F150" s="26" t="s">
        <v>90</v>
      </c>
      <c r="G150" s="26" t="s">
        <v>90</v>
      </c>
      <c r="H150" s="26"/>
      <c r="I150" s="26"/>
      <c r="J150" s="26">
        <v>1</v>
      </c>
      <c r="K150" s="26">
        <v>138</v>
      </c>
      <c r="L150" s="26" t="s">
        <v>28</v>
      </c>
      <c r="M150" s="27">
        <v>770</v>
      </c>
      <c r="N150" s="28"/>
      <c r="O150" s="26" t="s">
        <v>29</v>
      </c>
      <c r="P150" s="29"/>
      <c r="Q150" s="6"/>
      <c r="R150" s="29"/>
      <c r="S150" s="10"/>
      <c r="T150" s="8"/>
    </row>
    <row r="151" spans="1:20" ht="15.75" customHeight="1" x14ac:dyDescent="0.35">
      <c r="A151" s="25" t="s">
        <v>205</v>
      </c>
      <c r="B151" s="25" t="s">
        <v>206</v>
      </c>
      <c r="C151" s="26">
        <v>211510</v>
      </c>
      <c r="D151" s="25" t="s">
        <v>225</v>
      </c>
      <c r="E151" s="25" t="s">
        <v>226</v>
      </c>
      <c r="F151" s="26" t="s">
        <v>90</v>
      </c>
      <c r="G151" s="26" t="s">
        <v>90</v>
      </c>
      <c r="H151" s="26"/>
      <c r="I151" s="26"/>
      <c r="J151" s="26">
        <v>1</v>
      </c>
      <c r="K151" s="26">
        <v>138</v>
      </c>
      <c r="L151" s="26" t="s">
        <v>28</v>
      </c>
      <c r="M151" s="27">
        <v>772</v>
      </c>
      <c r="N151" s="28"/>
      <c r="O151" s="26" t="s">
        <v>29</v>
      </c>
      <c r="P151" s="29"/>
      <c r="Q151" s="6"/>
      <c r="R151" s="29"/>
      <c r="S151" s="10"/>
      <c r="T151" s="8"/>
    </row>
    <row r="152" spans="1:20" ht="15.75" customHeight="1" x14ac:dyDescent="0.35">
      <c r="A152" s="25" t="s">
        <v>205</v>
      </c>
      <c r="B152" s="25" t="s">
        <v>206</v>
      </c>
      <c r="C152" s="26">
        <v>304681</v>
      </c>
      <c r="D152" s="25" t="s">
        <v>227</v>
      </c>
      <c r="E152" s="25" t="s">
        <v>214</v>
      </c>
      <c r="F152" s="26" t="s">
        <v>215</v>
      </c>
      <c r="G152" s="26" t="s">
        <v>215</v>
      </c>
      <c r="H152" s="26"/>
      <c r="I152" s="26"/>
      <c r="J152" s="26">
        <v>1</v>
      </c>
      <c r="K152" s="26">
        <v>138</v>
      </c>
      <c r="L152" s="26" t="s">
        <v>28</v>
      </c>
      <c r="M152" s="27">
        <v>761</v>
      </c>
      <c r="N152" s="28"/>
      <c r="O152" s="26" t="s">
        <v>29</v>
      </c>
      <c r="P152" s="29"/>
      <c r="Q152" s="6"/>
      <c r="R152" s="29"/>
      <c r="S152" s="10"/>
      <c r="T152" s="8"/>
    </row>
    <row r="153" spans="1:20" ht="15.75" customHeight="1" x14ac:dyDescent="0.35">
      <c r="A153" s="25" t="s">
        <v>205</v>
      </c>
      <c r="B153" s="25" t="s">
        <v>206</v>
      </c>
      <c r="C153" s="26">
        <v>317318</v>
      </c>
      <c r="D153" s="25" t="s">
        <v>228</v>
      </c>
      <c r="E153" s="25" t="s">
        <v>224</v>
      </c>
      <c r="F153" s="26" t="s">
        <v>90</v>
      </c>
      <c r="G153" s="26" t="s">
        <v>90</v>
      </c>
      <c r="H153" s="26"/>
      <c r="I153" s="26"/>
      <c r="J153" s="26">
        <v>1</v>
      </c>
      <c r="K153" s="26">
        <v>138</v>
      </c>
      <c r="L153" s="26" t="s">
        <v>28</v>
      </c>
      <c r="M153" s="27">
        <v>767</v>
      </c>
      <c r="N153" s="28"/>
      <c r="O153" s="26" t="s">
        <v>29</v>
      </c>
      <c r="P153" s="29"/>
      <c r="Q153" s="6"/>
      <c r="R153" s="29"/>
      <c r="S153" s="10"/>
      <c r="T153" s="8"/>
    </row>
    <row r="154" spans="1:20" ht="15.75" customHeight="1" x14ac:dyDescent="0.35">
      <c r="A154" s="25" t="s">
        <v>205</v>
      </c>
      <c r="B154" s="25" t="s">
        <v>206</v>
      </c>
      <c r="C154" s="26">
        <v>317320</v>
      </c>
      <c r="D154" s="25" t="s">
        <v>229</v>
      </c>
      <c r="E154" s="25" t="s">
        <v>230</v>
      </c>
      <c r="F154" s="26" t="s">
        <v>90</v>
      </c>
      <c r="G154" s="26" t="s">
        <v>90</v>
      </c>
      <c r="H154" s="26"/>
      <c r="I154" s="26"/>
      <c r="J154" s="26">
        <v>1</v>
      </c>
      <c r="K154" s="26">
        <v>138</v>
      </c>
      <c r="L154" s="26" t="s">
        <v>28</v>
      </c>
      <c r="M154" s="27">
        <v>773</v>
      </c>
      <c r="N154" s="28"/>
      <c r="O154" s="26" t="s">
        <v>29</v>
      </c>
      <c r="P154" s="29"/>
      <c r="Q154" s="6"/>
      <c r="R154" s="29"/>
      <c r="S154" s="10"/>
      <c r="T154" s="8"/>
    </row>
    <row r="155" spans="1:20" ht="15.75" customHeight="1" x14ac:dyDescent="0.35">
      <c r="A155" s="25" t="s">
        <v>205</v>
      </c>
      <c r="B155" s="25" t="s">
        <v>231</v>
      </c>
      <c r="C155" s="26">
        <v>131647</v>
      </c>
      <c r="D155" s="25" t="s">
        <v>232</v>
      </c>
      <c r="E155" s="25" t="s">
        <v>233</v>
      </c>
      <c r="F155" s="26" t="s">
        <v>90</v>
      </c>
      <c r="G155" s="26" t="s">
        <v>90</v>
      </c>
      <c r="H155" s="26"/>
      <c r="I155" s="26"/>
      <c r="J155" s="26">
        <v>1</v>
      </c>
      <c r="K155" s="26">
        <v>138</v>
      </c>
      <c r="L155" s="26" t="s">
        <v>28</v>
      </c>
      <c r="M155" s="27">
        <v>798</v>
      </c>
      <c r="N155" s="28"/>
      <c r="O155" s="26" t="s">
        <v>29</v>
      </c>
      <c r="P155" s="29"/>
      <c r="Q155" s="6"/>
      <c r="R155" s="29"/>
      <c r="S155" s="10"/>
      <c r="T155" s="8"/>
    </row>
    <row r="156" spans="1:20" ht="15.75" customHeight="1" x14ac:dyDescent="0.35">
      <c r="A156" s="25" t="s">
        <v>205</v>
      </c>
      <c r="B156" s="25" t="s">
        <v>231</v>
      </c>
      <c r="C156" s="26">
        <v>131662</v>
      </c>
      <c r="D156" s="25" t="s">
        <v>234</v>
      </c>
      <c r="E156" s="25" t="s">
        <v>233</v>
      </c>
      <c r="F156" s="26" t="s">
        <v>90</v>
      </c>
      <c r="G156" s="26" t="s">
        <v>90</v>
      </c>
      <c r="H156" s="26"/>
      <c r="I156" s="26"/>
      <c r="J156" s="26">
        <v>1</v>
      </c>
      <c r="K156" s="26">
        <v>138</v>
      </c>
      <c r="L156" s="26" t="s">
        <v>28</v>
      </c>
      <c r="M156" s="27">
        <v>836</v>
      </c>
      <c r="N156" s="28"/>
      <c r="O156" s="26" t="s">
        <v>29</v>
      </c>
      <c r="P156" s="29"/>
      <c r="Q156" s="6"/>
      <c r="R156" s="29"/>
      <c r="S156" s="10"/>
      <c r="T156" s="8"/>
    </row>
    <row r="157" spans="1:20" ht="15.75" customHeight="1" x14ac:dyDescent="0.35">
      <c r="A157" s="25" t="s">
        <v>205</v>
      </c>
      <c r="B157" s="25" t="s">
        <v>231</v>
      </c>
      <c r="C157" s="26">
        <v>131664</v>
      </c>
      <c r="D157" s="25" t="s">
        <v>235</v>
      </c>
      <c r="E157" s="25" t="s">
        <v>233</v>
      </c>
      <c r="F157" s="26" t="s">
        <v>90</v>
      </c>
      <c r="G157" s="26" t="s">
        <v>90</v>
      </c>
      <c r="H157" s="26"/>
      <c r="I157" s="26"/>
      <c r="J157" s="26">
        <v>1</v>
      </c>
      <c r="K157" s="26">
        <v>138</v>
      </c>
      <c r="L157" s="26" t="s">
        <v>28</v>
      </c>
      <c r="M157" s="27">
        <v>838</v>
      </c>
      <c r="N157" s="28"/>
      <c r="O157" s="26" t="s">
        <v>29</v>
      </c>
      <c r="P157" s="29"/>
      <c r="Q157" s="6"/>
      <c r="R157" s="29"/>
      <c r="S157" s="10"/>
      <c r="T157" s="8"/>
    </row>
    <row r="158" spans="1:20" ht="15.75" customHeight="1" x14ac:dyDescent="0.35">
      <c r="A158" s="25" t="s">
        <v>205</v>
      </c>
      <c r="B158" s="25" t="s">
        <v>231</v>
      </c>
      <c r="C158" s="26">
        <v>131671</v>
      </c>
      <c r="D158" s="25" t="s">
        <v>236</v>
      </c>
      <c r="E158" s="25" t="s">
        <v>237</v>
      </c>
      <c r="F158" s="26" t="s">
        <v>215</v>
      </c>
      <c r="G158" s="26" t="s">
        <v>215</v>
      </c>
      <c r="H158" s="26"/>
      <c r="I158" s="26"/>
      <c r="J158" s="26">
        <v>1</v>
      </c>
      <c r="K158" s="26">
        <v>138</v>
      </c>
      <c r="L158" s="26" t="s">
        <v>28</v>
      </c>
      <c r="M158" s="27">
        <v>777</v>
      </c>
      <c r="N158" s="28"/>
      <c r="O158" s="26" t="s">
        <v>29</v>
      </c>
      <c r="P158" s="29"/>
      <c r="Q158" s="6"/>
      <c r="R158" s="29"/>
      <c r="S158" s="10"/>
      <c r="T158" s="8"/>
    </row>
    <row r="159" spans="1:20" ht="15.75" customHeight="1" x14ac:dyDescent="0.35">
      <c r="A159" s="25" t="s">
        <v>205</v>
      </c>
      <c r="B159" s="25" t="s">
        <v>231</v>
      </c>
      <c r="C159" s="26">
        <v>131674</v>
      </c>
      <c r="D159" s="25" t="s">
        <v>238</v>
      </c>
      <c r="E159" s="25" t="s">
        <v>237</v>
      </c>
      <c r="F159" s="26" t="s">
        <v>215</v>
      </c>
      <c r="G159" s="26" t="s">
        <v>215</v>
      </c>
      <c r="H159" s="26"/>
      <c r="I159" s="26"/>
      <c r="J159" s="26">
        <v>1</v>
      </c>
      <c r="K159" s="26">
        <v>138</v>
      </c>
      <c r="L159" s="26" t="s">
        <v>28</v>
      </c>
      <c r="M159" s="27">
        <v>783</v>
      </c>
      <c r="N159" s="28"/>
      <c r="O159" s="26" t="s">
        <v>29</v>
      </c>
      <c r="P159" s="29"/>
      <c r="Q159" s="6"/>
      <c r="R159" s="29"/>
      <c r="S159" s="10"/>
      <c r="T159" s="8"/>
    </row>
    <row r="160" spans="1:20" ht="15.75" customHeight="1" x14ac:dyDescent="0.35">
      <c r="A160" s="25" t="s">
        <v>205</v>
      </c>
      <c r="B160" s="25" t="s">
        <v>231</v>
      </c>
      <c r="C160" s="26">
        <v>131688</v>
      </c>
      <c r="D160" s="25" t="s">
        <v>239</v>
      </c>
      <c r="E160" s="25" t="s">
        <v>237</v>
      </c>
      <c r="F160" s="26" t="s">
        <v>215</v>
      </c>
      <c r="G160" s="26" t="s">
        <v>215</v>
      </c>
      <c r="H160" s="26"/>
      <c r="I160" s="26"/>
      <c r="J160" s="26">
        <v>1</v>
      </c>
      <c r="K160" s="26">
        <v>138</v>
      </c>
      <c r="L160" s="26" t="s">
        <v>28</v>
      </c>
      <c r="M160" s="27">
        <v>791</v>
      </c>
      <c r="N160" s="28"/>
      <c r="O160" s="26" t="s">
        <v>29</v>
      </c>
      <c r="P160" s="29"/>
      <c r="Q160" s="6"/>
      <c r="R160" s="29"/>
      <c r="S160" s="10"/>
      <c r="T160" s="8"/>
    </row>
    <row r="161" spans="1:20" ht="15.75" customHeight="1" x14ac:dyDescent="0.35">
      <c r="A161" s="25" t="s">
        <v>205</v>
      </c>
      <c r="B161" s="25" t="s">
        <v>231</v>
      </c>
      <c r="C161" s="26">
        <v>131718</v>
      </c>
      <c r="D161" s="25" t="s">
        <v>240</v>
      </c>
      <c r="E161" s="25" t="s">
        <v>241</v>
      </c>
      <c r="F161" s="26" t="s">
        <v>90</v>
      </c>
      <c r="G161" s="26" t="s">
        <v>90</v>
      </c>
      <c r="H161" s="26"/>
      <c r="I161" s="26"/>
      <c r="J161" s="26">
        <v>1</v>
      </c>
      <c r="K161" s="26">
        <v>138</v>
      </c>
      <c r="L161" s="26" t="s">
        <v>28</v>
      </c>
      <c r="M161" s="27">
        <v>809</v>
      </c>
      <c r="N161" s="28"/>
      <c r="O161" s="26" t="s">
        <v>29</v>
      </c>
      <c r="P161" s="29"/>
      <c r="Q161" s="6"/>
      <c r="R161" s="29"/>
      <c r="S161" s="10"/>
      <c r="T161" s="8"/>
    </row>
    <row r="162" spans="1:20" ht="15.75" customHeight="1" x14ac:dyDescent="0.35">
      <c r="A162" s="25" t="s">
        <v>205</v>
      </c>
      <c r="B162" s="25" t="s">
        <v>231</v>
      </c>
      <c r="C162" s="26">
        <v>131719</v>
      </c>
      <c r="D162" s="25" t="s">
        <v>242</v>
      </c>
      <c r="E162" s="25" t="s">
        <v>241</v>
      </c>
      <c r="F162" s="26" t="s">
        <v>90</v>
      </c>
      <c r="G162" s="26" t="s">
        <v>90</v>
      </c>
      <c r="H162" s="26"/>
      <c r="I162" s="26"/>
      <c r="J162" s="26">
        <v>1</v>
      </c>
      <c r="K162" s="26">
        <v>138</v>
      </c>
      <c r="L162" s="26" t="s">
        <v>28</v>
      </c>
      <c r="M162" s="27">
        <v>811</v>
      </c>
      <c r="N162" s="28"/>
      <c r="O162" s="26" t="s">
        <v>29</v>
      </c>
      <c r="P162" s="29"/>
      <c r="Q162" s="6"/>
      <c r="R162" s="29"/>
      <c r="S162" s="10"/>
      <c r="T162" s="8"/>
    </row>
    <row r="163" spans="1:20" ht="15.75" customHeight="1" x14ac:dyDescent="0.35">
      <c r="A163" s="25" t="s">
        <v>205</v>
      </c>
      <c r="B163" s="25" t="s">
        <v>231</v>
      </c>
      <c r="C163" s="26">
        <v>131722</v>
      </c>
      <c r="D163" s="25" t="s">
        <v>243</v>
      </c>
      <c r="E163" s="25" t="s">
        <v>241</v>
      </c>
      <c r="F163" s="26" t="s">
        <v>90</v>
      </c>
      <c r="G163" s="26" t="s">
        <v>90</v>
      </c>
      <c r="H163" s="26"/>
      <c r="I163" s="26"/>
      <c r="J163" s="26">
        <v>1</v>
      </c>
      <c r="K163" s="26">
        <v>138</v>
      </c>
      <c r="L163" s="26" t="s">
        <v>28</v>
      </c>
      <c r="M163" s="27">
        <v>814</v>
      </c>
      <c r="N163" s="28"/>
      <c r="O163" s="26" t="s">
        <v>29</v>
      </c>
      <c r="P163" s="29"/>
      <c r="Q163" s="6"/>
      <c r="R163" s="29"/>
      <c r="S163" s="10"/>
      <c r="T163" s="8"/>
    </row>
    <row r="164" spans="1:20" ht="15.75" customHeight="1" x14ac:dyDescent="0.35">
      <c r="A164" s="25" t="s">
        <v>205</v>
      </c>
      <c r="B164" s="25" t="s">
        <v>231</v>
      </c>
      <c r="C164" s="26">
        <v>131723</v>
      </c>
      <c r="D164" s="25" t="s">
        <v>244</v>
      </c>
      <c r="E164" s="25" t="s">
        <v>241</v>
      </c>
      <c r="F164" s="26" t="s">
        <v>90</v>
      </c>
      <c r="G164" s="26" t="s">
        <v>90</v>
      </c>
      <c r="H164" s="26"/>
      <c r="I164" s="26"/>
      <c r="J164" s="26">
        <v>1</v>
      </c>
      <c r="K164" s="26">
        <v>138</v>
      </c>
      <c r="L164" s="26" t="s">
        <v>28</v>
      </c>
      <c r="M164" s="27">
        <v>815</v>
      </c>
      <c r="N164" s="28"/>
      <c r="O164" s="26" t="s">
        <v>29</v>
      </c>
      <c r="P164" s="29"/>
      <c r="Q164" s="6"/>
      <c r="R164" s="29"/>
      <c r="S164" s="10"/>
      <c r="T164" s="8"/>
    </row>
    <row r="165" spans="1:20" ht="15.75" customHeight="1" x14ac:dyDescent="0.35">
      <c r="A165" s="25" t="s">
        <v>205</v>
      </c>
      <c r="B165" s="25" t="s">
        <v>231</v>
      </c>
      <c r="C165" s="26">
        <v>131729</v>
      </c>
      <c r="D165" s="25" t="s">
        <v>245</v>
      </c>
      <c r="E165" s="25" t="s">
        <v>241</v>
      </c>
      <c r="F165" s="26" t="s">
        <v>90</v>
      </c>
      <c r="G165" s="26" t="s">
        <v>90</v>
      </c>
      <c r="H165" s="26"/>
      <c r="I165" s="26"/>
      <c r="J165" s="26">
        <v>1</v>
      </c>
      <c r="K165" s="26">
        <v>138</v>
      </c>
      <c r="L165" s="26" t="s">
        <v>28</v>
      </c>
      <c r="M165" s="27">
        <v>821</v>
      </c>
      <c r="N165" s="28"/>
      <c r="O165" s="26" t="s">
        <v>29</v>
      </c>
      <c r="P165" s="29"/>
      <c r="Q165" s="6"/>
      <c r="R165" s="29"/>
      <c r="S165" s="10"/>
      <c r="T165" s="8"/>
    </row>
    <row r="166" spans="1:20" ht="15.75" customHeight="1" x14ac:dyDescent="0.35">
      <c r="A166" s="25" t="s">
        <v>205</v>
      </c>
      <c r="B166" s="25" t="s">
        <v>231</v>
      </c>
      <c r="C166" s="26">
        <v>131733</v>
      </c>
      <c r="D166" s="25" t="s">
        <v>246</v>
      </c>
      <c r="E166" s="25" t="s">
        <v>241</v>
      </c>
      <c r="F166" s="26" t="s">
        <v>90</v>
      </c>
      <c r="G166" s="26" t="s">
        <v>90</v>
      </c>
      <c r="H166" s="26"/>
      <c r="I166" s="26"/>
      <c r="J166" s="26">
        <v>1</v>
      </c>
      <c r="K166" s="26">
        <v>138</v>
      </c>
      <c r="L166" s="26" t="s">
        <v>28</v>
      </c>
      <c r="M166" s="27">
        <v>826</v>
      </c>
      <c r="N166" s="28"/>
      <c r="O166" s="26" t="s">
        <v>29</v>
      </c>
      <c r="P166" s="29"/>
      <c r="Q166" s="6"/>
      <c r="R166" s="29"/>
      <c r="S166" s="10"/>
      <c r="T166" s="8"/>
    </row>
    <row r="167" spans="1:20" ht="15.75" customHeight="1" x14ac:dyDescent="0.35">
      <c r="A167" s="25" t="s">
        <v>205</v>
      </c>
      <c r="B167" s="25" t="s">
        <v>231</v>
      </c>
      <c r="C167" s="26">
        <v>131734</v>
      </c>
      <c r="D167" s="25" t="s">
        <v>247</v>
      </c>
      <c r="E167" s="25" t="s">
        <v>241</v>
      </c>
      <c r="F167" s="26" t="s">
        <v>90</v>
      </c>
      <c r="G167" s="26" t="s">
        <v>90</v>
      </c>
      <c r="H167" s="26"/>
      <c r="I167" s="26"/>
      <c r="J167" s="26">
        <v>1</v>
      </c>
      <c r="K167" s="26">
        <v>138</v>
      </c>
      <c r="L167" s="26" t="s">
        <v>28</v>
      </c>
      <c r="M167" s="27">
        <v>827</v>
      </c>
      <c r="N167" s="28"/>
      <c r="O167" s="26" t="s">
        <v>29</v>
      </c>
      <c r="P167" s="29"/>
      <c r="Q167" s="6"/>
      <c r="R167" s="29"/>
      <c r="S167" s="10"/>
      <c r="T167" s="8"/>
    </row>
    <row r="168" spans="1:20" ht="15.75" customHeight="1" x14ac:dyDescent="0.35">
      <c r="A168" s="25" t="s">
        <v>205</v>
      </c>
      <c r="B168" s="25" t="s">
        <v>231</v>
      </c>
      <c r="C168" s="26">
        <v>131736</v>
      </c>
      <c r="D168" s="25" t="s">
        <v>248</v>
      </c>
      <c r="E168" s="25" t="s">
        <v>241</v>
      </c>
      <c r="F168" s="26" t="s">
        <v>90</v>
      </c>
      <c r="G168" s="26" t="s">
        <v>90</v>
      </c>
      <c r="H168" s="26"/>
      <c r="I168" s="26"/>
      <c r="J168" s="26">
        <v>1</v>
      </c>
      <c r="K168" s="26">
        <v>138</v>
      </c>
      <c r="L168" s="26" t="s">
        <v>28</v>
      </c>
      <c r="M168" s="27">
        <v>829</v>
      </c>
      <c r="N168" s="28"/>
      <c r="O168" s="26" t="s">
        <v>29</v>
      </c>
      <c r="P168" s="29"/>
      <c r="Q168" s="6"/>
      <c r="R168" s="29"/>
      <c r="S168" s="10"/>
      <c r="T168" s="8"/>
    </row>
    <row r="169" spans="1:20" ht="15.75" customHeight="1" x14ac:dyDescent="0.35">
      <c r="A169" s="25" t="s">
        <v>205</v>
      </c>
      <c r="B169" s="25" t="s">
        <v>231</v>
      </c>
      <c r="C169" s="26">
        <v>131748</v>
      </c>
      <c r="D169" s="25" t="s">
        <v>249</v>
      </c>
      <c r="E169" s="25" t="s">
        <v>31</v>
      </c>
      <c r="F169" s="26" t="s">
        <v>90</v>
      </c>
      <c r="G169" s="26" t="s">
        <v>90</v>
      </c>
      <c r="H169" s="26"/>
      <c r="I169" s="26"/>
      <c r="J169" s="26">
        <v>1</v>
      </c>
      <c r="K169" s="26">
        <v>138</v>
      </c>
      <c r="L169" s="26" t="s">
        <v>28</v>
      </c>
      <c r="M169" s="27">
        <v>799</v>
      </c>
      <c r="N169" s="28"/>
      <c r="O169" s="26" t="s">
        <v>29</v>
      </c>
      <c r="P169" s="29"/>
      <c r="Q169" s="6"/>
      <c r="R169" s="29"/>
      <c r="S169" s="10"/>
      <c r="T169" s="8"/>
    </row>
    <row r="170" spans="1:20" ht="15.75" customHeight="1" x14ac:dyDescent="0.35">
      <c r="A170" s="25" t="s">
        <v>205</v>
      </c>
      <c r="B170" s="25" t="s">
        <v>231</v>
      </c>
      <c r="C170" s="26">
        <v>131755</v>
      </c>
      <c r="D170" s="25" t="s">
        <v>250</v>
      </c>
      <c r="E170" s="25" t="s">
        <v>31</v>
      </c>
      <c r="F170" s="26" t="s">
        <v>90</v>
      </c>
      <c r="G170" s="26" t="s">
        <v>90</v>
      </c>
      <c r="H170" s="26"/>
      <c r="I170" s="26"/>
      <c r="J170" s="26">
        <v>1</v>
      </c>
      <c r="K170" s="26">
        <v>138</v>
      </c>
      <c r="L170" s="26" t="s">
        <v>28</v>
      </c>
      <c r="M170" s="27">
        <v>819</v>
      </c>
      <c r="N170" s="28"/>
      <c r="O170" s="26" t="s">
        <v>29</v>
      </c>
      <c r="P170" s="29"/>
      <c r="Q170" s="6"/>
      <c r="R170" s="29"/>
      <c r="S170" s="10"/>
      <c r="T170" s="8"/>
    </row>
    <row r="171" spans="1:20" ht="15.75" customHeight="1" x14ac:dyDescent="0.35">
      <c r="A171" s="25" t="s">
        <v>205</v>
      </c>
      <c r="B171" s="25" t="s">
        <v>231</v>
      </c>
      <c r="C171" s="26">
        <v>131758</v>
      </c>
      <c r="D171" s="25" t="s">
        <v>251</v>
      </c>
      <c r="E171" s="25" t="s">
        <v>31</v>
      </c>
      <c r="F171" s="26" t="s">
        <v>90</v>
      </c>
      <c r="G171" s="26" t="s">
        <v>90</v>
      </c>
      <c r="H171" s="26"/>
      <c r="I171" s="26"/>
      <c r="J171" s="26">
        <v>1</v>
      </c>
      <c r="K171" s="26">
        <v>138</v>
      </c>
      <c r="L171" s="26" t="s">
        <v>28</v>
      </c>
      <c r="M171" s="27">
        <v>822</v>
      </c>
      <c r="N171" s="28"/>
      <c r="O171" s="26" t="s">
        <v>29</v>
      </c>
      <c r="P171" s="29"/>
      <c r="Q171" s="6"/>
      <c r="R171" s="29"/>
      <c r="S171" s="10"/>
      <c r="T171" s="8"/>
    </row>
    <row r="172" spans="1:20" ht="15.75" customHeight="1" x14ac:dyDescent="0.35">
      <c r="A172" s="25" t="s">
        <v>205</v>
      </c>
      <c r="B172" s="25" t="s">
        <v>231</v>
      </c>
      <c r="C172" s="26">
        <v>131759</v>
      </c>
      <c r="D172" s="25" t="s">
        <v>252</v>
      </c>
      <c r="E172" s="25" t="s">
        <v>31</v>
      </c>
      <c r="F172" s="26" t="s">
        <v>90</v>
      </c>
      <c r="G172" s="26" t="s">
        <v>90</v>
      </c>
      <c r="H172" s="26"/>
      <c r="I172" s="26"/>
      <c r="J172" s="26">
        <v>1</v>
      </c>
      <c r="K172" s="26">
        <v>138</v>
      </c>
      <c r="L172" s="26" t="s">
        <v>28</v>
      </c>
      <c r="M172" s="27">
        <v>823</v>
      </c>
      <c r="N172" s="28"/>
      <c r="O172" s="26" t="s">
        <v>29</v>
      </c>
      <c r="P172" s="29"/>
      <c r="Q172" s="6"/>
      <c r="R172" s="29"/>
      <c r="S172" s="10"/>
      <c r="T172" s="8"/>
    </row>
    <row r="173" spans="1:20" ht="15.75" customHeight="1" x14ac:dyDescent="0.35">
      <c r="A173" s="25" t="s">
        <v>205</v>
      </c>
      <c r="B173" s="25" t="s">
        <v>231</v>
      </c>
      <c r="C173" s="26">
        <v>131765</v>
      </c>
      <c r="D173" s="25" t="s">
        <v>253</v>
      </c>
      <c r="E173" s="25" t="s">
        <v>31</v>
      </c>
      <c r="F173" s="26" t="s">
        <v>90</v>
      </c>
      <c r="G173" s="26" t="s">
        <v>90</v>
      </c>
      <c r="H173" s="26"/>
      <c r="I173" s="26"/>
      <c r="J173" s="26">
        <v>1</v>
      </c>
      <c r="K173" s="26">
        <v>138</v>
      </c>
      <c r="L173" s="26" t="s">
        <v>28</v>
      </c>
      <c r="M173" s="27">
        <v>833</v>
      </c>
      <c r="N173" s="28"/>
      <c r="O173" s="26" t="s">
        <v>29</v>
      </c>
      <c r="P173" s="29"/>
      <c r="Q173" s="6"/>
      <c r="R173" s="29"/>
      <c r="S173" s="10"/>
      <c r="T173" s="8"/>
    </row>
    <row r="174" spans="1:20" ht="15.75" customHeight="1" x14ac:dyDescent="0.35">
      <c r="A174" s="25" t="s">
        <v>205</v>
      </c>
      <c r="B174" s="25" t="s">
        <v>231</v>
      </c>
      <c r="C174" s="26">
        <v>131777</v>
      </c>
      <c r="D174" s="25" t="s">
        <v>254</v>
      </c>
      <c r="E174" s="25" t="s">
        <v>255</v>
      </c>
      <c r="F174" s="26" t="s">
        <v>215</v>
      </c>
      <c r="G174" s="26" t="s">
        <v>215</v>
      </c>
      <c r="H174" s="26"/>
      <c r="I174" s="26"/>
      <c r="J174" s="26">
        <v>1</v>
      </c>
      <c r="K174" s="26">
        <v>138</v>
      </c>
      <c r="L174" s="26" t="s">
        <v>28</v>
      </c>
      <c r="M174" s="27">
        <v>787</v>
      </c>
      <c r="N174" s="28"/>
      <c r="O174" s="26" t="s">
        <v>29</v>
      </c>
      <c r="P174" s="29"/>
      <c r="Q174" s="6"/>
      <c r="R174" s="29"/>
      <c r="S174" s="10"/>
      <c r="T174" s="8"/>
    </row>
    <row r="175" spans="1:20" ht="15.75" customHeight="1" x14ac:dyDescent="0.35">
      <c r="A175" s="25" t="s">
        <v>205</v>
      </c>
      <c r="B175" s="25" t="s">
        <v>231</v>
      </c>
      <c r="C175" s="26">
        <v>131794</v>
      </c>
      <c r="D175" s="25" t="s">
        <v>256</v>
      </c>
      <c r="E175" s="25" t="s">
        <v>255</v>
      </c>
      <c r="F175" s="26" t="s">
        <v>215</v>
      </c>
      <c r="G175" s="26" t="s">
        <v>215</v>
      </c>
      <c r="H175" s="26"/>
      <c r="I175" s="26"/>
      <c r="J175" s="26">
        <v>1</v>
      </c>
      <c r="K175" s="26">
        <v>138</v>
      </c>
      <c r="L175" s="26" t="s">
        <v>28</v>
      </c>
      <c r="M175" s="27">
        <v>784</v>
      </c>
      <c r="N175" s="28"/>
      <c r="O175" s="26" t="s">
        <v>29</v>
      </c>
      <c r="P175" s="29"/>
      <c r="Q175" s="6"/>
      <c r="R175" s="29"/>
      <c r="S175" s="10"/>
      <c r="T175" s="8"/>
    </row>
    <row r="176" spans="1:20" ht="15.75" customHeight="1" x14ac:dyDescent="0.35">
      <c r="A176" s="25" t="s">
        <v>205</v>
      </c>
      <c r="B176" s="25" t="s">
        <v>231</v>
      </c>
      <c r="C176" s="26">
        <v>131795</v>
      </c>
      <c r="D176" s="25" t="s">
        <v>257</v>
      </c>
      <c r="E176" s="25" t="s">
        <v>258</v>
      </c>
      <c r="F176" s="26" t="s">
        <v>90</v>
      </c>
      <c r="G176" s="26" t="s">
        <v>90</v>
      </c>
      <c r="H176" s="26"/>
      <c r="I176" s="26"/>
      <c r="J176" s="26">
        <v>1</v>
      </c>
      <c r="K176" s="26">
        <v>138</v>
      </c>
      <c r="L176" s="26" t="s">
        <v>28</v>
      </c>
      <c r="M176" s="27">
        <v>817</v>
      </c>
      <c r="N176" s="28"/>
      <c r="O176" s="26" t="s">
        <v>29</v>
      </c>
      <c r="P176" s="29"/>
      <c r="Q176" s="6"/>
      <c r="R176" s="29"/>
      <c r="S176" s="10"/>
      <c r="T176" s="8"/>
    </row>
    <row r="177" spans="1:20" ht="15.75" customHeight="1" x14ac:dyDescent="0.35">
      <c r="A177" s="25" t="s">
        <v>205</v>
      </c>
      <c r="B177" s="25" t="s">
        <v>231</v>
      </c>
      <c r="C177" s="26">
        <v>131812</v>
      </c>
      <c r="D177" s="25" t="s">
        <v>259</v>
      </c>
      <c r="E177" s="25" t="s">
        <v>255</v>
      </c>
      <c r="F177" s="26" t="s">
        <v>215</v>
      </c>
      <c r="G177" s="26" t="s">
        <v>215</v>
      </c>
      <c r="H177" s="26"/>
      <c r="I177" s="26"/>
      <c r="J177" s="26">
        <v>1</v>
      </c>
      <c r="K177" s="26">
        <v>138</v>
      </c>
      <c r="L177" s="26" t="s">
        <v>28</v>
      </c>
      <c r="M177" s="27">
        <v>796</v>
      </c>
      <c r="N177" s="28"/>
      <c r="O177" s="26" t="s">
        <v>29</v>
      </c>
      <c r="P177" s="29"/>
      <c r="Q177" s="6"/>
      <c r="R177" s="29"/>
      <c r="S177" s="10"/>
      <c r="T177" s="8"/>
    </row>
    <row r="178" spans="1:20" ht="15.75" customHeight="1" x14ac:dyDescent="0.35">
      <c r="A178" s="25" t="s">
        <v>205</v>
      </c>
      <c r="B178" s="25" t="s">
        <v>231</v>
      </c>
      <c r="C178" s="26">
        <v>131813</v>
      </c>
      <c r="D178" s="25" t="s">
        <v>260</v>
      </c>
      <c r="E178" s="25" t="s">
        <v>261</v>
      </c>
      <c r="F178" s="26" t="s">
        <v>90</v>
      </c>
      <c r="G178" s="26" t="s">
        <v>90</v>
      </c>
      <c r="H178" s="26"/>
      <c r="I178" s="26"/>
      <c r="J178" s="26">
        <v>1</v>
      </c>
      <c r="K178" s="26">
        <v>138</v>
      </c>
      <c r="L178" s="26" t="s">
        <v>28</v>
      </c>
      <c r="M178" s="27">
        <v>805</v>
      </c>
      <c r="N178" s="28"/>
      <c r="O178" s="26" t="s">
        <v>29</v>
      </c>
      <c r="P178" s="29"/>
      <c r="Q178" s="6"/>
      <c r="R178" s="29"/>
      <c r="S178" s="10"/>
      <c r="T178" s="8"/>
    </row>
    <row r="179" spans="1:20" ht="15.75" customHeight="1" x14ac:dyDescent="0.35">
      <c r="A179" s="25" t="s">
        <v>205</v>
      </c>
      <c r="B179" s="25" t="s">
        <v>231</v>
      </c>
      <c r="C179" s="26">
        <v>131847</v>
      </c>
      <c r="D179" s="25" t="s">
        <v>262</v>
      </c>
      <c r="E179" s="25" t="s">
        <v>258</v>
      </c>
      <c r="F179" s="26" t="s">
        <v>90</v>
      </c>
      <c r="G179" s="26" t="s">
        <v>90</v>
      </c>
      <c r="H179" s="26"/>
      <c r="I179" s="26"/>
      <c r="J179" s="26">
        <v>1</v>
      </c>
      <c r="K179" s="26">
        <v>138</v>
      </c>
      <c r="L179" s="26" t="s">
        <v>28</v>
      </c>
      <c r="M179" s="27">
        <v>802</v>
      </c>
      <c r="N179" s="28"/>
      <c r="O179" s="26" t="s">
        <v>29</v>
      </c>
      <c r="P179" s="29"/>
      <c r="Q179" s="6"/>
      <c r="R179" s="29"/>
      <c r="S179" s="10"/>
      <c r="T179" s="8"/>
    </row>
    <row r="180" spans="1:20" ht="15.75" customHeight="1" x14ac:dyDescent="0.35">
      <c r="A180" s="25" t="s">
        <v>205</v>
      </c>
      <c r="B180" s="25" t="s">
        <v>231</v>
      </c>
      <c r="C180" s="26">
        <v>131854</v>
      </c>
      <c r="D180" s="25" t="s">
        <v>263</v>
      </c>
      <c r="E180" s="25" t="s">
        <v>258</v>
      </c>
      <c r="F180" s="26" t="s">
        <v>90</v>
      </c>
      <c r="G180" s="26" t="s">
        <v>90</v>
      </c>
      <c r="H180" s="26"/>
      <c r="I180" s="26"/>
      <c r="J180" s="26">
        <v>1</v>
      </c>
      <c r="K180" s="26">
        <v>138</v>
      </c>
      <c r="L180" s="26" t="s">
        <v>28</v>
      </c>
      <c r="M180" s="27">
        <v>825</v>
      </c>
      <c r="N180" s="28"/>
      <c r="O180" s="26" t="s">
        <v>29</v>
      </c>
      <c r="P180" s="29"/>
      <c r="Q180" s="6"/>
      <c r="R180" s="29"/>
      <c r="S180" s="10"/>
      <c r="T180" s="8"/>
    </row>
    <row r="181" spans="1:20" ht="15.75" customHeight="1" x14ac:dyDescent="0.35">
      <c r="A181" s="25" t="s">
        <v>205</v>
      </c>
      <c r="B181" s="25" t="s">
        <v>231</v>
      </c>
      <c r="C181" s="26">
        <v>131857</v>
      </c>
      <c r="D181" s="25" t="s">
        <v>264</v>
      </c>
      <c r="E181" s="25" t="s">
        <v>258</v>
      </c>
      <c r="F181" s="26" t="s">
        <v>90</v>
      </c>
      <c r="G181" s="26" t="s">
        <v>90</v>
      </c>
      <c r="H181" s="26"/>
      <c r="I181" s="26"/>
      <c r="J181" s="26">
        <v>1</v>
      </c>
      <c r="K181" s="26">
        <v>138</v>
      </c>
      <c r="L181" s="26" t="s">
        <v>28</v>
      </c>
      <c r="M181" s="27">
        <v>831</v>
      </c>
      <c r="N181" s="28"/>
      <c r="O181" s="26" t="s">
        <v>29</v>
      </c>
      <c r="P181" s="29"/>
      <c r="Q181" s="6"/>
      <c r="R181" s="29"/>
      <c r="S181" s="10"/>
      <c r="T181" s="8"/>
    </row>
    <row r="182" spans="1:20" ht="15.75" customHeight="1" x14ac:dyDescent="0.35">
      <c r="A182" s="25" t="s">
        <v>205</v>
      </c>
      <c r="B182" s="25" t="s">
        <v>231</v>
      </c>
      <c r="C182" s="26">
        <v>131864</v>
      </c>
      <c r="D182" s="25" t="s">
        <v>265</v>
      </c>
      <c r="E182" s="25" t="s">
        <v>266</v>
      </c>
      <c r="F182" s="26" t="s">
        <v>215</v>
      </c>
      <c r="G182" s="26" t="s">
        <v>215</v>
      </c>
      <c r="H182" s="26"/>
      <c r="I182" s="26"/>
      <c r="J182" s="26">
        <v>1</v>
      </c>
      <c r="K182" s="26">
        <v>138</v>
      </c>
      <c r="L182" s="26" t="s">
        <v>28</v>
      </c>
      <c r="M182" s="27">
        <v>776</v>
      </c>
      <c r="N182" s="28"/>
      <c r="O182" s="26" t="s">
        <v>29</v>
      </c>
      <c r="P182" s="29"/>
      <c r="Q182" s="6"/>
      <c r="R182" s="29"/>
      <c r="S182" s="10"/>
      <c r="T182" s="8"/>
    </row>
    <row r="183" spans="1:20" ht="15.75" customHeight="1" x14ac:dyDescent="0.35">
      <c r="A183" s="25" t="s">
        <v>205</v>
      </c>
      <c r="B183" s="25" t="s">
        <v>231</v>
      </c>
      <c r="C183" s="26">
        <v>131874</v>
      </c>
      <c r="D183" s="25" t="s">
        <v>267</v>
      </c>
      <c r="E183" s="25" t="s">
        <v>266</v>
      </c>
      <c r="F183" s="26" t="s">
        <v>215</v>
      </c>
      <c r="G183" s="26" t="s">
        <v>215</v>
      </c>
      <c r="H183" s="26">
        <v>1</v>
      </c>
      <c r="I183" s="26">
        <v>3</v>
      </c>
      <c r="J183" s="26">
        <v>1</v>
      </c>
      <c r="K183" s="26">
        <v>138</v>
      </c>
      <c r="L183" s="26" t="s">
        <v>28</v>
      </c>
      <c r="M183" s="27">
        <v>788</v>
      </c>
      <c r="N183" s="28">
        <v>354088.04</v>
      </c>
      <c r="O183" s="26" t="s">
        <v>29</v>
      </c>
      <c r="P183" s="29"/>
      <c r="Q183" s="6"/>
      <c r="R183" s="29"/>
      <c r="S183" s="10"/>
      <c r="T183" s="8">
        <v>1</v>
      </c>
    </row>
    <row r="184" spans="1:20" ht="15.75" customHeight="1" x14ac:dyDescent="0.35">
      <c r="A184" s="25" t="s">
        <v>205</v>
      </c>
      <c r="B184" s="25" t="s">
        <v>231</v>
      </c>
      <c r="C184" s="26">
        <v>131894</v>
      </c>
      <c r="D184" s="25" t="s">
        <v>268</v>
      </c>
      <c r="E184" s="25" t="s">
        <v>269</v>
      </c>
      <c r="F184" s="26" t="s">
        <v>90</v>
      </c>
      <c r="G184" s="26" t="s">
        <v>90</v>
      </c>
      <c r="H184" s="26"/>
      <c r="I184" s="26"/>
      <c r="J184" s="26">
        <v>1</v>
      </c>
      <c r="K184" s="26">
        <v>138</v>
      </c>
      <c r="L184" s="26" t="s">
        <v>28</v>
      </c>
      <c r="M184" s="27">
        <v>800</v>
      </c>
      <c r="N184" s="28"/>
      <c r="O184" s="26" t="s">
        <v>29</v>
      </c>
      <c r="P184" s="29"/>
      <c r="Q184" s="6"/>
      <c r="R184" s="29"/>
      <c r="S184" s="10"/>
      <c r="T184" s="8"/>
    </row>
    <row r="185" spans="1:20" ht="15.75" customHeight="1" x14ac:dyDescent="0.35">
      <c r="A185" s="25" t="s">
        <v>205</v>
      </c>
      <c r="B185" s="25" t="s">
        <v>231</v>
      </c>
      <c r="C185" s="26">
        <v>131895</v>
      </c>
      <c r="D185" s="25" t="s">
        <v>270</v>
      </c>
      <c r="E185" s="25" t="s">
        <v>269</v>
      </c>
      <c r="F185" s="26" t="s">
        <v>90</v>
      </c>
      <c r="G185" s="26" t="s">
        <v>90</v>
      </c>
      <c r="H185" s="26"/>
      <c r="I185" s="26"/>
      <c r="J185" s="26">
        <v>1</v>
      </c>
      <c r="K185" s="26">
        <v>138</v>
      </c>
      <c r="L185" s="26" t="s">
        <v>28</v>
      </c>
      <c r="M185" s="27">
        <v>801</v>
      </c>
      <c r="N185" s="28"/>
      <c r="O185" s="26" t="s">
        <v>29</v>
      </c>
      <c r="P185" s="29"/>
      <c r="Q185" s="6"/>
      <c r="R185" s="29"/>
      <c r="S185" s="10"/>
      <c r="T185" s="8"/>
    </row>
    <row r="186" spans="1:20" ht="15.75" customHeight="1" x14ac:dyDescent="0.35">
      <c r="A186" s="25" t="s">
        <v>205</v>
      </c>
      <c r="B186" s="25" t="s">
        <v>231</v>
      </c>
      <c r="C186" s="26">
        <v>131896</v>
      </c>
      <c r="D186" s="25" t="s">
        <v>271</v>
      </c>
      <c r="E186" s="25" t="s">
        <v>269</v>
      </c>
      <c r="F186" s="26" t="s">
        <v>90</v>
      </c>
      <c r="G186" s="26" t="s">
        <v>90</v>
      </c>
      <c r="H186" s="26"/>
      <c r="I186" s="26"/>
      <c r="J186" s="26">
        <v>1</v>
      </c>
      <c r="K186" s="26">
        <v>138</v>
      </c>
      <c r="L186" s="26" t="s">
        <v>28</v>
      </c>
      <c r="M186" s="27">
        <v>803</v>
      </c>
      <c r="N186" s="28"/>
      <c r="O186" s="26" t="s">
        <v>29</v>
      </c>
      <c r="P186" s="29"/>
      <c r="Q186" s="6"/>
      <c r="R186" s="29"/>
      <c r="S186" s="10"/>
      <c r="T186" s="8"/>
    </row>
    <row r="187" spans="1:20" ht="15.75" customHeight="1" x14ac:dyDescent="0.35">
      <c r="A187" s="25" t="s">
        <v>205</v>
      </c>
      <c r="B187" s="25" t="s">
        <v>231</v>
      </c>
      <c r="C187" s="26">
        <v>131897</v>
      </c>
      <c r="D187" s="25" t="s">
        <v>272</v>
      </c>
      <c r="E187" s="25" t="s">
        <v>269</v>
      </c>
      <c r="F187" s="26" t="s">
        <v>90</v>
      </c>
      <c r="G187" s="26" t="s">
        <v>90</v>
      </c>
      <c r="H187" s="26">
        <v>1</v>
      </c>
      <c r="I187" s="26">
        <v>1</v>
      </c>
      <c r="J187" s="26">
        <v>1</v>
      </c>
      <c r="K187" s="26">
        <v>138</v>
      </c>
      <c r="L187" s="26" t="s">
        <v>28</v>
      </c>
      <c r="M187" s="27">
        <v>804</v>
      </c>
      <c r="N187" s="28">
        <v>168715.08</v>
      </c>
      <c r="O187" s="26" t="s">
        <v>29</v>
      </c>
      <c r="P187" s="29"/>
      <c r="Q187" s="6"/>
      <c r="R187" s="29"/>
      <c r="S187" s="10"/>
      <c r="T187" s="8">
        <v>1</v>
      </c>
    </row>
    <row r="188" spans="1:20" ht="15.75" customHeight="1" x14ac:dyDescent="0.35">
      <c r="A188" s="25" t="s">
        <v>205</v>
      </c>
      <c r="B188" s="25" t="s">
        <v>231</v>
      </c>
      <c r="C188" s="26">
        <v>131900</v>
      </c>
      <c r="D188" s="25" t="s">
        <v>273</v>
      </c>
      <c r="E188" s="25" t="s">
        <v>269</v>
      </c>
      <c r="F188" s="26" t="s">
        <v>90</v>
      </c>
      <c r="G188" s="26" t="s">
        <v>90</v>
      </c>
      <c r="H188" s="26"/>
      <c r="I188" s="26"/>
      <c r="J188" s="26">
        <v>1</v>
      </c>
      <c r="K188" s="26">
        <v>138</v>
      </c>
      <c r="L188" s="26" t="s">
        <v>28</v>
      </c>
      <c r="M188" s="27">
        <v>806</v>
      </c>
      <c r="N188" s="28"/>
      <c r="O188" s="26" t="s">
        <v>29</v>
      </c>
      <c r="P188" s="29"/>
      <c r="Q188" s="6"/>
      <c r="R188" s="29"/>
      <c r="S188" s="10"/>
      <c r="T188" s="8"/>
    </row>
    <row r="189" spans="1:20" ht="15.75" customHeight="1" x14ac:dyDescent="0.35">
      <c r="A189" s="25" t="s">
        <v>205</v>
      </c>
      <c r="B189" s="25" t="s">
        <v>231</v>
      </c>
      <c r="C189" s="26">
        <v>131943</v>
      </c>
      <c r="D189" s="25" t="s">
        <v>274</v>
      </c>
      <c r="E189" s="25" t="s">
        <v>275</v>
      </c>
      <c r="F189" s="26" t="s">
        <v>215</v>
      </c>
      <c r="G189" s="26" t="s">
        <v>215</v>
      </c>
      <c r="H189" s="26"/>
      <c r="I189" s="26"/>
      <c r="J189" s="26">
        <v>1</v>
      </c>
      <c r="K189" s="26">
        <v>138</v>
      </c>
      <c r="L189" s="26" t="s">
        <v>28</v>
      </c>
      <c r="M189" s="27">
        <v>778</v>
      </c>
      <c r="N189" s="28"/>
      <c r="O189" s="26" t="s">
        <v>29</v>
      </c>
      <c r="P189" s="29"/>
      <c r="Q189" s="6"/>
      <c r="R189" s="29"/>
      <c r="S189" s="10"/>
      <c r="T189" s="8"/>
    </row>
    <row r="190" spans="1:20" ht="15.75" customHeight="1" x14ac:dyDescent="0.35">
      <c r="A190" s="25" t="s">
        <v>205</v>
      </c>
      <c r="B190" s="25" t="s">
        <v>231</v>
      </c>
      <c r="C190" s="26">
        <v>131944</v>
      </c>
      <c r="D190" s="25" t="s">
        <v>276</v>
      </c>
      <c r="E190" s="25" t="s">
        <v>275</v>
      </c>
      <c r="F190" s="26" t="s">
        <v>215</v>
      </c>
      <c r="G190" s="26" t="s">
        <v>215</v>
      </c>
      <c r="H190" s="26"/>
      <c r="I190" s="26"/>
      <c r="J190" s="26">
        <v>1</v>
      </c>
      <c r="K190" s="26">
        <v>138</v>
      </c>
      <c r="L190" s="26" t="s">
        <v>28</v>
      </c>
      <c r="M190" s="27">
        <v>779</v>
      </c>
      <c r="N190" s="28"/>
      <c r="O190" s="26" t="s">
        <v>29</v>
      </c>
      <c r="P190" s="29"/>
      <c r="Q190" s="6"/>
      <c r="R190" s="29"/>
      <c r="S190" s="10"/>
      <c r="T190" s="8"/>
    </row>
    <row r="191" spans="1:20" ht="15.75" customHeight="1" x14ac:dyDescent="0.35">
      <c r="A191" s="25" t="s">
        <v>205</v>
      </c>
      <c r="B191" s="25" t="s">
        <v>231</v>
      </c>
      <c r="C191" s="26">
        <v>131946</v>
      </c>
      <c r="D191" s="25" t="s">
        <v>277</v>
      </c>
      <c r="E191" s="25" t="s">
        <v>275</v>
      </c>
      <c r="F191" s="26" t="s">
        <v>215</v>
      </c>
      <c r="G191" s="26" t="s">
        <v>215</v>
      </c>
      <c r="H191" s="26"/>
      <c r="I191" s="26"/>
      <c r="J191" s="26">
        <v>1</v>
      </c>
      <c r="K191" s="26">
        <v>138</v>
      </c>
      <c r="L191" s="26" t="s">
        <v>28</v>
      </c>
      <c r="M191" s="27">
        <v>780</v>
      </c>
      <c r="N191" s="28"/>
      <c r="O191" s="26" t="s">
        <v>29</v>
      </c>
      <c r="P191" s="29"/>
      <c r="Q191" s="6"/>
      <c r="R191" s="29"/>
      <c r="S191" s="10"/>
      <c r="T191" s="8"/>
    </row>
    <row r="192" spans="1:20" ht="15.75" customHeight="1" x14ac:dyDescent="0.35">
      <c r="A192" s="25" t="s">
        <v>205</v>
      </c>
      <c r="B192" s="25" t="s">
        <v>231</v>
      </c>
      <c r="C192" s="26">
        <v>131950</v>
      </c>
      <c r="D192" s="25" t="s">
        <v>278</v>
      </c>
      <c r="E192" s="25" t="s">
        <v>275</v>
      </c>
      <c r="F192" s="26" t="s">
        <v>215</v>
      </c>
      <c r="G192" s="26" t="s">
        <v>215</v>
      </c>
      <c r="H192" s="26"/>
      <c r="I192" s="26"/>
      <c r="J192" s="26">
        <v>1</v>
      </c>
      <c r="K192" s="26">
        <v>138</v>
      </c>
      <c r="L192" s="26" t="s">
        <v>28</v>
      </c>
      <c r="M192" s="27">
        <v>782</v>
      </c>
      <c r="N192" s="28"/>
      <c r="O192" s="26" t="s">
        <v>29</v>
      </c>
      <c r="P192" s="29"/>
      <c r="Q192" s="6"/>
      <c r="R192" s="29"/>
      <c r="S192" s="10"/>
      <c r="T192" s="8"/>
    </row>
    <row r="193" spans="1:20" ht="15.75" customHeight="1" x14ac:dyDescent="0.35">
      <c r="A193" s="25" t="s">
        <v>205</v>
      </c>
      <c r="B193" s="25" t="s">
        <v>231</v>
      </c>
      <c r="C193" s="26">
        <v>131988</v>
      </c>
      <c r="D193" s="25" t="s">
        <v>279</v>
      </c>
      <c r="E193" s="25" t="s">
        <v>280</v>
      </c>
      <c r="F193" s="26" t="s">
        <v>215</v>
      </c>
      <c r="G193" s="26" t="s">
        <v>215</v>
      </c>
      <c r="H193" s="26"/>
      <c r="I193" s="26"/>
      <c r="J193" s="26">
        <v>1</v>
      </c>
      <c r="K193" s="26">
        <v>138</v>
      </c>
      <c r="L193" s="26" t="s">
        <v>28</v>
      </c>
      <c r="M193" s="27">
        <v>789</v>
      </c>
      <c r="N193" s="28"/>
      <c r="O193" s="26" t="s">
        <v>29</v>
      </c>
      <c r="P193" s="29"/>
      <c r="Q193" s="6"/>
      <c r="R193" s="29"/>
      <c r="S193" s="10"/>
      <c r="T193" s="8"/>
    </row>
    <row r="194" spans="1:20" ht="15.75" customHeight="1" x14ac:dyDescent="0.35">
      <c r="A194" s="25" t="s">
        <v>205</v>
      </c>
      <c r="B194" s="25" t="s">
        <v>231</v>
      </c>
      <c r="C194" s="26">
        <v>132014</v>
      </c>
      <c r="D194" s="25" t="s">
        <v>281</v>
      </c>
      <c r="E194" s="25" t="s">
        <v>282</v>
      </c>
      <c r="F194" s="26" t="s">
        <v>90</v>
      </c>
      <c r="G194" s="26" t="s">
        <v>90</v>
      </c>
      <c r="H194" s="26"/>
      <c r="I194" s="26"/>
      <c r="J194" s="26">
        <v>1</v>
      </c>
      <c r="K194" s="26">
        <v>138</v>
      </c>
      <c r="L194" s="26" t="s">
        <v>28</v>
      </c>
      <c r="M194" s="27">
        <v>834</v>
      </c>
      <c r="N194" s="28"/>
      <c r="O194" s="26" t="s">
        <v>29</v>
      </c>
      <c r="P194" s="29"/>
      <c r="Q194" s="6"/>
      <c r="R194" s="29"/>
      <c r="S194" s="10"/>
      <c r="T194" s="8"/>
    </row>
    <row r="195" spans="1:20" ht="15.75" customHeight="1" x14ac:dyDescent="0.35">
      <c r="A195" s="25" t="s">
        <v>205</v>
      </c>
      <c r="B195" s="25" t="s">
        <v>231</v>
      </c>
      <c r="C195" s="26">
        <v>212008</v>
      </c>
      <c r="D195" s="25" t="s">
        <v>283</v>
      </c>
      <c r="E195" s="25" t="s">
        <v>282</v>
      </c>
      <c r="F195" s="26" t="s">
        <v>90</v>
      </c>
      <c r="G195" s="26" t="s">
        <v>90</v>
      </c>
      <c r="H195" s="26"/>
      <c r="I195" s="26"/>
      <c r="J195" s="26">
        <v>1</v>
      </c>
      <c r="K195" s="26">
        <v>138</v>
      </c>
      <c r="L195" s="26" t="s">
        <v>28</v>
      </c>
      <c r="M195" s="27">
        <v>830</v>
      </c>
      <c r="N195" s="28"/>
      <c r="O195" s="26" t="s">
        <v>29</v>
      </c>
      <c r="P195" s="29"/>
      <c r="Q195" s="6"/>
      <c r="R195" s="29"/>
      <c r="S195" s="10"/>
      <c r="T195" s="8"/>
    </row>
    <row r="196" spans="1:20" ht="15.75" customHeight="1" x14ac:dyDescent="0.35">
      <c r="A196" s="25" t="s">
        <v>205</v>
      </c>
      <c r="B196" s="25" t="s">
        <v>231</v>
      </c>
      <c r="C196" s="26">
        <v>212011</v>
      </c>
      <c r="D196" s="25" t="s">
        <v>284</v>
      </c>
      <c r="E196" s="25" t="s">
        <v>237</v>
      </c>
      <c r="F196" s="26" t="s">
        <v>215</v>
      </c>
      <c r="G196" s="26" t="s">
        <v>215</v>
      </c>
      <c r="H196" s="26"/>
      <c r="I196" s="26"/>
      <c r="J196" s="26">
        <v>1</v>
      </c>
      <c r="K196" s="26">
        <v>138</v>
      </c>
      <c r="L196" s="26" t="s">
        <v>28</v>
      </c>
      <c r="M196" s="27">
        <v>786</v>
      </c>
      <c r="N196" s="28"/>
      <c r="O196" s="26" t="s">
        <v>29</v>
      </c>
      <c r="P196" s="29"/>
      <c r="Q196" s="6"/>
      <c r="R196" s="29"/>
      <c r="S196" s="10"/>
      <c r="T196" s="8"/>
    </row>
    <row r="197" spans="1:20" ht="15.75" customHeight="1" x14ac:dyDescent="0.35">
      <c r="A197" s="25" t="s">
        <v>205</v>
      </c>
      <c r="B197" s="25" t="s">
        <v>231</v>
      </c>
      <c r="C197" s="26">
        <v>212015</v>
      </c>
      <c r="D197" s="25" t="s">
        <v>285</v>
      </c>
      <c r="E197" s="25" t="s">
        <v>261</v>
      </c>
      <c r="F197" s="26" t="s">
        <v>90</v>
      </c>
      <c r="G197" s="26" t="s">
        <v>90</v>
      </c>
      <c r="H197" s="26"/>
      <c r="I197" s="26"/>
      <c r="J197" s="26">
        <v>1</v>
      </c>
      <c r="K197" s="26">
        <v>138</v>
      </c>
      <c r="L197" s="26" t="s">
        <v>28</v>
      </c>
      <c r="M197" s="27">
        <v>832</v>
      </c>
      <c r="N197" s="28"/>
      <c r="O197" s="26" t="s">
        <v>29</v>
      </c>
      <c r="P197" s="29"/>
      <c r="Q197" s="6"/>
      <c r="R197" s="29"/>
      <c r="S197" s="10"/>
      <c r="T197" s="8"/>
    </row>
    <row r="198" spans="1:20" ht="15.75" customHeight="1" x14ac:dyDescent="0.35">
      <c r="A198" s="25" t="s">
        <v>205</v>
      </c>
      <c r="B198" s="25" t="s">
        <v>231</v>
      </c>
      <c r="C198" s="26">
        <v>212016</v>
      </c>
      <c r="D198" s="25" t="s">
        <v>286</v>
      </c>
      <c r="E198" s="25" t="s">
        <v>287</v>
      </c>
      <c r="F198" s="26" t="s">
        <v>90</v>
      </c>
      <c r="G198" s="26" t="s">
        <v>90</v>
      </c>
      <c r="H198" s="26"/>
      <c r="I198" s="26"/>
      <c r="J198" s="26">
        <v>1</v>
      </c>
      <c r="K198" s="26">
        <v>138</v>
      </c>
      <c r="L198" s="26" t="s">
        <v>28</v>
      </c>
      <c r="M198" s="27">
        <v>818</v>
      </c>
      <c r="N198" s="28"/>
      <c r="O198" s="26" t="s">
        <v>29</v>
      </c>
      <c r="P198" s="29"/>
      <c r="Q198" s="6"/>
      <c r="R198" s="29"/>
      <c r="S198" s="10"/>
      <c r="T198" s="8"/>
    </row>
    <row r="199" spans="1:20" ht="15.75" customHeight="1" x14ac:dyDescent="0.35">
      <c r="A199" s="25" t="s">
        <v>205</v>
      </c>
      <c r="B199" s="25" t="s">
        <v>231</v>
      </c>
      <c r="C199" s="26">
        <v>212017</v>
      </c>
      <c r="D199" s="25" t="s">
        <v>288</v>
      </c>
      <c r="E199" s="25" t="s">
        <v>241</v>
      </c>
      <c r="F199" s="26" t="s">
        <v>90</v>
      </c>
      <c r="G199" s="26" t="s">
        <v>90</v>
      </c>
      <c r="H199" s="26"/>
      <c r="I199" s="26"/>
      <c r="J199" s="26">
        <v>1</v>
      </c>
      <c r="K199" s="26">
        <v>138</v>
      </c>
      <c r="L199" s="26" t="s">
        <v>28</v>
      </c>
      <c r="M199" s="27">
        <v>812</v>
      </c>
      <c r="N199" s="28"/>
      <c r="O199" s="26" t="s">
        <v>29</v>
      </c>
      <c r="P199" s="29"/>
      <c r="Q199" s="6"/>
      <c r="R199" s="29"/>
      <c r="S199" s="10"/>
      <c r="T199" s="8"/>
    </row>
    <row r="200" spans="1:20" ht="15.75" customHeight="1" x14ac:dyDescent="0.35">
      <c r="A200" s="25" t="s">
        <v>205</v>
      </c>
      <c r="B200" s="25" t="s">
        <v>231</v>
      </c>
      <c r="C200" s="26">
        <v>212024</v>
      </c>
      <c r="D200" s="25" t="s">
        <v>289</v>
      </c>
      <c r="E200" s="25" t="s">
        <v>31</v>
      </c>
      <c r="F200" s="26" t="s">
        <v>90</v>
      </c>
      <c r="G200" s="26" t="s">
        <v>90</v>
      </c>
      <c r="H200" s="26"/>
      <c r="I200" s="26"/>
      <c r="J200" s="26">
        <v>1</v>
      </c>
      <c r="K200" s="26">
        <v>138</v>
      </c>
      <c r="L200" s="26" t="s">
        <v>28</v>
      </c>
      <c r="M200" s="27">
        <v>824</v>
      </c>
      <c r="N200" s="28"/>
      <c r="O200" s="26" t="s">
        <v>29</v>
      </c>
      <c r="P200" s="29"/>
      <c r="Q200" s="6"/>
      <c r="R200" s="29"/>
      <c r="S200" s="10"/>
      <c r="T200" s="8"/>
    </row>
    <row r="201" spans="1:20" ht="15.75" customHeight="1" x14ac:dyDescent="0.35">
      <c r="A201" s="25" t="s">
        <v>205</v>
      </c>
      <c r="B201" s="25" t="s">
        <v>231</v>
      </c>
      <c r="C201" s="26">
        <v>212026</v>
      </c>
      <c r="D201" s="25" t="s">
        <v>290</v>
      </c>
      <c r="E201" s="25" t="s">
        <v>266</v>
      </c>
      <c r="F201" s="26" t="s">
        <v>215</v>
      </c>
      <c r="G201" s="26" t="s">
        <v>215</v>
      </c>
      <c r="H201" s="26"/>
      <c r="I201" s="26"/>
      <c r="J201" s="26">
        <v>1</v>
      </c>
      <c r="K201" s="26">
        <v>138</v>
      </c>
      <c r="L201" s="26" t="s">
        <v>28</v>
      </c>
      <c r="M201" s="27">
        <v>775</v>
      </c>
      <c r="N201" s="28"/>
      <c r="O201" s="26" t="s">
        <v>29</v>
      </c>
      <c r="P201" s="29"/>
      <c r="Q201" s="6"/>
      <c r="R201" s="29"/>
      <c r="S201" s="10"/>
      <c r="T201" s="8"/>
    </row>
    <row r="202" spans="1:20" ht="15.75" customHeight="1" x14ac:dyDescent="0.35">
      <c r="A202" s="25" t="s">
        <v>205</v>
      </c>
      <c r="B202" s="25" t="s">
        <v>231</v>
      </c>
      <c r="C202" s="26">
        <v>212029</v>
      </c>
      <c r="D202" s="25" t="s">
        <v>291</v>
      </c>
      <c r="E202" s="25" t="s">
        <v>282</v>
      </c>
      <c r="F202" s="26" t="s">
        <v>90</v>
      </c>
      <c r="G202" s="26" t="s">
        <v>90</v>
      </c>
      <c r="H202" s="26"/>
      <c r="I202" s="26"/>
      <c r="J202" s="26">
        <v>1</v>
      </c>
      <c r="K202" s="26">
        <v>138</v>
      </c>
      <c r="L202" s="26" t="s">
        <v>28</v>
      </c>
      <c r="M202" s="27">
        <v>835</v>
      </c>
      <c r="N202" s="28"/>
      <c r="O202" s="26" t="s">
        <v>29</v>
      </c>
      <c r="P202" s="29"/>
      <c r="Q202" s="6"/>
      <c r="R202" s="29"/>
      <c r="S202" s="10"/>
      <c r="T202" s="8"/>
    </row>
    <row r="203" spans="1:20" ht="15.75" customHeight="1" x14ac:dyDescent="0.35">
      <c r="A203" s="25" t="s">
        <v>205</v>
      </c>
      <c r="B203" s="25" t="s">
        <v>231</v>
      </c>
      <c r="C203" s="26">
        <v>212031</v>
      </c>
      <c r="D203" s="25" t="s">
        <v>292</v>
      </c>
      <c r="E203" s="25" t="s">
        <v>31</v>
      </c>
      <c r="F203" s="26" t="s">
        <v>90</v>
      </c>
      <c r="G203" s="26" t="s">
        <v>90</v>
      </c>
      <c r="H203" s="26"/>
      <c r="I203" s="26"/>
      <c r="J203" s="26">
        <v>1</v>
      </c>
      <c r="K203" s="26">
        <v>138</v>
      </c>
      <c r="L203" s="26" t="s">
        <v>28</v>
      </c>
      <c r="M203" s="27">
        <v>820</v>
      </c>
      <c r="N203" s="28"/>
      <c r="O203" s="26" t="s">
        <v>29</v>
      </c>
      <c r="P203" s="29"/>
      <c r="Q203" s="6"/>
      <c r="R203" s="29"/>
      <c r="S203" s="10"/>
      <c r="T203" s="8"/>
    </row>
    <row r="204" spans="1:20" ht="15.75" customHeight="1" x14ac:dyDescent="0.35">
      <c r="A204" s="25" t="s">
        <v>205</v>
      </c>
      <c r="B204" s="25" t="s">
        <v>231</v>
      </c>
      <c r="C204" s="26">
        <v>212032</v>
      </c>
      <c r="D204" s="25" t="s">
        <v>293</v>
      </c>
      <c r="E204" s="25" t="s">
        <v>287</v>
      </c>
      <c r="F204" s="26" t="s">
        <v>90</v>
      </c>
      <c r="G204" s="26" t="s">
        <v>90</v>
      </c>
      <c r="H204" s="26"/>
      <c r="I204" s="26"/>
      <c r="J204" s="26">
        <v>1</v>
      </c>
      <c r="K204" s="26">
        <v>138</v>
      </c>
      <c r="L204" s="26" t="s">
        <v>28</v>
      </c>
      <c r="M204" s="27">
        <v>808</v>
      </c>
      <c r="N204" s="28"/>
      <c r="O204" s="26" t="s">
        <v>29</v>
      </c>
      <c r="P204" s="29"/>
      <c r="Q204" s="6"/>
      <c r="R204" s="29"/>
      <c r="S204" s="10"/>
      <c r="T204" s="8"/>
    </row>
    <row r="205" spans="1:20" ht="15.75" customHeight="1" x14ac:dyDescent="0.35">
      <c r="A205" s="25" t="s">
        <v>205</v>
      </c>
      <c r="B205" s="25" t="s">
        <v>231</v>
      </c>
      <c r="C205" s="26">
        <v>212033</v>
      </c>
      <c r="D205" s="25" t="s">
        <v>294</v>
      </c>
      <c r="E205" s="25" t="s">
        <v>241</v>
      </c>
      <c r="F205" s="26" t="s">
        <v>90</v>
      </c>
      <c r="G205" s="26" t="s">
        <v>90</v>
      </c>
      <c r="H205" s="26"/>
      <c r="I205" s="26"/>
      <c r="J205" s="26">
        <v>1</v>
      </c>
      <c r="K205" s="26">
        <v>138</v>
      </c>
      <c r="L205" s="26" t="s">
        <v>28</v>
      </c>
      <c r="M205" s="27">
        <v>828</v>
      </c>
      <c r="N205" s="28"/>
      <c r="O205" s="26" t="s">
        <v>29</v>
      </c>
      <c r="P205" s="29"/>
      <c r="Q205" s="6"/>
      <c r="R205" s="29"/>
      <c r="S205" s="10"/>
      <c r="T205" s="8"/>
    </row>
    <row r="206" spans="1:20" ht="15.75" customHeight="1" x14ac:dyDescent="0.35">
      <c r="A206" s="25" t="s">
        <v>205</v>
      </c>
      <c r="B206" s="25" t="s">
        <v>231</v>
      </c>
      <c r="C206" s="26">
        <v>212034</v>
      </c>
      <c r="D206" s="25" t="s">
        <v>295</v>
      </c>
      <c r="E206" s="25" t="s">
        <v>31</v>
      </c>
      <c r="F206" s="26" t="s">
        <v>90</v>
      </c>
      <c r="G206" s="26" t="s">
        <v>90</v>
      </c>
      <c r="H206" s="26"/>
      <c r="I206" s="26"/>
      <c r="J206" s="26">
        <v>1</v>
      </c>
      <c r="K206" s="26">
        <v>138</v>
      </c>
      <c r="L206" s="26" t="s">
        <v>28</v>
      </c>
      <c r="M206" s="27">
        <v>837</v>
      </c>
      <c r="N206" s="28"/>
      <c r="O206" s="26" t="s">
        <v>29</v>
      </c>
      <c r="P206" s="29"/>
      <c r="Q206" s="6"/>
      <c r="R206" s="29"/>
      <c r="S206" s="10"/>
      <c r="T206" s="8"/>
    </row>
    <row r="207" spans="1:20" ht="15.75" customHeight="1" x14ac:dyDescent="0.35">
      <c r="A207" s="25" t="s">
        <v>205</v>
      </c>
      <c r="B207" s="25" t="s">
        <v>231</v>
      </c>
      <c r="C207" s="26">
        <v>212051</v>
      </c>
      <c r="D207" s="25" t="s">
        <v>296</v>
      </c>
      <c r="E207" s="25" t="s">
        <v>261</v>
      </c>
      <c r="F207" s="26" t="s">
        <v>215</v>
      </c>
      <c r="G207" s="26" t="s">
        <v>215</v>
      </c>
      <c r="H207" s="26">
        <v>1</v>
      </c>
      <c r="I207" s="26">
        <v>1</v>
      </c>
      <c r="J207" s="26">
        <v>1</v>
      </c>
      <c r="K207" s="26">
        <v>138</v>
      </c>
      <c r="L207" s="26" t="s">
        <v>28</v>
      </c>
      <c r="M207" s="27">
        <v>785</v>
      </c>
      <c r="N207" s="28">
        <v>163465.07999999999</v>
      </c>
      <c r="O207" s="26" t="s">
        <v>29</v>
      </c>
      <c r="P207" s="29"/>
      <c r="Q207" s="6"/>
      <c r="R207" s="29"/>
      <c r="S207" s="10"/>
      <c r="T207" s="8">
        <v>1</v>
      </c>
    </row>
    <row r="208" spans="1:20" ht="15.75" customHeight="1" x14ac:dyDescent="0.35">
      <c r="A208" s="25" t="s">
        <v>205</v>
      </c>
      <c r="B208" s="25" t="s">
        <v>231</v>
      </c>
      <c r="C208" s="26">
        <v>212054</v>
      </c>
      <c r="D208" s="25" t="s">
        <v>297</v>
      </c>
      <c r="E208" s="25" t="s">
        <v>261</v>
      </c>
      <c r="F208" s="26" t="s">
        <v>90</v>
      </c>
      <c r="G208" s="26" t="s">
        <v>90</v>
      </c>
      <c r="H208" s="26"/>
      <c r="I208" s="26"/>
      <c r="J208" s="26">
        <v>1</v>
      </c>
      <c r="K208" s="26">
        <v>138</v>
      </c>
      <c r="L208" s="26" t="s">
        <v>28</v>
      </c>
      <c r="M208" s="27">
        <v>816</v>
      </c>
      <c r="N208" s="28"/>
      <c r="O208" s="26" t="s">
        <v>29</v>
      </c>
      <c r="P208" s="29"/>
      <c r="Q208" s="6"/>
      <c r="R208" s="29"/>
      <c r="S208" s="10"/>
      <c r="T208" s="8"/>
    </row>
    <row r="209" spans="1:20" ht="15.75" customHeight="1" x14ac:dyDescent="0.35">
      <c r="A209" s="25" t="s">
        <v>205</v>
      </c>
      <c r="B209" s="25" t="s">
        <v>231</v>
      </c>
      <c r="C209" s="26">
        <v>212057</v>
      </c>
      <c r="D209" s="25" t="s">
        <v>298</v>
      </c>
      <c r="E209" s="25" t="s">
        <v>287</v>
      </c>
      <c r="F209" s="26" t="s">
        <v>90</v>
      </c>
      <c r="G209" s="26" t="s">
        <v>90</v>
      </c>
      <c r="H209" s="26"/>
      <c r="I209" s="26"/>
      <c r="J209" s="26">
        <v>1</v>
      </c>
      <c r="K209" s="26">
        <v>138</v>
      </c>
      <c r="L209" s="26" t="s">
        <v>28</v>
      </c>
      <c r="M209" s="27">
        <v>810</v>
      </c>
      <c r="N209" s="28"/>
      <c r="O209" s="26" t="s">
        <v>29</v>
      </c>
      <c r="P209" s="29"/>
      <c r="Q209" s="6"/>
      <c r="R209" s="29"/>
      <c r="S209" s="10"/>
      <c r="T209" s="8"/>
    </row>
    <row r="210" spans="1:20" ht="15.75" customHeight="1" x14ac:dyDescent="0.35">
      <c r="A210" s="25" t="s">
        <v>205</v>
      </c>
      <c r="B210" s="25" t="s">
        <v>231</v>
      </c>
      <c r="C210" s="26">
        <v>212059</v>
      </c>
      <c r="D210" s="25" t="s">
        <v>299</v>
      </c>
      <c r="E210" s="25" t="s">
        <v>280</v>
      </c>
      <c r="F210" s="26" t="s">
        <v>215</v>
      </c>
      <c r="G210" s="26" t="s">
        <v>215</v>
      </c>
      <c r="H210" s="26"/>
      <c r="I210" s="26"/>
      <c r="J210" s="26">
        <v>1</v>
      </c>
      <c r="K210" s="26">
        <v>138</v>
      </c>
      <c r="L210" s="26" t="s">
        <v>28</v>
      </c>
      <c r="M210" s="27">
        <v>792</v>
      </c>
      <c r="N210" s="28"/>
      <c r="O210" s="26" t="s">
        <v>29</v>
      </c>
      <c r="P210" s="29"/>
      <c r="Q210" s="6"/>
      <c r="R210" s="29"/>
      <c r="S210" s="10"/>
      <c r="T210" s="8"/>
    </row>
    <row r="211" spans="1:20" ht="15.75" customHeight="1" x14ac:dyDescent="0.35">
      <c r="A211" s="25" t="s">
        <v>205</v>
      </c>
      <c r="B211" s="25" t="s">
        <v>231</v>
      </c>
      <c r="C211" s="26">
        <v>212060</v>
      </c>
      <c r="D211" s="25" t="s">
        <v>300</v>
      </c>
      <c r="E211" s="25" t="s">
        <v>280</v>
      </c>
      <c r="F211" s="26" t="s">
        <v>215</v>
      </c>
      <c r="G211" s="26" t="s">
        <v>215</v>
      </c>
      <c r="H211" s="26"/>
      <c r="I211" s="26"/>
      <c r="J211" s="26">
        <v>1</v>
      </c>
      <c r="K211" s="26">
        <v>138</v>
      </c>
      <c r="L211" s="26" t="s">
        <v>28</v>
      </c>
      <c r="M211" s="27">
        <v>793</v>
      </c>
      <c r="N211" s="28"/>
      <c r="O211" s="26" t="s">
        <v>29</v>
      </c>
      <c r="P211" s="29"/>
      <c r="Q211" s="6"/>
      <c r="R211" s="29"/>
      <c r="S211" s="10"/>
      <c r="T211" s="8"/>
    </row>
    <row r="212" spans="1:20" ht="15.75" customHeight="1" x14ac:dyDescent="0.35">
      <c r="A212" s="25" t="s">
        <v>205</v>
      </c>
      <c r="B212" s="25" t="s">
        <v>231</v>
      </c>
      <c r="C212" s="26">
        <v>212062</v>
      </c>
      <c r="D212" s="25" t="s">
        <v>301</v>
      </c>
      <c r="E212" s="25" t="s">
        <v>280</v>
      </c>
      <c r="F212" s="26" t="s">
        <v>215</v>
      </c>
      <c r="G212" s="26" t="s">
        <v>215</v>
      </c>
      <c r="H212" s="26"/>
      <c r="I212" s="26"/>
      <c r="J212" s="26">
        <v>1</v>
      </c>
      <c r="K212" s="26">
        <v>138</v>
      </c>
      <c r="L212" s="26" t="s">
        <v>28</v>
      </c>
      <c r="M212" s="27">
        <v>795</v>
      </c>
      <c r="N212" s="28"/>
      <c r="O212" s="26" t="s">
        <v>29</v>
      </c>
      <c r="P212" s="29"/>
      <c r="Q212" s="6"/>
      <c r="R212" s="29"/>
      <c r="S212" s="10"/>
      <c r="T212" s="8"/>
    </row>
    <row r="213" spans="1:20" ht="15.75" customHeight="1" x14ac:dyDescent="0.35">
      <c r="A213" s="25" t="s">
        <v>205</v>
      </c>
      <c r="B213" s="25" t="s">
        <v>231</v>
      </c>
      <c r="C213" s="26">
        <v>212069</v>
      </c>
      <c r="D213" s="25" t="s">
        <v>302</v>
      </c>
      <c r="E213" s="25" t="s">
        <v>31</v>
      </c>
      <c r="F213" s="26" t="s">
        <v>90</v>
      </c>
      <c r="G213" s="26" t="s">
        <v>90</v>
      </c>
      <c r="H213" s="26"/>
      <c r="I213" s="26"/>
      <c r="J213" s="26">
        <v>1</v>
      </c>
      <c r="K213" s="26">
        <v>138</v>
      </c>
      <c r="L213" s="26" t="s">
        <v>28</v>
      </c>
      <c r="M213" s="27">
        <v>813</v>
      </c>
      <c r="N213" s="28"/>
      <c r="O213" s="26" t="s">
        <v>29</v>
      </c>
      <c r="P213" s="29"/>
      <c r="Q213" s="6"/>
      <c r="R213" s="29"/>
      <c r="S213" s="10"/>
      <c r="T213" s="8"/>
    </row>
    <row r="214" spans="1:20" ht="15.75" customHeight="1" x14ac:dyDescent="0.35">
      <c r="A214" s="25" t="s">
        <v>205</v>
      </c>
      <c r="B214" s="25" t="s">
        <v>231</v>
      </c>
      <c r="C214" s="26">
        <v>212074</v>
      </c>
      <c r="D214" s="25" t="s">
        <v>303</v>
      </c>
      <c r="E214" s="25" t="s">
        <v>275</v>
      </c>
      <c r="F214" s="26" t="s">
        <v>215</v>
      </c>
      <c r="G214" s="26" t="s">
        <v>215</v>
      </c>
      <c r="H214" s="26"/>
      <c r="I214" s="26"/>
      <c r="J214" s="26">
        <v>1</v>
      </c>
      <c r="K214" s="26">
        <v>138</v>
      </c>
      <c r="L214" s="26" t="s">
        <v>28</v>
      </c>
      <c r="M214" s="27">
        <v>781</v>
      </c>
      <c r="N214" s="28"/>
      <c r="O214" s="26" t="s">
        <v>29</v>
      </c>
      <c r="P214" s="29"/>
      <c r="Q214" s="6"/>
      <c r="R214" s="29"/>
      <c r="S214" s="10"/>
      <c r="T214" s="8"/>
    </row>
    <row r="215" spans="1:20" ht="15.75" customHeight="1" x14ac:dyDescent="0.35">
      <c r="A215" s="25" t="s">
        <v>205</v>
      </c>
      <c r="B215" s="25" t="s">
        <v>231</v>
      </c>
      <c r="C215" s="26">
        <v>304715</v>
      </c>
      <c r="D215" s="25" t="s">
        <v>304</v>
      </c>
      <c r="E215" s="25" t="s">
        <v>241</v>
      </c>
      <c r="F215" s="26" t="s">
        <v>90</v>
      </c>
      <c r="G215" s="26" t="s">
        <v>90</v>
      </c>
      <c r="H215" s="26"/>
      <c r="I215" s="26"/>
      <c r="J215" s="26">
        <v>1</v>
      </c>
      <c r="K215" s="26">
        <v>138</v>
      </c>
      <c r="L215" s="26" t="s">
        <v>28</v>
      </c>
      <c r="M215" s="27">
        <v>840</v>
      </c>
      <c r="N215" s="28"/>
      <c r="O215" s="26" t="s">
        <v>29</v>
      </c>
      <c r="P215" s="29"/>
      <c r="Q215" s="6"/>
      <c r="R215" s="29"/>
      <c r="S215" s="10"/>
      <c r="T215" s="8"/>
    </row>
    <row r="216" spans="1:20" ht="15.75" customHeight="1" x14ac:dyDescent="0.35">
      <c r="A216" s="25" t="s">
        <v>205</v>
      </c>
      <c r="B216" s="25" t="s">
        <v>231</v>
      </c>
      <c r="C216" s="26">
        <v>317425</v>
      </c>
      <c r="D216" s="25" t="s">
        <v>305</v>
      </c>
      <c r="E216" s="25" t="s">
        <v>237</v>
      </c>
      <c r="F216" s="26" t="s">
        <v>215</v>
      </c>
      <c r="G216" s="26" t="s">
        <v>215</v>
      </c>
      <c r="H216" s="26"/>
      <c r="I216" s="26"/>
      <c r="J216" s="26">
        <v>1</v>
      </c>
      <c r="K216" s="26">
        <v>138</v>
      </c>
      <c r="L216" s="26" t="s">
        <v>28</v>
      </c>
      <c r="M216" s="27">
        <v>790</v>
      </c>
      <c r="N216" s="28"/>
      <c r="O216" s="26" t="s">
        <v>29</v>
      </c>
      <c r="P216" s="29"/>
      <c r="Q216" s="6"/>
      <c r="R216" s="29"/>
      <c r="S216" s="10"/>
      <c r="T216" s="8"/>
    </row>
    <row r="217" spans="1:20" ht="15.75" customHeight="1" x14ac:dyDescent="0.35">
      <c r="A217" s="25" t="s">
        <v>205</v>
      </c>
      <c r="B217" s="25" t="s">
        <v>231</v>
      </c>
      <c r="C217" s="26">
        <v>317428</v>
      </c>
      <c r="D217" s="25" t="s">
        <v>306</v>
      </c>
      <c r="E217" s="25" t="s">
        <v>255</v>
      </c>
      <c r="F217" s="26" t="s">
        <v>215</v>
      </c>
      <c r="G217" s="26" t="s">
        <v>215</v>
      </c>
      <c r="H217" s="26"/>
      <c r="I217" s="26"/>
      <c r="J217" s="26">
        <v>1</v>
      </c>
      <c r="K217" s="26">
        <v>138</v>
      </c>
      <c r="L217" s="26" t="s">
        <v>28</v>
      </c>
      <c r="M217" s="27">
        <v>797</v>
      </c>
      <c r="N217" s="28"/>
      <c r="O217" s="26" t="s">
        <v>29</v>
      </c>
      <c r="P217" s="29"/>
      <c r="Q217" s="6"/>
      <c r="R217" s="29"/>
      <c r="S217" s="10"/>
      <c r="T217" s="8"/>
    </row>
    <row r="218" spans="1:20" ht="15.75" customHeight="1" x14ac:dyDescent="0.35">
      <c r="A218" s="25" t="s">
        <v>205</v>
      </c>
      <c r="B218" s="25" t="s">
        <v>231</v>
      </c>
      <c r="C218" s="26">
        <v>317439</v>
      </c>
      <c r="D218" s="25" t="s">
        <v>307</v>
      </c>
      <c r="E218" s="25" t="s">
        <v>237</v>
      </c>
      <c r="F218" s="26" t="s">
        <v>215</v>
      </c>
      <c r="G218" s="26" t="s">
        <v>215</v>
      </c>
      <c r="H218" s="26"/>
      <c r="I218" s="26"/>
      <c r="J218" s="26">
        <v>1</v>
      </c>
      <c r="K218" s="26">
        <v>138</v>
      </c>
      <c r="L218" s="26" t="s">
        <v>28</v>
      </c>
      <c r="M218" s="27">
        <v>794</v>
      </c>
      <c r="N218" s="28"/>
      <c r="O218" s="26" t="s">
        <v>29</v>
      </c>
      <c r="P218" s="29"/>
      <c r="Q218" s="6"/>
      <c r="R218" s="29"/>
      <c r="S218" s="10"/>
      <c r="T218" s="8"/>
    </row>
    <row r="219" spans="1:20" ht="15.75" customHeight="1" x14ac:dyDescent="0.35">
      <c r="A219" s="25" t="s">
        <v>205</v>
      </c>
      <c r="B219" s="25" t="s">
        <v>231</v>
      </c>
      <c r="C219" s="26">
        <v>317445</v>
      </c>
      <c r="D219" s="25" t="s">
        <v>308</v>
      </c>
      <c r="E219" s="25" t="s">
        <v>269</v>
      </c>
      <c r="F219" s="26" t="s">
        <v>90</v>
      </c>
      <c r="G219" s="26" t="s">
        <v>90</v>
      </c>
      <c r="H219" s="26"/>
      <c r="I219" s="26"/>
      <c r="J219" s="26">
        <v>1</v>
      </c>
      <c r="K219" s="26">
        <v>138</v>
      </c>
      <c r="L219" s="26" t="s">
        <v>28</v>
      </c>
      <c r="M219" s="27">
        <v>839</v>
      </c>
      <c r="N219" s="28"/>
      <c r="O219" s="26" t="s">
        <v>29</v>
      </c>
      <c r="P219" s="29"/>
      <c r="Q219" s="6"/>
      <c r="R219" s="29"/>
      <c r="S219" s="10"/>
      <c r="T219" s="8"/>
    </row>
    <row r="220" spans="1:20" ht="15.75" customHeight="1" x14ac:dyDescent="0.35">
      <c r="A220" s="25" t="s">
        <v>205</v>
      </c>
      <c r="B220" s="25" t="s">
        <v>231</v>
      </c>
      <c r="C220" s="26">
        <v>317448</v>
      </c>
      <c r="D220" s="25" t="s">
        <v>309</v>
      </c>
      <c r="E220" s="25" t="s">
        <v>282</v>
      </c>
      <c r="F220" s="26" t="s">
        <v>90</v>
      </c>
      <c r="G220" s="26" t="s">
        <v>90</v>
      </c>
      <c r="H220" s="26"/>
      <c r="I220" s="26"/>
      <c r="J220" s="26">
        <v>1</v>
      </c>
      <c r="K220" s="26">
        <v>138</v>
      </c>
      <c r="L220" s="26" t="s">
        <v>28</v>
      </c>
      <c r="M220" s="27">
        <v>807</v>
      </c>
      <c r="N220" s="28"/>
      <c r="O220" s="26" t="s">
        <v>29</v>
      </c>
      <c r="P220" s="29"/>
      <c r="Q220" s="6"/>
      <c r="R220" s="29"/>
      <c r="S220" s="10"/>
      <c r="T220" s="8"/>
    </row>
    <row r="221" spans="1:20" ht="15.75" customHeight="1" x14ac:dyDescent="0.35">
      <c r="A221" s="25" t="s">
        <v>205</v>
      </c>
      <c r="B221" s="25" t="s">
        <v>310</v>
      </c>
      <c r="C221" s="26">
        <v>131635</v>
      </c>
      <c r="D221" s="25" t="s">
        <v>311</v>
      </c>
      <c r="E221" s="25" t="s">
        <v>312</v>
      </c>
      <c r="F221" s="26" t="s">
        <v>215</v>
      </c>
      <c r="G221" s="26" t="s">
        <v>215</v>
      </c>
      <c r="H221" s="26"/>
      <c r="I221" s="26"/>
      <c r="J221" s="26">
        <v>1</v>
      </c>
      <c r="K221" s="26">
        <v>138</v>
      </c>
      <c r="L221" s="26" t="s">
        <v>28</v>
      </c>
      <c r="M221" s="27">
        <v>843</v>
      </c>
      <c r="N221" s="28"/>
      <c r="O221" s="26" t="s">
        <v>29</v>
      </c>
      <c r="P221" s="29"/>
      <c r="Q221" s="6"/>
      <c r="R221" s="29"/>
      <c r="S221" s="10"/>
      <c r="T221" s="8"/>
    </row>
    <row r="222" spans="1:20" ht="15.75" customHeight="1" x14ac:dyDescent="0.35">
      <c r="A222" s="9" t="s">
        <v>205</v>
      </c>
      <c r="B222" s="25" t="s">
        <v>310</v>
      </c>
      <c r="C222" s="31">
        <v>131642</v>
      </c>
      <c r="D222" s="32" t="s">
        <v>313</v>
      </c>
      <c r="E222" s="32" t="s">
        <v>312</v>
      </c>
      <c r="F222" s="29">
        <v>1</v>
      </c>
      <c r="G222" s="33"/>
      <c r="H222" s="8">
        <v>1</v>
      </c>
      <c r="I222" s="8">
        <v>3</v>
      </c>
      <c r="J222" s="29"/>
      <c r="K222" s="10"/>
      <c r="L222" s="10"/>
      <c r="M222" s="11"/>
      <c r="N222" s="34">
        <v>373719.03999999998</v>
      </c>
      <c r="O222" s="26" t="s">
        <v>29</v>
      </c>
      <c r="P222" s="29" t="s">
        <v>163</v>
      </c>
      <c r="Q222" s="6"/>
      <c r="R222" s="29"/>
      <c r="S222" s="10"/>
      <c r="T222" s="8">
        <v>1</v>
      </c>
    </row>
    <row r="223" spans="1:20" ht="15.75" customHeight="1" x14ac:dyDescent="0.35">
      <c r="A223" s="25" t="s">
        <v>205</v>
      </c>
      <c r="B223" s="25" t="s">
        <v>310</v>
      </c>
      <c r="C223" s="26">
        <v>212003</v>
      </c>
      <c r="D223" s="25" t="s">
        <v>314</v>
      </c>
      <c r="E223" s="25" t="s">
        <v>312</v>
      </c>
      <c r="F223" s="26" t="s">
        <v>215</v>
      </c>
      <c r="G223" s="26" t="s">
        <v>215</v>
      </c>
      <c r="H223" s="26"/>
      <c r="I223" s="26"/>
      <c r="J223" s="26">
        <v>1</v>
      </c>
      <c r="K223" s="26">
        <v>138</v>
      </c>
      <c r="L223" s="26" t="s">
        <v>28</v>
      </c>
      <c r="M223" s="27">
        <v>844</v>
      </c>
      <c r="N223" s="28"/>
      <c r="O223" s="26" t="s">
        <v>29</v>
      </c>
      <c r="P223" s="29"/>
      <c r="Q223" s="6"/>
      <c r="R223" s="29"/>
      <c r="S223" s="10"/>
      <c r="T223" s="8"/>
    </row>
    <row r="224" spans="1:20" ht="15.75" customHeight="1" x14ac:dyDescent="0.35">
      <c r="A224" s="25" t="s">
        <v>205</v>
      </c>
      <c r="B224" s="25" t="s">
        <v>310</v>
      </c>
      <c r="C224" s="26">
        <v>212012</v>
      </c>
      <c r="D224" s="25" t="s">
        <v>315</v>
      </c>
      <c r="E224" s="25" t="s">
        <v>312</v>
      </c>
      <c r="F224" s="26" t="s">
        <v>215</v>
      </c>
      <c r="G224" s="26" t="s">
        <v>215</v>
      </c>
      <c r="H224" s="26">
        <v>1</v>
      </c>
      <c r="I224" s="26">
        <v>3</v>
      </c>
      <c r="J224" s="26">
        <v>1</v>
      </c>
      <c r="K224" s="26">
        <v>138</v>
      </c>
      <c r="L224" s="26" t="s">
        <v>28</v>
      </c>
      <c r="M224" s="27">
        <v>841</v>
      </c>
      <c r="N224" s="28">
        <v>406181.81</v>
      </c>
      <c r="O224" s="26" t="s">
        <v>29</v>
      </c>
      <c r="P224" s="29"/>
      <c r="Q224" s="6"/>
      <c r="R224" s="29"/>
      <c r="S224" s="10"/>
      <c r="T224" s="8">
        <v>1</v>
      </c>
    </row>
    <row r="225" spans="1:20" ht="15.75" customHeight="1" x14ac:dyDescent="0.35">
      <c r="A225" s="25" t="s">
        <v>205</v>
      </c>
      <c r="B225" s="25" t="s">
        <v>310</v>
      </c>
      <c r="C225" s="26">
        <v>212021</v>
      </c>
      <c r="D225" s="25" t="s">
        <v>316</v>
      </c>
      <c r="E225" s="25" t="s">
        <v>312</v>
      </c>
      <c r="F225" s="26" t="s">
        <v>215</v>
      </c>
      <c r="G225" s="26" t="s">
        <v>215</v>
      </c>
      <c r="H225" s="26"/>
      <c r="I225" s="26"/>
      <c r="J225" s="26">
        <v>1</v>
      </c>
      <c r="K225" s="26">
        <v>138</v>
      </c>
      <c r="L225" s="26" t="s">
        <v>28</v>
      </c>
      <c r="M225" s="27">
        <v>842</v>
      </c>
      <c r="N225" s="28"/>
      <c r="O225" s="26" t="s">
        <v>29</v>
      </c>
      <c r="P225" s="29"/>
      <c r="Q225" s="6"/>
      <c r="R225" s="29"/>
      <c r="S225" s="10"/>
      <c r="T225" s="8"/>
    </row>
    <row r="226" spans="1:20" ht="15.75" customHeight="1" x14ac:dyDescent="0.35">
      <c r="A226" s="25" t="s">
        <v>205</v>
      </c>
      <c r="B226" s="25" t="s">
        <v>317</v>
      </c>
      <c r="C226" s="26">
        <v>235003</v>
      </c>
      <c r="D226" s="25" t="s">
        <v>318</v>
      </c>
      <c r="E226" s="25" t="s">
        <v>319</v>
      </c>
      <c r="F226" s="26" t="s">
        <v>90</v>
      </c>
      <c r="G226" s="26" t="s">
        <v>90</v>
      </c>
      <c r="H226" s="26">
        <v>1</v>
      </c>
      <c r="I226" s="26">
        <v>3</v>
      </c>
      <c r="J226" s="26">
        <v>1</v>
      </c>
      <c r="K226" s="26">
        <v>138</v>
      </c>
      <c r="L226" s="26" t="s">
        <v>28</v>
      </c>
      <c r="M226" s="27">
        <v>845</v>
      </c>
      <c r="N226" s="28">
        <v>170998.68</v>
      </c>
      <c r="O226" s="26" t="s">
        <v>29</v>
      </c>
      <c r="P226" s="29"/>
      <c r="Q226" s="6"/>
      <c r="R226" s="29"/>
      <c r="S226" s="10"/>
      <c r="T226" s="8">
        <v>1</v>
      </c>
    </row>
    <row r="227" spans="1:20" ht="15.75" customHeight="1" x14ac:dyDescent="0.35">
      <c r="A227" s="25" t="s">
        <v>205</v>
      </c>
      <c r="B227" s="25" t="s">
        <v>317</v>
      </c>
      <c r="C227" s="26">
        <v>235004</v>
      </c>
      <c r="D227" s="25" t="s">
        <v>320</v>
      </c>
      <c r="E227" s="25" t="s">
        <v>319</v>
      </c>
      <c r="F227" s="26" t="s">
        <v>90</v>
      </c>
      <c r="G227" s="26" t="s">
        <v>90</v>
      </c>
      <c r="H227" s="26"/>
      <c r="I227" s="26"/>
      <c r="J227" s="26">
        <v>1</v>
      </c>
      <c r="K227" s="26">
        <v>138</v>
      </c>
      <c r="L227" s="26" t="s">
        <v>28</v>
      </c>
      <c r="M227" s="27">
        <v>846</v>
      </c>
      <c r="N227" s="28"/>
      <c r="O227" s="26" t="s">
        <v>29</v>
      </c>
      <c r="P227" s="29"/>
      <c r="Q227" s="6"/>
      <c r="R227" s="29"/>
      <c r="S227" s="10"/>
      <c r="T227" s="8"/>
    </row>
    <row r="228" spans="1:20" ht="15.75" customHeight="1" x14ac:dyDescent="0.35">
      <c r="A228" s="25" t="s">
        <v>205</v>
      </c>
      <c r="B228" s="25" t="s">
        <v>321</v>
      </c>
      <c r="C228" s="26">
        <v>132033</v>
      </c>
      <c r="D228" s="25" t="s">
        <v>322</v>
      </c>
      <c r="E228" s="25" t="s">
        <v>323</v>
      </c>
      <c r="F228" s="26" t="s">
        <v>215</v>
      </c>
      <c r="G228" s="26" t="s">
        <v>215</v>
      </c>
      <c r="H228" s="26"/>
      <c r="I228" s="26"/>
      <c r="J228" s="26">
        <v>1</v>
      </c>
      <c r="K228" s="26">
        <v>138</v>
      </c>
      <c r="L228" s="26" t="s">
        <v>28</v>
      </c>
      <c r="M228" s="27">
        <v>847</v>
      </c>
      <c r="N228" s="28"/>
      <c r="O228" s="26" t="s">
        <v>29</v>
      </c>
      <c r="P228" s="29"/>
      <c r="Q228" s="6"/>
      <c r="R228" s="29"/>
      <c r="S228" s="10"/>
      <c r="T228" s="8"/>
    </row>
    <row r="229" spans="1:20" ht="15.75" customHeight="1" x14ac:dyDescent="0.35">
      <c r="A229" s="25" t="s">
        <v>205</v>
      </c>
      <c r="B229" s="25" t="s">
        <v>321</v>
      </c>
      <c r="C229" s="26">
        <v>132038</v>
      </c>
      <c r="D229" s="25" t="s">
        <v>324</v>
      </c>
      <c r="E229" s="25" t="s">
        <v>323</v>
      </c>
      <c r="F229" s="26" t="s">
        <v>215</v>
      </c>
      <c r="G229" s="26" t="s">
        <v>215</v>
      </c>
      <c r="H229" s="26"/>
      <c r="I229" s="26"/>
      <c r="J229" s="26">
        <v>1</v>
      </c>
      <c r="K229" s="26">
        <v>138</v>
      </c>
      <c r="L229" s="26" t="s">
        <v>28</v>
      </c>
      <c r="M229" s="27">
        <v>852</v>
      </c>
      <c r="N229" s="28"/>
      <c r="O229" s="26" t="s">
        <v>29</v>
      </c>
      <c r="P229" s="29"/>
      <c r="Q229" s="6"/>
      <c r="R229" s="29"/>
      <c r="S229" s="10"/>
      <c r="T229" s="8"/>
    </row>
    <row r="230" spans="1:20" ht="15.75" customHeight="1" x14ac:dyDescent="0.35">
      <c r="A230" s="25" t="s">
        <v>205</v>
      </c>
      <c r="B230" s="25" t="s">
        <v>321</v>
      </c>
      <c r="C230" s="26">
        <v>132078</v>
      </c>
      <c r="D230" s="25" t="s">
        <v>325</v>
      </c>
      <c r="E230" s="25" t="s">
        <v>323</v>
      </c>
      <c r="F230" s="26" t="s">
        <v>215</v>
      </c>
      <c r="G230" s="26" t="s">
        <v>215</v>
      </c>
      <c r="H230" s="26">
        <v>1</v>
      </c>
      <c r="I230" s="26">
        <v>4</v>
      </c>
      <c r="J230" s="26">
        <v>1</v>
      </c>
      <c r="K230" s="26">
        <v>138</v>
      </c>
      <c r="L230" s="26" t="s">
        <v>28</v>
      </c>
      <c r="M230" s="27">
        <v>850</v>
      </c>
      <c r="N230" s="28">
        <v>294804.52</v>
      </c>
      <c r="O230" s="26" t="s">
        <v>29</v>
      </c>
      <c r="P230" s="29"/>
      <c r="Q230" s="6"/>
      <c r="R230" s="29"/>
      <c r="S230" s="10"/>
      <c r="T230" s="8">
        <v>1</v>
      </c>
    </row>
    <row r="231" spans="1:20" ht="15.75" customHeight="1" x14ac:dyDescent="0.35">
      <c r="A231" s="9" t="s">
        <v>205</v>
      </c>
      <c r="B231" s="25" t="s">
        <v>321</v>
      </c>
      <c r="C231" s="31">
        <v>132095</v>
      </c>
      <c r="D231" s="32" t="s">
        <v>326</v>
      </c>
      <c r="E231" s="32" t="s">
        <v>323</v>
      </c>
      <c r="F231" s="26" t="s">
        <v>215</v>
      </c>
      <c r="G231" s="33"/>
      <c r="H231" s="8">
        <v>1</v>
      </c>
      <c r="I231" s="8">
        <v>4</v>
      </c>
      <c r="J231" s="29"/>
      <c r="K231" s="10"/>
      <c r="L231" s="10"/>
      <c r="M231" s="11"/>
      <c r="N231" s="34">
        <v>294804.52</v>
      </c>
      <c r="O231" s="26" t="s">
        <v>29</v>
      </c>
      <c r="P231" s="29" t="s">
        <v>163</v>
      </c>
      <c r="Q231" s="6"/>
      <c r="R231" s="29"/>
      <c r="S231" s="10"/>
      <c r="T231" s="8">
        <v>1</v>
      </c>
    </row>
    <row r="232" spans="1:20" ht="15.75" customHeight="1" x14ac:dyDescent="0.35">
      <c r="A232" s="9" t="s">
        <v>205</v>
      </c>
      <c r="B232" s="25" t="s">
        <v>321</v>
      </c>
      <c r="C232" s="31">
        <v>212504</v>
      </c>
      <c r="D232" s="32" t="s">
        <v>327</v>
      </c>
      <c r="E232" s="32" t="s">
        <v>323</v>
      </c>
      <c r="F232" s="26" t="s">
        <v>215</v>
      </c>
      <c r="G232" s="33"/>
      <c r="H232" s="8">
        <v>1</v>
      </c>
      <c r="I232" s="8">
        <v>3</v>
      </c>
      <c r="J232" s="29"/>
      <c r="K232" s="10"/>
      <c r="L232" s="10"/>
      <c r="M232" s="11"/>
      <c r="N232" s="34">
        <v>220633.82</v>
      </c>
      <c r="O232" s="26" t="s">
        <v>29</v>
      </c>
      <c r="P232" s="29" t="s">
        <v>163</v>
      </c>
      <c r="Q232" s="6"/>
      <c r="R232" s="29"/>
      <c r="S232" s="10"/>
      <c r="T232" s="8">
        <v>1</v>
      </c>
    </row>
    <row r="233" spans="1:20" ht="15.75" customHeight="1" x14ac:dyDescent="0.35">
      <c r="A233" s="25" t="s">
        <v>205</v>
      </c>
      <c r="B233" s="25" t="s">
        <v>321</v>
      </c>
      <c r="C233" s="26">
        <v>317504</v>
      </c>
      <c r="D233" s="25" t="s">
        <v>328</v>
      </c>
      <c r="E233" s="25" t="s">
        <v>323</v>
      </c>
      <c r="F233" s="26" t="s">
        <v>215</v>
      </c>
      <c r="G233" s="26" t="s">
        <v>215</v>
      </c>
      <c r="H233" s="26"/>
      <c r="I233" s="26"/>
      <c r="J233" s="26">
        <v>1</v>
      </c>
      <c r="K233" s="26">
        <v>138</v>
      </c>
      <c r="L233" s="26" t="s">
        <v>28</v>
      </c>
      <c r="M233" s="27">
        <v>849</v>
      </c>
      <c r="N233" s="28"/>
      <c r="O233" s="26" t="s">
        <v>29</v>
      </c>
      <c r="P233" s="29"/>
      <c r="Q233" s="6"/>
      <c r="R233" s="29"/>
      <c r="S233" s="10"/>
      <c r="T233" s="8"/>
    </row>
    <row r="234" spans="1:20" ht="15.75" customHeight="1" x14ac:dyDescent="0.35">
      <c r="A234" s="25" t="s">
        <v>205</v>
      </c>
      <c r="B234" s="25" t="s">
        <v>321</v>
      </c>
      <c r="C234" s="26">
        <v>317514</v>
      </c>
      <c r="D234" s="25" t="s">
        <v>329</v>
      </c>
      <c r="E234" s="25" t="s">
        <v>323</v>
      </c>
      <c r="F234" s="26" t="s">
        <v>215</v>
      </c>
      <c r="G234" s="26" t="s">
        <v>215</v>
      </c>
      <c r="H234" s="26"/>
      <c r="I234" s="26"/>
      <c r="J234" s="26">
        <v>1</v>
      </c>
      <c r="K234" s="26">
        <v>138</v>
      </c>
      <c r="L234" s="26" t="s">
        <v>28</v>
      </c>
      <c r="M234" s="27">
        <v>848</v>
      </c>
      <c r="N234" s="28"/>
      <c r="O234" s="26" t="s">
        <v>29</v>
      </c>
      <c r="P234" s="29"/>
      <c r="Q234" s="6"/>
      <c r="R234" s="29"/>
      <c r="S234" s="10"/>
      <c r="T234" s="8"/>
    </row>
    <row r="235" spans="1:20" ht="15.75" customHeight="1" x14ac:dyDescent="0.35">
      <c r="A235" s="25" t="s">
        <v>205</v>
      </c>
      <c r="B235" s="25" t="s">
        <v>321</v>
      </c>
      <c r="C235" s="26">
        <v>317515</v>
      </c>
      <c r="D235" s="25" t="s">
        <v>330</v>
      </c>
      <c r="E235" s="25" t="s">
        <v>323</v>
      </c>
      <c r="F235" s="26" t="s">
        <v>215</v>
      </c>
      <c r="G235" s="26" t="s">
        <v>215</v>
      </c>
      <c r="H235" s="26"/>
      <c r="I235" s="26"/>
      <c r="J235" s="26">
        <v>1</v>
      </c>
      <c r="K235" s="26">
        <v>138</v>
      </c>
      <c r="L235" s="26" t="s">
        <v>28</v>
      </c>
      <c r="M235" s="27">
        <v>851</v>
      </c>
      <c r="N235" s="28"/>
      <c r="O235" s="26" t="s">
        <v>29</v>
      </c>
      <c r="P235" s="29"/>
      <c r="Q235" s="6"/>
      <c r="R235" s="29"/>
      <c r="S235" s="10"/>
      <c r="T235" s="8"/>
    </row>
    <row r="236" spans="1:20" ht="15.75" customHeight="1" x14ac:dyDescent="0.35">
      <c r="A236" s="25" t="s">
        <v>205</v>
      </c>
      <c r="B236" s="25" t="s">
        <v>321</v>
      </c>
      <c r="C236" s="26">
        <v>317522</v>
      </c>
      <c r="D236" s="25" t="s">
        <v>331</v>
      </c>
      <c r="E236" s="25" t="s">
        <v>323</v>
      </c>
      <c r="F236" s="26" t="s">
        <v>215</v>
      </c>
      <c r="G236" s="26" t="s">
        <v>215</v>
      </c>
      <c r="H236" s="26"/>
      <c r="I236" s="26"/>
      <c r="J236" s="26">
        <v>1</v>
      </c>
      <c r="K236" s="26">
        <v>138</v>
      </c>
      <c r="L236" s="26" t="s">
        <v>28</v>
      </c>
      <c r="M236" s="27">
        <v>853</v>
      </c>
      <c r="N236" s="28"/>
      <c r="O236" s="26" t="s">
        <v>29</v>
      </c>
      <c r="P236" s="29"/>
      <c r="Q236" s="6"/>
      <c r="R236" s="29"/>
      <c r="S236" s="10"/>
      <c r="T236" s="8"/>
    </row>
    <row r="237" spans="1:20" ht="15.75" customHeight="1" x14ac:dyDescent="0.35">
      <c r="A237" s="25" t="s">
        <v>205</v>
      </c>
      <c r="B237" s="25" t="s">
        <v>332</v>
      </c>
      <c r="C237" s="26">
        <v>131523</v>
      </c>
      <c r="D237" s="25" t="s">
        <v>333</v>
      </c>
      <c r="E237" s="25" t="s">
        <v>334</v>
      </c>
      <c r="F237" s="26" t="s">
        <v>90</v>
      </c>
      <c r="G237" s="26" t="s">
        <v>90</v>
      </c>
      <c r="H237" s="26">
        <v>1</v>
      </c>
      <c r="I237" s="26">
        <v>1</v>
      </c>
      <c r="J237" s="26">
        <v>1</v>
      </c>
      <c r="K237" s="26">
        <v>138</v>
      </c>
      <c r="L237" s="26" t="s">
        <v>28</v>
      </c>
      <c r="M237" s="27">
        <v>854</v>
      </c>
      <c r="N237" s="28">
        <v>177560.6</v>
      </c>
      <c r="O237" s="26" t="s">
        <v>29</v>
      </c>
      <c r="P237" s="29"/>
      <c r="Q237" s="6"/>
      <c r="R237" s="29"/>
      <c r="S237" s="10"/>
      <c r="T237" s="8">
        <v>1</v>
      </c>
    </row>
    <row r="238" spans="1:20" ht="15.75" customHeight="1" x14ac:dyDescent="0.35">
      <c r="A238" s="25" t="s">
        <v>205</v>
      </c>
      <c r="B238" s="25" t="s">
        <v>332</v>
      </c>
      <c r="C238" s="26">
        <v>281003</v>
      </c>
      <c r="D238" s="32" t="s">
        <v>335</v>
      </c>
      <c r="E238" s="25" t="s">
        <v>336</v>
      </c>
      <c r="F238" s="26" t="s">
        <v>215</v>
      </c>
      <c r="G238" s="33"/>
      <c r="H238" s="8">
        <v>1</v>
      </c>
      <c r="I238" s="8">
        <v>1</v>
      </c>
      <c r="J238" s="29"/>
      <c r="K238" s="10"/>
      <c r="L238" s="10"/>
      <c r="M238" s="11"/>
      <c r="N238" s="35">
        <v>177560.6</v>
      </c>
      <c r="O238" s="26" t="s">
        <v>29</v>
      </c>
      <c r="P238" s="29"/>
      <c r="Q238" s="6"/>
      <c r="R238" s="29"/>
      <c r="S238" s="10"/>
      <c r="T238" s="8">
        <v>1</v>
      </c>
    </row>
    <row r="239" spans="1:20" ht="15.75" customHeight="1" x14ac:dyDescent="0.35">
      <c r="A239" s="25" t="s">
        <v>205</v>
      </c>
      <c r="B239" s="25" t="s">
        <v>337</v>
      </c>
      <c r="C239" s="26">
        <v>132251</v>
      </c>
      <c r="D239" s="25" t="s">
        <v>338</v>
      </c>
      <c r="E239" s="25" t="s">
        <v>339</v>
      </c>
      <c r="F239" s="26" t="s">
        <v>90</v>
      </c>
      <c r="G239" s="26" t="s">
        <v>90</v>
      </c>
      <c r="H239" s="26"/>
      <c r="I239" s="26"/>
      <c r="J239" s="26">
        <v>1</v>
      </c>
      <c r="K239" s="26">
        <v>138</v>
      </c>
      <c r="L239" s="26" t="s">
        <v>28</v>
      </c>
      <c r="M239" s="27">
        <v>865</v>
      </c>
      <c r="N239" s="28"/>
      <c r="O239" s="26" t="s">
        <v>29</v>
      </c>
      <c r="P239" s="29"/>
      <c r="Q239" s="6"/>
      <c r="R239" s="29"/>
      <c r="S239" s="10"/>
      <c r="T239" s="8"/>
    </row>
    <row r="240" spans="1:20" ht="15.75" customHeight="1" x14ac:dyDescent="0.35">
      <c r="A240" s="25" t="s">
        <v>205</v>
      </c>
      <c r="B240" s="25" t="s">
        <v>337</v>
      </c>
      <c r="C240" s="26">
        <v>132265</v>
      </c>
      <c r="D240" s="25" t="s">
        <v>340</v>
      </c>
      <c r="E240" s="25" t="s">
        <v>339</v>
      </c>
      <c r="F240" s="26" t="s">
        <v>90</v>
      </c>
      <c r="G240" s="26" t="s">
        <v>90</v>
      </c>
      <c r="H240" s="26"/>
      <c r="I240" s="26"/>
      <c r="J240" s="26">
        <v>1</v>
      </c>
      <c r="K240" s="26">
        <v>138</v>
      </c>
      <c r="L240" s="26" t="s">
        <v>28</v>
      </c>
      <c r="M240" s="27">
        <v>863</v>
      </c>
      <c r="N240" s="28"/>
      <c r="O240" s="26" t="s">
        <v>29</v>
      </c>
      <c r="P240" s="29"/>
      <c r="Q240" s="6"/>
      <c r="R240" s="29"/>
      <c r="S240" s="10"/>
      <c r="T240" s="8"/>
    </row>
    <row r="241" spans="1:20" ht="15.75" customHeight="1" x14ac:dyDescent="0.35">
      <c r="A241" s="25" t="s">
        <v>205</v>
      </c>
      <c r="B241" s="25" t="s">
        <v>337</v>
      </c>
      <c r="C241" s="26">
        <v>132273</v>
      </c>
      <c r="D241" s="25" t="s">
        <v>341</v>
      </c>
      <c r="E241" s="25" t="s">
        <v>339</v>
      </c>
      <c r="F241" s="26" t="s">
        <v>90</v>
      </c>
      <c r="G241" s="26" t="s">
        <v>90</v>
      </c>
      <c r="H241" s="26">
        <v>1</v>
      </c>
      <c r="I241" s="26">
        <v>2</v>
      </c>
      <c r="J241" s="26">
        <v>1</v>
      </c>
      <c r="K241" s="26">
        <v>138</v>
      </c>
      <c r="L241" s="26" t="s">
        <v>28</v>
      </c>
      <c r="M241" s="27">
        <v>859</v>
      </c>
      <c r="N241" s="30">
        <v>220203.36</v>
      </c>
      <c r="O241" s="26" t="s">
        <v>29</v>
      </c>
      <c r="P241" s="29"/>
      <c r="Q241" s="6"/>
      <c r="R241" s="29"/>
      <c r="S241" s="10"/>
      <c r="T241" s="8">
        <v>1</v>
      </c>
    </row>
    <row r="242" spans="1:20" ht="15.75" customHeight="1" x14ac:dyDescent="0.35">
      <c r="A242" s="25" t="s">
        <v>205</v>
      </c>
      <c r="B242" s="25" t="s">
        <v>337</v>
      </c>
      <c r="C242" s="26">
        <v>132274</v>
      </c>
      <c r="D242" s="32" t="s">
        <v>342</v>
      </c>
      <c r="E242" s="25" t="s">
        <v>339</v>
      </c>
      <c r="F242" s="26" t="s">
        <v>90</v>
      </c>
      <c r="G242" s="33"/>
      <c r="H242" s="8">
        <v>1</v>
      </c>
      <c r="I242" s="8">
        <v>6</v>
      </c>
      <c r="J242" s="29"/>
      <c r="K242" s="10"/>
      <c r="L242" s="10"/>
      <c r="M242" s="11"/>
      <c r="N242" s="35">
        <v>405084.95</v>
      </c>
      <c r="O242" s="26" t="s">
        <v>29</v>
      </c>
      <c r="P242" s="29"/>
      <c r="Q242" s="6"/>
      <c r="R242" s="29"/>
      <c r="S242" s="10"/>
      <c r="T242" s="8">
        <v>1</v>
      </c>
    </row>
    <row r="243" spans="1:20" ht="15.75" customHeight="1" x14ac:dyDescent="0.35">
      <c r="A243" s="25" t="s">
        <v>205</v>
      </c>
      <c r="B243" s="25" t="s">
        <v>337</v>
      </c>
      <c r="C243" s="26">
        <v>132277</v>
      </c>
      <c r="D243" s="25" t="s">
        <v>343</v>
      </c>
      <c r="E243" s="25" t="s">
        <v>339</v>
      </c>
      <c r="F243" s="26" t="s">
        <v>90</v>
      </c>
      <c r="G243" s="26" t="s">
        <v>90</v>
      </c>
      <c r="H243" s="26">
        <v>1</v>
      </c>
      <c r="I243" s="26">
        <v>2</v>
      </c>
      <c r="J243" s="26">
        <v>1</v>
      </c>
      <c r="K243" s="26">
        <v>138</v>
      </c>
      <c r="L243" s="26" t="s">
        <v>28</v>
      </c>
      <c r="M243" s="27">
        <v>860</v>
      </c>
      <c r="N243" s="30">
        <v>180524.3</v>
      </c>
      <c r="O243" s="26" t="s">
        <v>29</v>
      </c>
      <c r="P243" s="29"/>
      <c r="Q243" s="6"/>
      <c r="R243" s="29"/>
      <c r="S243" s="10"/>
      <c r="T243" s="8">
        <v>1</v>
      </c>
    </row>
    <row r="244" spans="1:20" ht="15.75" customHeight="1" x14ac:dyDescent="0.35">
      <c r="A244" s="25" t="s">
        <v>205</v>
      </c>
      <c r="B244" s="25" t="s">
        <v>337</v>
      </c>
      <c r="C244" s="26">
        <v>132278</v>
      </c>
      <c r="D244" s="25" t="s">
        <v>344</v>
      </c>
      <c r="E244" s="25" t="s">
        <v>339</v>
      </c>
      <c r="F244" s="26" t="s">
        <v>90</v>
      </c>
      <c r="G244" s="26" t="s">
        <v>90</v>
      </c>
      <c r="H244" s="26">
        <v>1</v>
      </c>
      <c r="I244" s="26">
        <v>1</v>
      </c>
      <c r="J244" s="26">
        <v>1</v>
      </c>
      <c r="K244" s="26">
        <v>138</v>
      </c>
      <c r="L244" s="26" t="s">
        <v>28</v>
      </c>
      <c r="M244" s="27">
        <v>861</v>
      </c>
      <c r="N244" s="30">
        <v>92522.05</v>
      </c>
      <c r="O244" s="26" t="s">
        <v>29</v>
      </c>
      <c r="P244" s="29"/>
      <c r="Q244" s="6"/>
      <c r="R244" s="29"/>
      <c r="S244" s="10"/>
      <c r="T244" s="8">
        <v>1</v>
      </c>
    </row>
    <row r="245" spans="1:20" ht="15.75" customHeight="1" x14ac:dyDescent="0.35">
      <c r="A245" s="25" t="s">
        <v>205</v>
      </c>
      <c r="B245" s="25" t="s">
        <v>337</v>
      </c>
      <c r="C245" s="26">
        <v>132279</v>
      </c>
      <c r="D245" s="25" t="s">
        <v>345</v>
      </c>
      <c r="E245" s="25" t="s">
        <v>339</v>
      </c>
      <c r="F245" s="26" t="s">
        <v>90</v>
      </c>
      <c r="G245" s="26" t="s">
        <v>90</v>
      </c>
      <c r="H245" s="26">
        <v>1</v>
      </c>
      <c r="I245" s="26">
        <v>5</v>
      </c>
      <c r="J245" s="26">
        <v>1</v>
      </c>
      <c r="K245" s="26">
        <v>138</v>
      </c>
      <c r="L245" s="26" t="s">
        <v>28</v>
      </c>
      <c r="M245" s="27">
        <v>862</v>
      </c>
      <c r="N245" s="30">
        <v>406380.7</v>
      </c>
      <c r="O245" s="26" t="s">
        <v>29</v>
      </c>
      <c r="P245" s="29"/>
      <c r="Q245" s="6"/>
      <c r="R245" s="29"/>
      <c r="S245" s="10"/>
      <c r="T245" s="8">
        <v>1</v>
      </c>
    </row>
    <row r="246" spans="1:20" ht="15.75" customHeight="1" x14ac:dyDescent="0.35">
      <c r="A246" s="25" t="s">
        <v>205</v>
      </c>
      <c r="B246" s="25" t="s">
        <v>337</v>
      </c>
      <c r="C246" s="26">
        <v>132280</v>
      </c>
      <c r="D246" s="25" t="s">
        <v>346</v>
      </c>
      <c r="E246" s="25" t="s">
        <v>339</v>
      </c>
      <c r="F246" s="26" t="s">
        <v>90</v>
      </c>
      <c r="G246" s="26" t="s">
        <v>90</v>
      </c>
      <c r="H246" s="26">
        <v>1</v>
      </c>
      <c r="I246" s="26">
        <v>1</v>
      </c>
      <c r="J246" s="26">
        <v>1</v>
      </c>
      <c r="K246" s="26">
        <v>138</v>
      </c>
      <c r="L246" s="26" t="s">
        <v>28</v>
      </c>
      <c r="M246" s="27">
        <v>864</v>
      </c>
      <c r="N246" s="30">
        <v>108642.54</v>
      </c>
      <c r="O246" s="26" t="s">
        <v>29</v>
      </c>
      <c r="P246" s="29"/>
      <c r="Q246" s="6"/>
      <c r="R246" s="29"/>
      <c r="S246" s="10"/>
      <c r="T246" s="8">
        <v>1</v>
      </c>
    </row>
    <row r="247" spans="1:20" ht="15.75" customHeight="1" x14ac:dyDescent="0.35">
      <c r="A247" s="25" t="s">
        <v>205</v>
      </c>
      <c r="B247" s="25" t="s">
        <v>337</v>
      </c>
      <c r="C247" s="26">
        <v>132285</v>
      </c>
      <c r="D247" s="25" t="s">
        <v>347</v>
      </c>
      <c r="E247" s="25" t="s">
        <v>339</v>
      </c>
      <c r="F247" s="26" t="s">
        <v>90</v>
      </c>
      <c r="G247" s="26" t="s">
        <v>90</v>
      </c>
      <c r="H247" s="26">
        <v>1</v>
      </c>
      <c r="I247" s="26">
        <v>3</v>
      </c>
      <c r="J247" s="26">
        <v>1</v>
      </c>
      <c r="K247" s="26">
        <v>138</v>
      </c>
      <c r="L247" s="26" t="s">
        <v>28</v>
      </c>
      <c r="M247" s="27">
        <v>867</v>
      </c>
      <c r="N247" s="30">
        <v>270646.46999999997</v>
      </c>
      <c r="O247" s="26" t="s">
        <v>29</v>
      </c>
      <c r="P247" s="29"/>
      <c r="Q247" s="6"/>
      <c r="R247" s="29"/>
      <c r="S247" s="10"/>
      <c r="T247" s="8">
        <v>1</v>
      </c>
    </row>
    <row r="248" spans="1:20" ht="15.75" customHeight="1" x14ac:dyDescent="0.35">
      <c r="A248" s="25" t="s">
        <v>205</v>
      </c>
      <c r="B248" s="25" t="s">
        <v>337</v>
      </c>
      <c r="C248" s="26">
        <v>304793</v>
      </c>
      <c r="D248" s="32" t="s">
        <v>348</v>
      </c>
      <c r="E248" s="25" t="s">
        <v>339</v>
      </c>
      <c r="F248" s="26" t="s">
        <v>90</v>
      </c>
      <c r="G248" s="33"/>
      <c r="H248" s="8">
        <v>1</v>
      </c>
      <c r="I248" s="8">
        <v>12</v>
      </c>
      <c r="J248" s="29"/>
      <c r="K248" s="10"/>
      <c r="L248" s="10"/>
      <c r="M248" s="11"/>
      <c r="N248" s="35">
        <v>477182.44</v>
      </c>
      <c r="O248" s="26" t="s">
        <v>29</v>
      </c>
      <c r="P248" s="29"/>
      <c r="Q248" s="6"/>
      <c r="R248" s="29"/>
      <c r="S248" s="10"/>
      <c r="T248" s="8">
        <v>1</v>
      </c>
    </row>
    <row r="249" spans="1:20" ht="15.75" customHeight="1" x14ac:dyDescent="0.35">
      <c r="A249" s="25" t="s">
        <v>205</v>
      </c>
      <c r="B249" s="25" t="s">
        <v>337</v>
      </c>
      <c r="C249" s="26">
        <v>317704</v>
      </c>
      <c r="D249" s="25" t="s">
        <v>349</v>
      </c>
      <c r="E249" s="25" t="s">
        <v>339</v>
      </c>
      <c r="F249" s="26" t="s">
        <v>90</v>
      </c>
      <c r="G249" s="26" t="s">
        <v>90</v>
      </c>
      <c r="H249" s="26"/>
      <c r="I249" s="26"/>
      <c r="J249" s="26">
        <v>1</v>
      </c>
      <c r="K249" s="26">
        <v>138</v>
      </c>
      <c r="L249" s="26" t="s">
        <v>28</v>
      </c>
      <c r="M249" s="27">
        <v>866</v>
      </c>
      <c r="N249" s="28"/>
      <c r="O249" s="26" t="s">
        <v>29</v>
      </c>
      <c r="P249" s="29"/>
      <c r="Q249" s="6"/>
      <c r="R249" s="29"/>
      <c r="S249" s="10"/>
      <c r="T249" s="8"/>
    </row>
    <row r="250" spans="1:20" ht="15.75" customHeight="1" x14ac:dyDescent="0.35">
      <c r="A250" s="25" t="s">
        <v>205</v>
      </c>
      <c r="B250" s="25" t="s">
        <v>350</v>
      </c>
      <c r="C250" s="26">
        <v>132168</v>
      </c>
      <c r="D250" s="25" t="s">
        <v>351</v>
      </c>
      <c r="E250" s="25" t="s">
        <v>352</v>
      </c>
      <c r="F250" s="26" t="s">
        <v>215</v>
      </c>
      <c r="G250" s="26" t="s">
        <v>215</v>
      </c>
      <c r="H250" s="26"/>
      <c r="I250" s="26"/>
      <c r="J250" s="26">
        <v>1</v>
      </c>
      <c r="K250" s="26">
        <v>138</v>
      </c>
      <c r="L250" s="26" t="s">
        <v>28</v>
      </c>
      <c r="M250" s="27">
        <v>856</v>
      </c>
      <c r="N250" s="28"/>
      <c r="O250" s="26" t="s">
        <v>29</v>
      </c>
      <c r="P250" s="29"/>
      <c r="Q250" s="6"/>
      <c r="R250" s="29"/>
      <c r="S250" s="10"/>
      <c r="T250" s="8"/>
    </row>
    <row r="251" spans="1:20" ht="15.75" customHeight="1" x14ac:dyDescent="0.35">
      <c r="A251" s="25" t="s">
        <v>205</v>
      </c>
      <c r="B251" s="25" t="s">
        <v>350</v>
      </c>
      <c r="C251" s="26">
        <v>132184</v>
      </c>
      <c r="D251" s="25" t="s">
        <v>353</v>
      </c>
      <c r="E251" s="25" t="s">
        <v>354</v>
      </c>
      <c r="F251" s="26" t="s">
        <v>215</v>
      </c>
      <c r="G251" s="26" t="s">
        <v>215</v>
      </c>
      <c r="H251" s="26"/>
      <c r="I251" s="26"/>
      <c r="J251" s="26">
        <v>1</v>
      </c>
      <c r="K251" s="26">
        <v>138</v>
      </c>
      <c r="L251" s="26" t="s">
        <v>28</v>
      </c>
      <c r="M251" s="27">
        <v>855</v>
      </c>
      <c r="N251" s="28"/>
      <c r="O251" s="26" t="s">
        <v>29</v>
      </c>
      <c r="P251" s="29"/>
      <c r="Q251" s="6"/>
      <c r="R251" s="29"/>
      <c r="S251" s="10"/>
      <c r="T251" s="8"/>
    </row>
    <row r="252" spans="1:20" ht="15.75" customHeight="1" x14ac:dyDescent="0.35">
      <c r="A252" s="25" t="s">
        <v>205</v>
      </c>
      <c r="B252" s="25" t="s">
        <v>350</v>
      </c>
      <c r="C252" s="26">
        <v>132200</v>
      </c>
      <c r="D252" s="25" t="s">
        <v>355</v>
      </c>
      <c r="E252" s="25" t="s">
        <v>44</v>
      </c>
      <c r="F252" s="26" t="s">
        <v>215</v>
      </c>
      <c r="G252" s="26" t="s">
        <v>215</v>
      </c>
      <c r="H252" s="26"/>
      <c r="I252" s="26"/>
      <c r="J252" s="26">
        <v>1</v>
      </c>
      <c r="K252" s="26">
        <v>138</v>
      </c>
      <c r="L252" s="26" t="s">
        <v>28</v>
      </c>
      <c r="M252" s="27">
        <v>858</v>
      </c>
      <c r="N252" s="28"/>
      <c r="O252" s="26" t="s">
        <v>29</v>
      </c>
      <c r="P252" s="29"/>
      <c r="Q252" s="6"/>
      <c r="R252" s="29"/>
      <c r="S252" s="10"/>
      <c r="T252" s="8"/>
    </row>
    <row r="253" spans="1:20" ht="15.75" customHeight="1" x14ac:dyDescent="0.35">
      <c r="A253" s="25" t="s">
        <v>205</v>
      </c>
      <c r="B253" s="25" t="s">
        <v>350</v>
      </c>
      <c r="C253" s="26">
        <v>132222</v>
      </c>
      <c r="D253" s="25" t="s">
        <v>356</v>
      </c>
      <c r="E253" s="25" t="s">
        <v>357</v>
      </c>
      <c r="F253" s="26" t="s">
        <v>215</v>
      </c>
      <c r="G253" s="26" t="s">
        <v>215</v>
      </c>
      <c r="H253" s="26"/>
      <c r="I253" s="26"/>
      <c r="J253" s="26">
        <v>1</v>
      </c>
      <c r="K253" s="26">
        <v>138</v>
      </c>
      <c r="L253" s="26" t="s">
        <v>28</v>
      </c>
      <c r="M253" s="27">
        <v>857</v>
      </c>
      <c r="N253" s="28"/>
      <c r="O253" s="26" t="s">
        <v>29</v>
      </c>
      <c r="P253" s="29"/>
      <c r="Q253" s="6"/>
      <c r="R253" s="29"/>
      <c r="S253" s="10"/>
      <c r="T253" s="8"/>
    </row>
    <row r="254" spans="1:20" ht="15.75" customHeight="1" x14ac:dyDescent="0.35">
      <c r="A254" s="25" t="s">
        <v>205</v>
      </c>
      <c r="B254" s="25" t="s">
        <v>358</v>
      </c>
      <c r="C254" s="26">
        <v>132325</v>
      </c>
      <c r="D254" s="25" t="s">
        <v>359</v>
      </c>
      <c r="E254" s="25" t="s">
        <v>360</v>
      </c>
      <c r="F254" s="26" t="s">
        <v>90</v>
      </c>
      <c r="G254" s="26" t="s">
        <v>90</v>
      </c>
      <c r="H254" s="26"/>
      <c r="I254" s="26"/>
      <c r="J254" s="26">
        <v>1</v>
      </c>
      <c r="K254" s="26">
        <v>138</v>
      </c>
      <c r="L254" s="26" t="s">
        <v>28</v>
      </c>
      <c r="M254" s="27">
        <v>868</v>
      </c>
      <c r="N254" s="28"/>
      <c r="O254" s="26" t="s">
        <v>29</v>
      </c>
      <c r="P254" s="29"/>
      <c r="Q254" s="6"/>
      <c r="R254" s="29"/>
      <c r="S254" s="10"/>
      <c r="T254" s="8"/>
    </row>
    <row r="255" spans="1:20" ht="15.75" customHeight="1" x14ac:dyDescent="0.35">
      <c r="A255" s="25" t="s">
        <v>205</v>
      </c>
      <c r="B255" s="25" t="s">
        <v>358</v>
      </c>
      <c r="C255" s="26">
        <v>132350</v>
      </c>
      <c r="D255" s="25" t="s">
        <v>361</v>
      </c>
      <c r="E255" s="25" t="s">
        <v>362</v>
      </c>
      <c r="F255" s="26" t="s">
        <v>90</v>
      </c>
      <c r="G255" s="26" t="s">
        <v>90</v>
      </c>
      <c r="H255" s="26"/>
      <c r="I255" s="26"/>
      <c r="J255" s="26">
        <v>1</v>
      </c>
      <c r="K255" s="26">
        <v>138</v>
      </c>
      <c r="L255" s="26" t="s">
        <v>28</v>
      </c>
      <c r="M255" s="27">
        <v>869</v>
      </c>
      <c r="N255" s="28"/>
      <c r="O255" s="26" t="s">
        <v>29</v>
      </c>
      <c r="P255" s="29"/>
      <c r="Q255" s="6"/>
      <c r="R255" s="29"/>
      <c r="S255" s="10"/>
      <c r="T255" s="8"/>
    </row>
    <row r="256" spans="1:20" ht="15.75" customHeight="1" x14ac:dyDescent="0.35">
      <c r="A256" s="25" t="s">
        <v>205</v>
      </c>
      <c r="B256" s="25" t="s">
        <v>358</v>
      </c>
      <c r="C256" s="26">
        <v>132438</v>
      </c>
      <c r="D256" s="25" t="s">
        <v>363</v>
      </c>
      <c r="E256" s="25" t="s">
        <v>364</v>
      </c>
      <c r="F256" s="26" t="s">
        <v>90</v>
      </c>
      <c r="G256" s="26" t="s">
        <v>90</v>
      </c>
      <c r="H256" s="26">
        <v>1</v>
      </c>
      <c r="I256" s="26">
        <v>2</v>
      </c>
      <c r="J256" s="26">
        <v>1</v>
      </c>
      <c r="K256" s="26">
        <v>138</v>
      </c>
      <c r="L256" s="26" t="s">
        <v>28</v>
      </c>
      <c r="M256" s="27">
        <v>870</v>
      </c>
      <c r="N256" s="28">
        <v>222400</v>
      </c>
      <c r="O256" s="26" t="s">
        <v>29</v>
      </c>
      <c r="P256" s="29"/>
      <c r="Q256" s="6"/>
      <c r="R256" s="29"/>
      <c r="S256" s="10"/>
      <c r="T256" s="8">
        <v>1</v>
      </c>
    </row>
    <row r="257" spans="1:20" ht="15.75" customHeight="1" x14ac:dyDescent="0.35">
      <c r="A257" s="25" t="s">
        <v>205</v>
      </c>
      <c r="B257" s="25" t="s">
        <v>365</v>
      </c>
      <c r="C257" s="26">
        <v>132649</v>
      </c>
      <c r="D257" s="25" t="s">
        <v>366</v>
      </c>
      <c r="E257" s="25" t="s">
        <v>367</v>
      </c>
      <c r="F257" s="26" t="s">
        <v>215</v>
      </c>
      <c r="G257" s="26" t="s">
        <v>215</v>
      </c>
      <c r="H257" s="26"/>
      <c r="I257" s="26"/>
      <c r="J257" s="26">
        <v>1</v>
      </c>
      <c r="K257" s="26">
        <v>138</v>
      </c>
      <c r="L257" s="26" t="s">
        <v>28</v>
      </c>
      <c r="M257" s="27">
        <v>879</v>
      </c>
      <c r="N257" s="28"/>
      <c r="O257" s="26" t="s">
        <v>29</v>
      </c>
      <c r="P257" s="29"/>
      <c r="Q257" s="6"/>
      <c r="R257" s="29"/>
      <c r="S257" s="10"/>
      <c r="T257" s="8"/>
    </row>
    <row r="258" spans="1:20" ht="15.75" customHeight="1" x14ac:dyDescent="0.35">
      <c r="A258" s="25" t="s">
        <v>205</v>
      </c>
      <c r="B258" s="25" t="s">
        <v>365</v>
      </c>
      <c r="C258" s="26">
        <v>132656</v>
      </c>
      <c r="D258" s="25" t="s">
        <v>368</v>
      </c>
      <c r="E258" s="25" t="s">
        <v>369</v>
      </c>
      <c r="F258" s="26" t="s">
        <v>215</v>
      </c>
      <c r="G258" s="26" t="s">
        <v>215</v>
      </c>
      <c r="H258" s="26"/>
      <c r="I258" s="26"/>
      <c r="J258" s="26">
        <v>1</v>
      </c>
      <c r="K258" s="26">
        <v>138</v>
      </c>
      <c r="L258" s="26" t="s">
        <v>28</v>
      </c>
      <c r="M258" s="27">
        <v>873</v>
      </c>
      <c r="N258" s="28"/>
      <c r="O258" s="26" t="s">
        <v>29</v>
      </c>
      <c r="P258" s="29"/>
      <c r="Q258" s="6"/>
      <c r="R258" s="29"/>
      <c r="S258" s="10"/>
      <c r="T258" s="8"/>
    </row>
    <row r="259" spans="1:20" ht="15.75" customHeight="1" x14ac:dyDescent="0.35">
      <c r="A259" s="25" t="s">
        <v>205</v>
      </c>
      <c r="B259" s="25" t="s">
        <v>365</v>
      </c>
      <c r="C259" s="26">
        <v>132715</v>
      </c>
      <c r="D259" s="25" t="s">
        <v>370</v>
      </c>
      <c r="E259" s="25" t="s">
        <v>371</v>
      </c>
      <c r="F259" s="26" t="s">
        <v>215</v>
      </c>
      <c r="G259" s="26" t="s">
        <v>215</v>
      </c>
      <c r="H259" s="26"/>
      <c r="I259" s="26"/>
      <c r="J259" s="26">
        <v>1</v>
      </c>
      <c r="K259" s="26">
        <v>138</v>
      </c>
      <c r="L259" s="26" t="s">
        <v>28</v>
      </c>
      <c r="M259" s="27">
        <v>882</v>
      </c>
      <c r="N259" s="28"/>
      <c r="O259" s="26" t="s">
        <v>29</v>
      </c>
      <c r="P259" s="29"/>
      <c r="Q259" s="6"/>
      <c r="R259" s="29"/>
      <c r="S259" s="10"/>
      <c r="T259" s="8"/>
    </row>
    <row r="260" spans="1:20" ht="15.75" customHeight="1" x14ac:dyDescent="0.35">
      <c r="A260" s="25" t="s">
        <v>205</v>
      </c>
      <c r="B260" s="25" t="s">
        <v>365</v>
      </c>
      <c r="C260" s="26">
        <v>132717</v>
      </c>
      <c r="D260" s="25" t="s">
        <v>372</v>
      </c>
      <c r="E260" s="25" t="s">
        <v>371</v>
      </c>
      <c r="F260" s="26" t="s">
        <v>215</v>
      </c>
      <c r="G260" s="26" t="s">
        <v>215</v>
      </c>
      <c r="H260" s="26"/>
      <c r="I260" s="26"/>
      <c r="J260" s="26">
        <v>1</v>
      </c>
      <c r="K260" s="26">
        <v>138</v>
      </c>
      <c r="L260" s="26" t="s">
        <v>28</v>
      </c>
      <c r="M260" s="27">
        <v>884</v>
      </c>
      <c r="N260" s="28"/>
      <c r="O260" s="26" t="s">
        <v>29</v>
      </c>
      <c r="P260" s="29"/>
      <c r="Q260" s="6"/>
      <c r="R260" s="29"/>
      <c r="S260" s="10"/>
      <c r="T260" s="8"/>
    </row>
    <row r="261" spans="1:20" ht="15.75" customHeight="1" x14ac:dyDescent="0.35">
      <c r="A261" s="25" t="s">
        <v>205</v>
      </c>
      <c r="B261" s="25" t="s">
        <v>365</v>
      </c>
      <c r="C261" s="26">
        <v>132720</v>
      </c>
      <c r="D261" s="25" t="s">
        <v>373</v>
      </c>
      <c r="E261" s="25" t="s">
        <v>374</v>
      </c>
      <c r="F261" s="26" t="s">
        <v>90</v>
      </c>
      <c r="G261" s="26" t="s">
        <v>90</v>
      </c>
      <c r="H261" s="26"/>
      <c r="I261" s="26"/>
      <c r="J261" s="26">
        <v>1</v>
      </c>
      <c r="K261" s="26">
        <v>138</v>
      </c>
      <c r="L261" s="26" t="s">
        <v>28</v>
      </c>
      <c r="M261" s="27">
        <v>885</v>
      </c>
      <c r="N261" s="28"/>
      <c r="O261" s="26" t="s">
        <v>29</v>
      </c>
      <c r="P261" s="29"/>
      <c r="Q261" s="6"/>
      <c r="R261" s="29"/>
      <c r="S261" s="10"/>
      <c r="T261" s="8"/>
    </row>
    <row r="262" spans="1:20" ht="15.75" customHeight="1" x14ac:dyDescent="0.35">
      <c r="A262" s="25" t="s">
        <v>205</v>
      </c>
      <c r="B262" s="25" t="s">
        <v>365</v>
      </c>
      <c r="C262" s="26">
        <v>132723</v>
      </c>
      <c r="D262" s="25" t="s">
        <v>375</v>
      </c>
      <c r="E262" s="25" t="s">
        <v>374</v>
      </c>
      <c r="F262" s="26" t="s">
        <v>90</v>
      </c>
      <c r="G262" s="26" t="s">
        <v>90</v>
      </c>
      <c r="H262" s="26"/>
      <c r="I262" s="26"/>
      <c r="J262" s="26">
        <v>1</v>
      </c>
      <c r="K262" s="26">
        <v>138</v>
      </c>
      <c r="L262" s="26" t="s">
        <v>28</v>
      </c>
      <c r="M262" s="27">
        <v>887</v>
      </c>
      <c r="N262" s="28"/>
      <c r="O262" s="26" t="s">
        <v>29</v>
      </c>
      <c r="P262" s="29"/>
      <c r="Q262" s="6"/>
      <c r="R262" s="29"/>
      <c r="S262" s="10"/>
      <c r="T262" s="8"/>
    </row>
    <row r="263" spans="1:20" ht="15.75" customHeight="1" x14ac:dyDescent="0.35">
      <c r="A263" s="25" t="s">
        <v>205</v>
      </c>
      <c r="B263" s="25" t="s">
        <v>365</v>
      </c>
      <c r="C263" s="26">
        <v>132741</v>
      </c>
      <c r="D263" s="25" t="s">
        <v>376</v>
      </c>
      <c r="E263" s="25" t="s">
        <v>374</v>
      </c>
      <c r="F263" s="26" t="s">
        <v>90</v>
      </c>
      <c r="G263" s="26" t="s">
        <v>90</v>
      </c>
      <c r="H263" s="26"/>
      <c r="I263" s="26"/>
      <c r="J263" s="26">
        <v>1</v>
      </c>
      <c r="K263" s="26">
        <v>138</v>
      </c>
      <c r="L263" s="26" t="s">
        <v>28</v>
      </c>
      <c r="M263" s="27">
        <v>896</v>
      </c>
      <c r="N263" s="28"/>
      <c r="O263" s="26" t="s">
        <v>29</v>
      </c>
      <c r="P263" s="29"/>
      <c r="Q263" s="6"/>
      <c r="R263" s="29"/>
      <c r="S263" s="10"/>
      <c r="T263" s="8"/>
    </row>
    <row r="264" spans="1:20" ht="15.75" customHeight="1" x14ac:dyDescent="0.35">
      <c r="A264" s="25" t="s">
        <v>205</v>
      </c>
      <c r="B264" s="25" t="s">
        <v>365</v>
      </c>
      <c r="C264" s="26">
        <v>132745</v>
      </c>
      <c r="D264" s="25" t="s">
        <v>377</v>
      </c>
      <c r="E264" s="25" t="s">
        <v>374</v>
      </c>
      <c r="F264" s="26" t="s">
        <v>90</v>
      </c>
      <c r="G264" s="26" t="s">
        <v>90</v>
      </c>
      <c r="H264" s="26"/>
      <c r="I264" s="26"/>
      <c r="J264" s="26">
        <v>1</v>
      </c>
      <c r="K264" s="26">
        <v>138</v>
      </c>
      <c r="L264" s="26" t="s">
        <v>28</v>
      </c>
      <c r="M264" s="27">
        <v>900</v>
      </c>
      <c r="N264" s="28"/>
      <c r="O264" s="26" t="s">
        <v>29</v>
      </c>
      <c r="P264" s="29"/>
      <c r="Q264" s="6"/>
      <c r="R264" s="29"/>
      <c r="S264" s="10"/>
      <c r="T264" s="8"/>
    </row>
    <row r="265" spans="1:20" ht="15.75" customHeight="1" x14ac:dyDescent="0.35">
      <c r="A265" s="25" t="s">
        <v>205</v>
      </c>
      <c r="B265" s="25" t="s">
        <v>365</v>
      </c>
      <c r="C265" s="26">
        <v>132790</v>
      </c>
      <c r="D265" s="25" t="s">
        <v>378</v>
      </c>
      <c r="E265" s="25" t="s">
        <v>379</v>
      </c>
      <c r="F265" s="26" t="s">
        <v>90</v>
      </c>
      <c r="G265" s="26" t="s">
        <v>90</v>
      </c>
      <c r="H265" s="26"/>
      <c r="I265" s="26"/>
      <c r="J265" s="26">
        <v>1</v>
      </c>
      <c r="K265" s="26">
        <v>138</v>
      </c>
      <c r="L265" s="26" t="s">
        <v>28</v>
      </c>
      <c r="M265" s="27">
        <v>889</v>
      </c>
      <c r="N265" s="28"/>
      <c r="O265" s="26" t="s">
        <v>29</v>
      </c>
      <c r="P265" s="29"/>
      <c r="Q265" s="6"/>
      <c r="R265" s="29"/>
      <c r="S265" s="10"/>
      <c r="T265" s="8"/>
    </row>
    <row r="266" spans="1:20" ht="15.75" customHeight="1" x14ac:dyDescent="0.35">
      <c r="A266" s="25" t="s">
        <v>205</v>
      </c>
      <c r="B266" s="25" t="s">
        <v>365</v>
      </c>
      <c r="C266" s="26">
        <v>132792</v>
      </c>
      <c r="D266" s="25" t="s">
        <v>380</v>
      </c>
      <c r="E266" s="25" t="s">
        <v>379</v>
      </c>
      <c r="F266" s="26" t="s">
        <v>90</v>
      </c>
      <c r="G266" s="26" t="s">
        <v>90</v>
      </c>
      <c r="H266" s="26"/>
      <c r="I266" s="26"/>
      <c r="J266" s="26">
        <v>1</v>
      </c>
      <c r="K266" s="26">
        <v>138</v>
      </c>
      <c r="L266" s="26" t="s">
        <v>28</v>
      </c>
      <c r="M266" s="27">
        <v>890</v>
      </c>
      <c r="N266" s="28"/>
      <c r="O266" s="26" t="s">
        <v>29</v>
      </c>
      <c r="P266" s="29"/>
      <c r="Q266" s="6"/>
      <c r="R266" s="29"/>
      <c r="S266" s="10"/>
      <c r="T266" s="8"/>
    </row>
    <row r="267" spans="1:20" ht="15.75" customHeight="1" x14ac:dyDescent="0.35">
      <c r="A267" s="25" t="s">
        <v>205</v>
      </c>
      <c r="B267" s="25" t="s">
        <v>365</v>
      </c>
      <c r="C267" s="26">
        <v>132798</v>
      </c>
      <c r="D267" s="25" t="s">
        <v>381</v>
      </c>
      <c r="E267" s="25" t="s">
        <v>379</v>
      </c>
      <c r="F267" s="26" t="s">
        <v>90</v>
      </c>
      <c r="G267" s="26" t="s">
        <v>90</v>
      </c>
      <c r="H267" s="26"/>
      <c r="I267" s="26"/>
      <c r="J267" s="26">
        <v>1</v>
      </c>
      <c r="K267" s="26">
        <v>138</v>
      </c>
      <c r="L267" s="26" t="s">
        <v>28</v>
      </c>
      <c r="M267" s="27">
        <v>891</v>
      </c>
      <c r="N267" s="28"/>
      <c r="O267" s="26" t="s">
        <v>29</v>
      </c>
      <c r="P267" s="29"/>
      <c r="Q267" s="6"/>
      <c r="R267" s="29"/>
      <c r="S267" s="10"/>
      <c r="T267" s="8"/>
    </row>
    <row r="268" spans="1:20" ht="15.75" customHeight="1" x14ac:dyDescent="0.35">
      <c r="A268" s="25" t="s">
        <v>205</v>
      </c>
      <c r="B268" s="25" t="s">
        <v>365</v>
      </c>
      <c r="C268" s="26">
        <v>132801</v>
      </c>
      <c r="D268" s="25" t="s">
        <v>382</v>
      </c>
      <c r="E268" s="25" t="s">
        <v>379</v>
      </c>
      <c r="F268" s="26" t="s">
        <v>90</v>
      </c>
      <c r="G268" s="26" t="s">
        <v>90</v>
      </c>
      <c r="H268" s="26"/>
      <c r="I268" s="26"/>
      <c r="J268" s="26">
        <v>1</v>
      </c>
      <c r="K268" s="26">
        <v>138</v>
      </c>
      <c r="L268" s="26" t="s">
        <v>28</v>
      </c>
      <c r="M268" s="27">
        <v>893</v>
      </c>
      <c r="N268" s="28"/>
      <c r="O268" s="26" t="s">
        <v>29</v>
      </c>
      <c r="P268" s="29"/>
      <c r="Q268" s="6"/>
      <c r="R268" s="29"/>
      <c r="S268" s="10"/>
      <c r="T268" s="8"/>
    </row>
    <row r="269" spans="1:20" ht="15.75" customHeight="1" x14ac:dyDescent="0.35">
      <c r="A269" s="25" t="s">
        <v>205</v>
      </c>
      <c r="B269" s="25" t="s">
        <v>365</v>
      </c>
      <c r="C269" s="26">
        <v>132802</v>
      </c>
      <c r="D269" s="25" t="s">
        <v>383</v>
      </c>
      <c r="E269" s="25" t="s">
        <v>379</v>
      </c>
      <c r="F269" s="26" t="s">
        <v>90</v>
      </c>
      <c r="G269" s="26" t="s">
        <v>90</v>
      </c>
      <c r="H269" s="26"/>
      <c r="I269" s="26"/>
      <c r="J269" s="26">
        <v>1</v>
      </c>
      <c r="K269" s="26">
        <v>138</v>
      </c>
      <c r="L269" s="26" t="s">
        <v>28</v>
      </c>
      <c r="M269" s="27">
        <v>894</v>
      </c>
      <c r="N269" s="28"/>
      <c r="O269" s="26" t="s">
        <v>29</v>
      </c>
      <c r="P269" s="29"/>
      <c r="Q269" s="6"/>
      <c r="R269" s="29"/>
      <c r="S269" s="10"/>
      <c r="T269" s="8"/>
    </row>
    <row r="270" spans="1:20" ht="15.75" customHeight="1" x14ac:dyDescent="0.35">
      <c r="A270" s="25" t="s">
        <v>205</v>
      </c>
      <c r="B270" s="25" t="s">
        <v>365</v>
      </c>
      <c r="C270" s="26">
        <v>132803</v>
      </c>
      <c r="D270" s="25" t="s">
        <v>384</v>
      </c>
      <c r="E270" s="25" t="s">
        <v>379</v>
      </c>
      <c r="F270" s="26" t="s">
        <v>90</v>
      </c>
      <c r="G270" s="26" t="s">
        <v>90</v>
      </c>
      <c r="H270" s="26"/>
      <c r="I270" s="26"/>
      <c r="J270" s="26">
        <v>1</v>
      </c>
      <c r="K270" s="26">
        <v>138</v>
      </c>
      <c r="L270" s="26" t="s">
        <v>28</v>
      </c>
      <c r="M270" s="27">
        <v>895</v>
      </c>
      <c r="N270" s="28"/>
      <c r="O270" s="26" t="s">
        <v>29</v>
      </c>
      <c r="P270" s="29"/>
      <c r="Q270" s="6"/>
      <c r="R270" s="29"/>
      <c r="S270" s="10"/>
      <c r="T270" s="8"/>
    </row>
    <row r="271" spans="1:20" ht="15.75" customHeight="1" x14ac:dyDescent="0.35">
      <c r="A271" s="25" t="s">
        <v>205</v>
      </c>
      <c r="B271" s="25" t="s">
        <v>365</v>
      </c>
      <c r="C271" s="26">
        <v>132808</v>
      </c>
      <c r="D271" s="25" t="s">
        <v>385</v>
      </c>
      <c r="E271" s="25" t="s">
        <v>379</v>
      </c>
      <c r="F271" s="26" t="s">
        <v>90</v>
      </c>
      <c r="G271" s="26" t="s">
        <v>90</v>
      </c>
      <c r="H271" s="26"/>
      <c r="I271" s="26"/>
      <c r="J271" s="26">
        <v>1</v>
      </c>
      <c r="K271" s="26">
        <v>138</v>
      </c>
      <c r="L271" s="26" t="s">
        <v>28</v>
      </c>
      <c r="M271" s="27">
        <v>897</v>
      </c>
      <c r="N271" s="28"/>
      <c r="O271" s="26" t="s">
        <v>29</v>
      </c>
      <c r="P271" s="29"/>
      <c r="Q271" s="6"/>
      <c r="R271" s="29"/>
      <c r="S271" s="10"/>
      <c r="T271" s="8"/>
    </row>
    <row r="272" spans="1:20" ht="15.75" customHeight="1" x14ac:dyDescent="0.35">
      <c r="A272" s="25" t="s">
        <v>205</v>
      </c>
      <c r="B272" s="25" t="s">
        <v>365</v>
      </c>
      <c r="C272" s="26">
        <v>132948</v>
      </c>
      <c r="D272" s="25" t="s">
        <v>386</v>
      </c>
      <c r="E272" s="25" t="s">
        <v>387</v>
      </c>
      <c r="F272" s="26" t="s">
        <v>215</v>
      </c>
      <c r="G272" s="26" t="s">
        <v>215</v>
      </c>
      <c r="H272" s="26"/>
      <c r="I272" s="26"/>
      <c r="J272" s="26">
        <v>1</v>
      </c>
      <c r="K272" s="26">
        <v>138</v>
      </c>
      <c r="L272" s="26" t="s">
        <v>28</v>
      </c>
      <c r="M272" s="27">
        <v>877</v>
      </c>
      <c r="N272" s="28"/>
      <c r="O272" s="26" t="s">
        <v>29</v>
      </c>
      <c r="P272" s="29"/>
      <c r="Q272" s="6"/>
      <c r="R272" s="29"/>
      <c r="S272" s="10"/>
      <c r="T272" s="8"/>
    </row>
    <row r="273" spans="1:20" ht="15.75" customHeight="1" x14ac:dyDescent="0.35">
      <c r="A273" s="25" t="s">
        <v>205</v>
      </c>
      <c r="B273" s="25" t="s">
        <v>365</v>
      </c>
      <c r="C273" s="26">
        <v>132958</v>
      </c>
      <c r="D273" s="25" t="s">
        <v>388</v>
      </c>
      <c r="E273" s="25" t="s">
        <v>389</v>
      </c>
      <c r="F273" s="26" t="s">
        <v>215</v>
      </c>
      <c r="G273" s="26" t="s">
        <v>215</v>
      </c>
      <c r="H273" s="26"/>
      <c r="I273" s="26"/>
      <c r="J273" s="26">
        <v>1</v>
      </c>
      <c r="K273" s="26">
        <v>138</v>
      </c>
      <c r="L273" s="26" t="s">
        <v>28</v>
      </c>
      <c r="M273" s="27">
        <v>871</v>
      </c>
      <c r="N273" s="28"/>
      <c r="O273" s="26" t="s">
        <v>29</v>
      </c>
      <c r="P273" s="29"/>
      <c r="Q273" s="6"/>
      <c r="R273" s="29"/>
      <c r="S273" s="10"/>
      <c r="T273" s="8"/>
    </row>
    <row r="274" spans="1:20" ht="15.75" customHeight="1" x14ac:dyDescent="0.35">
      <c r="A274" s="25" t="s">
        <v>205</v>
      </c>
      <c r="B274" s="25" t="s">
        <v>365</v>
      </c>
      <c r="C274" s="26">
        <v>132965</v>
      </c>
      <c r="D274" s="25" t="s">
        <v>390</v>
      </c>
      <c r="E274" s="25" t="s">
        <v>389</v>
      </c>
      <c r="F274" s="26" t="s">
        <v>215</v>
      </c>
      <c r="G274" s="26" t="s">
        <v>215</v>
      </c>
      <c r="H274" s="26"/>
      <c r="I274" s="26"/>
      <c r="J274" s="26">
        <v>1</v>
      </c>
      <c r="K274" s="26">
        <v>138</v>
      </c>
      <c r="L274" s="26" t="s">
        <v>28</v>
      </c>
      <c r="M274" s="27">
        <v>875</v>
      </c>
      <c r="N274" s="28"/>
      <c r="O274" s="26" t="s">
        <v>29</v>
      </c>
      <c r="P274" s="29"/>
      <c r="Q274" s="6"/>
      <c r="R274" s="29"/>
      <c r="S274" s="10"/>
      <c r="T274" s="8"/>
    </row>
    <row r="275" spans="1:20" ht="15.75" customHeight="1" x14ac:dyDescent="0.35">
      <c r="A275" s="25" t="s">
        <v>205</v>
      </c>
      <c r="B275" s="25" t="s">
        <v>365</v>
      </c>
      <c r="C275" s="26">
        <v>132967</v>
      </c>
      <c r="D275" s="25" t="s">
        <v>391</v>
      </c>
      <c r="E275" s="25" t="s">
        <v>389</v>
      </c>
      <c r="F275" s="26" t="s">
        <v>215</v>
      </c>
      <c r="G275" s="26" t="s">
        <v>215</v>
      </c>
      <c r="H275" s="26"/>
      <c r="I275" s="26"/>
      <c r="J275" s="26">
        <v>1</v>
      </c>
      <c r="K275" s="26">
        <v>138</v>
      </c>
      <c r="L275" s="26" t="s">
        <v>28</v>
      </c>
      <c r="M275" s="27">
        <v>878</v>
      </c>
      <c r="N275" s="28"/>
      <c r="O275" s="26" t="s">
        <v>29</v>
      </c>
      <c r="P275" s="29"/>
      <c r="Q275" s="6"/>
      <c r="R275" s="29"/>
      <c r="S275" s="10"/>
      <c r="T275" s="8"/>
    </row>
    <row r="276" spans="1:20" ht="15.75" customHeight="1" x14ac:dyDescent="0.35">
      <c r="A276" s="25" t="s">
        <v>205</v>
      </c>
      <c r="B276" s="25" t="s">
        <v>365</v>
      </c>
      <c r="C276" s="26">
        <v>214517</v>
      </c>
      <c r="D276" s="25" t="s">
        <v>392</v>
      </c>
      <c r="E276" s="25" t="s">
        <v>393</v>
      </c>
      <c r="F276" s="26" t="s">
        <v>215</v>
      </c>
      <c r="G276" s="26" t="s">
        <v>215</v>
      </c>
      <c r="H276" s="26"/>
      <c r="I276" s="26"/>
      <c r="J276" s="26">
        <v>1</v>
      </c>
      <c r="K276" s="26">
        <v>138</v>
      </c>
      <c r="L276" s="26" t="s">
        <v>28</v>
      </c>
      <c r="M276" s="27">
        <v>883</v>
      </c>
      <c r="N276" s="28"/>
      <c r="O276" s="26" t="s">
        <v>29</v>
      </c>
      <c r="P276" s="29"/>
      <c r="Q276" s="6"/>
      <c r="R276" s="29"/>
      <c r="S276" s="10"/>
      <c r="T276" s="8"/>
    </row>
    <row r="277" spans="1:20" ht="15.75" customHeight="1" x14ac:dyDescent="0.35">
      <c r="A277" s="25" t="s">
        <v>205</v>
      </c>
      <c r="B277" s="25" t="s">
        <v>365</v>
      </c>
      <c r="C277" s="26">
        <v>214520</v>
      </c>
      <c r="D277" s="25" t="s">
        <v>394</v>
      </c>
      <c r="E277" s="25" t="s">
        <v>395</v>
      </c>
      <c r="F277" s="26" t="s">
        <v>215</v>
      </c>
      <c r="G277" s="26" t="s">
        <v>215</v>
      </c>
      <c r="H277" s="26"/>
      <c r="I277" s="26"/>
      <c r="J277" s="26">
        <v>1</v>
      </c>
      <c r="K277" s="26">
        <v>138</v>
      </c>
      <c r="L277" s="26" t="s">
        <v>28</v>
      </c>
      <c r="M277" s="27">
        <v>876</v>
      </c>
      <c r="N277" s="28"/>
      <c r="O277" s="26" t="s">
        <v>29</v>
      </c>
      <c r="P277" s="29"/>
      <c r="Q277" s="6"/>
      <c r="R277" s="29"/>
      <c r="S277" s="10"/>
      <c r="T277" s="8"/>
    </row>
    <row r="278" spans="1:20" ht="15.75" customHeight="1" x14ac:dyDescent="0.35">
      <c r="A278" s="25" t="s">
        <v>205</v>
      </c>
      <c r="B278" s="25" t="s">
        <v>365</v>
      </c>
      <c r="C278" s="26">
        <v>214523</v>
      </c>
      <c r="D278" s="25" t="s">
        <v>396</v>
      </c>
      <c r="E278" s="25" t="s">
        <v>393</v>
      </c>
      <c r="F278" s="26" t="s">
        <v>215</v>
      </c>
      <c r="G278" s="26" t="s">
        <v>215</v>
      </c>
      <c r="H278" s="26"/>
      <c r="I278" s="26"/>
      <c r="J278" s="26">
        <v>1</v>
      </c>
      <c r="K278" s="26">
        <v>138</v>
      </c>
      <c r="L278" s="26" t="s">
        <v>28</v>
      </c>
      <c r="M278" s="27">
        <v>880</v>
      </c>
      <c r="N278" s="28"/>
      <c r="O278" s="26" t="s">
        <v>29</v>
      </c>
      <c r="P278" s="29"/>
      <c r="Q278" s="6"/>
      <c r="R278" s="29"/>
      <c r="S278" s="10"/>
      <c r="T278" s="8"/>
    </row>
    <row r="279" spans="1:20" ht="15.75" customHeight="1" x14ac:dyDescent="0.35">
      <c r="A279" s="25" t="s">
        <v>205</v>
      </c>
      <c r="B279" s="25" t="s">
        <v>365</v>
      </c>
      <c r="C279" s="26">
        <v>214525</v>
      </c>
      <c r="D279" s="25" t="s">
        <v>397</v>
      </c>
      <c r="E279" s="25" t="s">
        <v>379</v>
      </c>
      <c r="F279" s="26" t="s">
        <v>90</v>
      </c>
      <c r="G279" s="26" t="s">
        <v>90</v>
      </c>
      <c r="H279" s="26"/>
      <c r="I279" s="26"/>
      <c r="J279" s="26">
        <v>1</v>
      </c>
      <c r="K279" s="26">
        <v>138</v>
      </c>
      <c r="L279" s="26" t="s">
        <v>28</v>
      </c>
      <c r="M279" s="27">
        <v>902</v>
      </c>
      <c r="N279" s="28"/>
      <c r="O279" s="26" t="s">
        <v>29</v>
      </c>
      <c r="P279" s="29"/>
      <c r="Q279" s="6"/>
      <c r="R279" s="29"/>
      <c r="S279" s="10"/>
      <c r="T279" s="8"/>
    </row>
    <row r="280" spans="1:20" ht="15.75" customHeight="1" x14ac:dyDescent="0.35">
      <c r="A280" s="25" t="s">
        <v>205</v>
      </c>
      <c r="B280" s="25" t="s">
        <v>365</v>
      </c>
      <c r="C280" s="26">
        <v>214528</v>
      </c>
      <c r="D280" s="25" t="s">
        <v>398</v>
      </c>
      <c r="E280" s="25" t="s">
        <v>395</v>
      </c>
      <c r="F280" s="26" t="s">
        <v>215</v>
      </c>
      <c r="G280" s="26" t="s">
        <v>215</v>
      </c>
      <c r="H280" s="26"/>
      <c r="I280" s="26"/>
      <c r="J280" s="26">
        <v>1</v>
      </c>
      <c r="K280" s="26">
        <v>138</v>
      </c>
      <c r="L280" s="26" t="s">
        <v>28</v>
      </c>
      <c r="M280" s="27">
        <v>874</v>
      </c>
      <c r="N280" s="28"/>
      <c r="O280" s="26" t="s">
        <v>29</v>
      </c>
      <c r="P280" s="29"/>
      <c r="Q280" s="6"/>
      <c r="R280" s="29"/>
      <c r="S280" s="10"/>
      <c r="T280" s="8"/>
    </row>
    <row r="281" spans="1:20" ht="15.75" customHeight="1" x14ac:dyDescent="0.35">
      <c r="A281" s="25" t="s">
        <v>205</v>
      </c>
      <c r="B281" s="25" t="s">
        <v>365</v>
      </c>
      <c r="C281" s="26">
        <v>317909</v>
      </c>
      <c r="D281" s="25" t="s">
        <v>399</v>
      </c>
      <c r="E281" s="25" t="s">
        <v>374</v>
      </c>
      <c r="F281" s="26" t="s">
        <v>90</v>
      </c>
      <c r="G281" s="26" t="s">
        <v>90</v>
      </c>
      <c r="H281" s="26"/>
      <c r="I281" s="26"/>
      <c r="J281" s="26">
        <v>1</v>
      </c>
      <c r="K281" s="26">
        <v>138</v>
      </c>
      <c r="L281" s="26" t="s">
        <v>28</v>
      </c>
      <c r="M281" s="27">
        <v>888</v>
      </c>
      <c r="N281" s="28"/>
      <c r="O281" s="26" t="s">
        <v>29</v>
      </c>
      <c r="P281" s="29"/>
      <c r="Q281" s="6"/>
      <c r="R281" s="29"/>
      <c r="S281" s="10"/>
      <c r="T281" s="8"/>
    </row>
    <row r="282" spans="1:20" ht="15.75" customHeight="1" x14ac:dyDescent="0.35">
      <c r="A282" s="25" t="s">
        <v>205</v>
      </c>
      <c r="B282" s="25" t="s">
        <v>365</v>
      </c>
      <c r="C282" s="26">
        <v>317911</v>
      </c>
      <c r="D282" s="25" t="s">
        <v>400</v>
      </c>
      <c r="E282" s="25" t="s">
        <v>371</v>
      </c>
      <c r="F282" s="26" t="s">
        <v>215</v>
      </c>
      <c r="G282" s="26" t="s">
        <v>215</v>
      </c>
      <c r="H282" s="26"/>
      <c r="I282" s="26"/>
      <c r="J282" s="26">
        <v>1</v>
      </c>
      <c r="K282" s="26">
        <v>138</v>
      </c>
      <c r="L282" s="26" t="s">
        <v>28</v>
      </c>
      <c r="M282" s="27">
        <v>881</v>
      </c>
      <c r="N282" s="28"/>
      <c r="O282" s="26" t="s">
        <v>29</v>
      </c>
      <c r="P282" s="29"/>
      <c r="Q282" s="6"/>
      <c r="R282" s="29"/>
      <c r="S282" s="10"/>
      <c r="T282" s="8"/>
    </row>
    <row r="283" spans="1:20" ht="15.75" customHeight="1" x14ac:dyDescent="0.35">
      <c r="A283" s="25" t="s">
        <v>205</v>
      </c>
      <c r="B283" s="25" t="s">
        <v>365</v>
      </c>
      <c r="C283" s="26">
        <v>317918</v>
      </c>
      <c r="D283" s="25" t="s">
        <v>401</v>
      </c>
      <c r="E283" s="25" t="s">
        <v>387</v>
      </c>
      <c r="F283" s="26" t="s">
        <v>215</v>
      </c>
      <c r="G283" s="26" t="s">
        <v>215</v>
      </c>
      <c r="H283" s="26"/>
      <c r="I283" s="26"/>
      <c r="J283" s="26">
        <v>1</v>
      </c>
      <c r="K283" s="26">
        <v>138</v>
      </c>
      <c r="L283" s="26" t="s">
        <v>28</v>
      </c>
      <c r="M283" s="27">
        <v>872</v>
      </c>
      <c r="N283" s="28"/>
      <c r="O283" s="26" t="s">
        <v>29</v>
      </c>
      <c r="P283" s="29"/>
      <c r="Q283" s="6"/>
      <c r="R283" s="29"/>
      <c r="S283" s="10"/>
      <c r="T283" s="8"/>
    </row>
    <row r="284" spans="1:20" ht="15.75" customHeight="1" x14ac:dyDescent="0.35">
      <c r="A284" s="25" t="s">
        <v>205</v>
      </c>
      <c r="B284" s="25" t="s">
        <v>365</v>
      </c>
      <c r="C284" s="26">
        <v>317924</v>
      </c>
      <c r="D284" s="25" t="s">
        <v>402</v>
      </c>
      <c r="E284" s="25" t="s">
        <v>374</v>
      </c>
      <c r="F284" s="26" t="s">
        <v>90</v>
      </c>
      <c r="G284" s="26" t="s">
        <v>90</v>
      </c>
      <c r="H284" s="26"/>
      <c r="I284" s="26"/>
      <c r="J284" s="26">
        <v>1</v>
      </c>
      <c r="K284" s="26">
        <v>138</v>
      </c>
      <c r="L284" s="26" t="s">
        <v>28</v>
      </c>
      <c r="M284" s="27">
        <v>886</v>
      </c>
      <c r="N284" s="28"/>
      <c r="O284" s="26" t="s">
        <v>29</v>
      </c>
      <c r="P284" s="29"/>
      <c r="Q284" s="6"/>
      <c r="R284" s="29"/>
      <c r="S284" s="10"/>
      <c r="T284" s="8"/>
    </row>
    <row r="285" spans="1:20" ht="15.75" customHeight="1" x14ac:dyDescent="0.35">
      <c r="A285" s="25" t="s">
        <v>205</v>
      </c>
      <c r="B285" s="25" t="s">
        <v>365</v>
      </c>
      <c r="C285" s="26">
        <v>317932</v>
      </c>
      <c r="D285" s="25" t="s">
        <v>403</v>
      </c>
      <c r="E285" s="25" t="s">
        <v>404</v>
      </c>
      <c r="F285" s="26" t="s">
        <v>90</v>
      </c>
      <c r="G285" s="26" t="s">
        <v>90</v>
      </c>
      <c r="H285" s="26"/>
      <c r="I285" s="26"/>
      <c r="J285" s="26">
        <v>1</v>
      </c>
      <c r="K285" s="26">
        <v>138</v>
      </c>
      <c r="L285" s="26" t="s">
        <v>28</v>
      </c>
      <c r="M285" s="27">
        <v>892</v>
      </c>
      <c r="N285" s="28"/>
      <c r="O285" s="26" t="s">
        <v>29</v>
      </c>
      <c r="P285" s="29"/>
      <c r="Q285" s="6"/>
      <c r="R285" s="29"/>
      <c r="S285" s="10"/>
      <c r="T285" s="8"/>
    </row>
    <row r="286" spans="1:20" ht="15.75" customHeight="1" x14ac:dyDescent="0.35">
      <c r="A286" s="25" t="s">
        <v>205</v>
      </c>
      <c r="B286" s="25" t="s">
        <v>365</v>
      </c>
      <c r="C286" s="26">
        <v>317935</v>
      </c>
      <c r="D286" s="25" t="s">
        <v>405</v>
      </c>
      <c r="E286" s="25" t="s">
        <v>404</v>
      </c>
      <c r="F286" s="26" t="s">
        <v>90</v>
      </c>
      <c r="G286" s="26" t="s">
        <v>90</v>
      </c>
      <c r="H286" s="26"/>
      <c r="I286" s="26"/>
      <c r="J286" s="26">
        <v>1</v>
      </c>
      <c r="K286" s="26">
        <v>138</v>
      </c>
      <c r="L286" s="26" t="s">
        <v>28</v>
      </c>
      <c r="M286" s="27">
        <v>901</v>
      </c>
      <c r="N286" s="28"/>
      <c r="O286" s="26" t="s">
        <v>29</v>
      </c>
      <c r="P286" s="29"/>
      <c r="Q286" s="6"/>
      <c r="R286" s="29"/>
      <c r="S286" s="10"/>
      <c r="T286" s="8"/>
    </row>
    <row r="287" spans="1:20" ht="15.75" customHeight="1" x14ac:dyDescent="0.35">
      <c r="A287" s="25" t="s">
        <v>205</v>
      </c>
      <c r="B287" s="25" t="s">
        <v>365</v>
      </c>
      <c r="C287" s="26">
        <v>317941</v>
      </c>
      <c r="D287" s="25" t="s">
        <v>406</v>
      </c>
      <c r="E287" s="25" t="s">
        <v>407</v>
      </c>
      <c r="F287" s="26" t="s">
        <v>90</v>
      </c>
      <c r="G287" s="26" t="s">
        <v>90</v>
      </c>
      <c r="H287" s="26"/>
      <c r="I287" s="26"/>
      <c r="J287" s="26">
        <v>1</v>
      </c>
      <c r="K287" s="26">
        <v>138</v>
      </c>
      <c r="L287" s="26" t="s">
        <v>28</v>
      </c>
      <c r="M287" s="27">
        <v>899</v>
      </c>
      <c r="N287" s="28"/>
      <c r="O287" s="26" t="s">
        <v>29</v>
      </c>
      <c r="P287" s="29"/>
      <c r="Q287" s="6"/>
      <c r="R287" s="29"/>
      <c r="S287" s="10"/>
      <c r="T287" s="8"/>
    </row>
    <row r="288" spans="1:20" ht="15.75" customHeight="1" x14ac:dyDescent="0.35">
      <c r="A288" s="25" t="s">
        <v>205</v>
      </c>
      <c r="B288" s="25" t="s">
        <v>365</v>
      </c>
      <c r="C288" s="26">
        <v>317942</v>
      </c>
      <c r="D288" s="25" t="s">
        <v>408</v>
      </c>
      <c r="E288" s="25" t="s">
        <v>379</v>
      </c>
      <c r="F288" s="26" t="s">
        <v>90</v>
      </c>
      <c r="G288" s="26" t="s">
        <v>90</v>
      </c>
      <c r="H288" s="26"/>
      <c r="I288" s="26"/>
      <c r="J288" s="26">
        <v>1</v>
      </c>
      <c r="K288" s="26">
        <v>138</v>
      </c>
      <c r="L288" s="26" t="s">
        <v>28</v>
      </c>
      <c r="M288" s="27">
        <v>898</v>
      </c>
      <c r="N288" s="28"/>
      <c r="O288" s="26" t="s">
        <v>29</v>
      </c>
      <c r="P288" s="29"/>
      <c r="Q288" s="6"/>
      <c r="R288" s="29"/>
      <c r="S288" s="10"/>
      <c r="T288" s="8"/>
    </row>
    <row r="289" spans="1:20" ht="15.75" customHeight="1" x14ac:dyDescent="0.35">
      <c r="A289" s="25" t="s">
        <v>409</v>
      </c>
      <c r="B289" s="25" t="s">
        <v>410</v>
      </c>
      <c r="C289" s="26">
        <v>235501</v>
      </c>
      <c r="D289" s="25" t="s">
        <v>411</v>
      </c>
      <c r="E289" s="25" t="s">
        <v>412</v>
      </c>
      <c r="F289" s="26" t="s">
        <v>90</v>
      </c>
      <c r="G289" s="26" t="s">
        <v>90</v>
      </c>
      <c r="H289" s="26"/>
      <c r="I289" s="26"/>
      <c r="J289" s="26">
        <v>1</v>
      </c>
      <c r="K289" s="26">
        <v>138</v>
      </c>
      <c r="L289" s="26" t="s">
        <v>28</v>
      </c>
      <c r="M289" s="27">
        <v>1096</v>
      </c>
      <c r="N289" s="28"/>
      <c r="O289" s="26" t="s">
        <v>29</v>
      </c>
      <c r="P289" s="29"/>
      <c r="Q289" s="6"/>
      <c r="R289" s="29"/>
      <c r="S289" s="10"/>
      <c r="T289" s="8"/>
    </row>
    <row r="290" spans="1:20" ht="15.75" customHeight="1" x14ac:dyDescent="0.35">
      <c r="A290" s="25" t="s">
        <v>409</v>
      </c>
      <c r="B290" s="25" t="s">
        <v>413</v>
      </c>
      <c r="C290" s="26">
        <v>100163</v>
      </c>
      <c r="D290" s="25" t="s">
        <v>414</v>
      </c>
      <c r="E290" s="25" t="s">
        <v>415</v>
      </c>
      <c r="F290" s="26" t="s">
        <v>215</v>
      </c>
      <c r="G290" s="26" t="s">
        <v>215</v>
      </c>
      <c r="H290" s="26"/>
      <c r="I290" s="26"/>
      <c r="J290" s="26">
        <v>1</v>
      </c>
      <c r="K290" s="26">
        <v>138</v>
      </c>
      <c r="L290" s="26" t="s">
        <v>28</v>
      </c>
      <c r="M290" s="27">
        <v>1097</v>
      </c>
      <c r="N290" s="28"/>
      <c r="O290" s="26" t="s">
        <v>29</v>
      </c>
      <c r="P290" s="29"/>
      <c r="Q290" s="6"/>
      <c r="R290" s="29"/>
      <c r="S290" s="10"/>
      <c r="T290" s="8"/>
    </row>
    <row r="291" spans="1:20" ht="15.75" customHeight="1" x14ac:dyDescent="0.35">
      <c r="A291" s="25" t="s">
        <v>409</v>
      </c>
      <c r="B291" s="25" t="s">
        <v>413</v>
      </c>
      <c r="C291" s="26">
        <v>150007</v>
      </c>
      <c r="D291" s="25" t="s">
        <v>416</v>
      </c>
      <c r="E291" s="25" t="s">
        <v>417</v>
      </c>
      <c r="F291" s="26" t="s">
        <v>215</v>
      </c>
      <c r="G291" s="26" t="s">
        <v>215</v>
      </c>
      <c r="H291" s="26"/>
      <c r="I291" s="26"/>
      <c r="J291" s="26">
        <v>1</v>
      </c>
      <c r="K291" s="26">
        <v>138</v>
      </c>
      <c r="L291" s="26" t="s">
        <v>28</v>
      </c>
      <c r="M291" s="27">
        <v>1098</v>
      </c>
      <c r="N291" s="28"/>
      <c r="O291" s="26" t="s">
        <v>29</v>
      </c>
      <c r="P291" s="29"/>
      <c r="Q291" s="6"/>
      <c r="R291" s="29"/>
      <c r="S291" s="10"/>
      <c r="T291" s="8"/>
    </row>
    <row r="292" spans="1:20" ht="15.75" customHeight="1" x14ac:dyDescent="0.35">
      <c r="A292" s="25" t="s">
        <v>409</v>
      </c>
      <c r="B292" s="25" t="s">
        <v>418</v>
      </c>
      <c r="C292" s="26">
        <v>100325</v>
      </c>
      <c r="D292" s="25" t="s">
        <v>419</v>
      </c>
      <c r="E292" s="25" t="s">
        <v>420</v>
      </c>
      <c r="F292" s="26" t="s">
        <v>90</v>
      </c>
      <c r="G292" s="26" t="s">
        <v>90</v>
      </c>
      <c r="H292" s="26"/>
      <c r="I292" s="26"/>
      <c r="J292" s="26">
        <v>1</v>
      </c>
      <c r="K292" s="26">
        <v>138</v>
      </c>
      <c r="L292" s="26" t="s">
        <v>28</v>
      </c>
      <c r="M292" s="27">
        <v>1103</v>
      </c>
      <c r="N292" s="28"/>
      <c r="O292" s="26" t="s">
        <v>29</v>
      </c>
      <c r="P292" s="29"/>
      <c r="Q292" s="6"/>
      <c r="R292" s="29"/>
      <c r="S292" s="10"/>
      <c r="T292" s="8"/>
    </row>
    <row r="293" spans="1:20" ht="15.75" customHeight="1" x14ac:dyDescent="0.35">
      <c r="A293" s="25" t="s">
        <v>409</v>
      </c>
      <c r="B293" s="25" t="s">
        <v>418</v>
      </c>
      <c r="C293" s="26">
        <v>100341</v>
      </c>
      <c r="D293" s="25" t="s">
        <v>421</v>
      </c>
      <c r="E293" s="25" t="s">
        <v>422</v>
      </c>
      <c r="F293" s="26" t="s">
        <v>215</v>
      </c>
      <c r="G293" s="26" t="s">
        <v>215</v>
      </c>
      <c r="H293" s="26"/>
      <c r="I293" s="26"/>
      <c r="J293" s="26">
        <v>1</v>
      </c>
      <c r="K293" s="26">
        <v>138</v>
      </c>
      <c r="L293" s="26" t="s">
        <v>28</v>
      </c>
      <c r="M293" s="27">
        <v>1102</v>
      </c>
      <c r="N293" s="28"/>
      <c r="O293" s="26" t="s">
        <v>29</v>
      </c>
      <c r="P293" s="29"/>
      <c r="Q293" s="6"/>
      <c r="R293" s="29"/>
      <c r="S293" s="10"/>
      <c r="T293" s="8"/>
    </row>
    <row r="294" spans="1:20" ht="15.75" customHeight="1" x14ac:dyDescent="0.35">
      <c r="A294" s="25" t="s">
        <v>409</v>
      </c>
      <c r="B294" s="25" t="s">
        <v>418</v>
      </c>
      <c r="C294" s="26">
        <v>100342</v>
      </c>
      <c r="D294" s="25" t="s">
        <v>423</v>
      </c>
      <c r="E294" s="25" t="s">
        <v>420</v>
      </c>
      <c r="F294" s="26" t="s">
        <v>90</v>
      </c>
      <c r="G294" s="26" t="s">
        <v>90</v>
      </c>
      <c r="H294" s="26"/>
      <c r="I294" s="26"/>
      <c r="J294" s="26">
        <v>1</v>
      </c>
      <c r="K294" s="26">
        <v>138</v>
      </c>
      <c r="L294" s="26" t="s">
        <v>28</v>
      </c>
      <c r="M294" s="27">
        <v>1108</v>
      </c>
      <c r="N294" s="28"/>
      <c r="O294" s="26" t="s">
        <v>29</v>
      </c>
      <c r="P294" s="29"/>
      <c r="Q294" s="6"/>
      <c r="R294" s="29"/>
      <c r="S294" s="10"/>
      <c r="T294" s="8"/>
    </row>
    <row r="295" spans="1:20" ht="15.75" customHeight="1" x14ac:dyDescent="0.35">
      <c r="A295" s="25" t="s">
        <v>409</v>
      </c>
      <c r="B295" s="25" t="s">
        <v>418</v>
      </c>
      <c r="C295" s="26">
        <v>100371</v>
      </c>
      <c r="D295" s="25" t="s">
        <v>424</v>
      </c>
      <c r="E295" s="25" t="s">
        <v>425</v>
      </c>
      <c r="F295" s="26" t="s">
        <v>215</v>
      </c>
      <c r="G295" s="26" t="s">
        <v>215</v>
      </c>
      <c r="H295" s="26"/>
      <c r="I295" s="26"/>
      <c r="J295" s="26">
        <v>1</v>
      </c>
      <c r="K295" s="26">
        <v>138</v>
      </c>
      <c r="L295" s="26" t="s">
        <v>28</v>
      </c>
      <c r="M295" s="27">
        <v>1099</v>
      </c>
      <c r="N295" s="28"/>
      <c r="O295" s="26" t="s">
        <v>29</v>
      </c>
      <c r="P295" s="29"/>
      <c r="Q295" s="6"/>
      <c r="R295" s="29"/>
      <c r="S295" s="10"/>
      <c r="T295" s="8"/>
    </row>
    <row r="296" spans="1:20" ht="15.75" customHeight="1" x14ac:dyDescent="0.35">
      <c r="A296" s="25" t="s">
        <v>409</v>
      </c>
      <c r="B296" s="25" t="s">
        <v>418</v>
      </c>
      <c r="C296" s="26">
        <v>100406</v>
      </c>
      <c r="D296" s="25" t="s">
        <v>426</v>
      </c>
      <c r="E296" s="25" t="s">
        <v>427</v>
      </c>
      <c r="F296" s="26" t="s">
        <v>215</v>
      </c>
      <c r="G296" s="26" t="s">
        <v>215</v>
      </c>
      <c r="H296" s="26"/>
      <c r="I296" s="26"/>
      <c r="J296" s="26">
        <v>1</v>
      </c>
      <c r="K296" s="26">
        <v>138</v>
      </c>
      <c r="L296" s="26" t="s">
        <v>28</v>
      </c>
      <c r="M296" s="27">
        <v>1101</v>
      </c>
      <c r="N296" s="28"/>
      <c r="O296" s="26" t="s">
        <v>29</v>
      </c>
      <c r="P296" s="29"/>
      <c r="Q296" s="6"/>
      <c r="R296" s="29"/>
      <c r="S296" s="10"/>
      <c r="T296" s="8"/>
    </row>
    <row r="297" spans="1:20" ht="15.75" customHeight="1" x14ac:dyDescent="0.35">
      <c r="A297" s="25" t="s">
        <v>409</v>
      </c>
      <c r="B297" s="25" t="s">
        <v>418</v>
      </c>
      <c r="C297" s="26">
        <v>100467</v>
      </c>
      <c r="D297" s="25" t="s">
        <v>428</v>
      </c>
      <c r="E297" s="25" t="s">
        <v>429</v>
      </c>
      <c r="F297" s="26" t="s">
        <v>90</v>
      </c>
      <c r="G297" s="26" t="s">
        <v>90</v>
      </c>
      <c r="H297" s="26"/>
      <c r="I297" s="26"/>
      <c r="J297" s="26">
        <v>1</v>
      </c>
      <c r="K297" s="26">
        <v>138</v>
      </c>
      <c r="L297" s="26" t="s">
        <v>28</v>
      </c>
      <c r="M297" s="27">
        <v>1105</v>
      </c>
      <c r="N297" s="28"/>
      <c r="O297" s="26" t="s">
        <v>29</v>
      </c>
      <c r="P297" s="29"/>
      <c r="Q297" s="6"/>
      <c r="R297" s="29"/>
      <c r="S297" s="10"/>
      <c r="T297" s="8"/>
    </row>
    <row r="298" spans="1:20" ht="15.75" customHeight="1" x14ac:dyDescent="0.35">
      <c r="A298" s="25" t="s">
        <v>409</v>
      </c>
      <c r="B298" s="25" t="s">
        <v>418</v>
      </c>
      <c r="C298" s="26">
        <v>100491</v>
      </c>
      <c r="D298" s="25" t="s">
        <v>430</v>
      </c>
      <c r="E298" s="25" t="s">
        <v>429</v>
      </c>
      <c r="F298" s="26" t="s">
        <v>90</v>
      </c>
      <c r="G298" s="26" t="s">
        <v>90</v>
      </c>
      <c r="H298" s="26"/>
      <c r="I298" s="26"/>
      <c r="J298" s="26">
        <v>1</v>
      </c>
      <c r="K298" s="26">
        <v>138</v>
      </c>
      <c r="L298" s="26" t="s">
        <v>28</v>
      </c>
      <c r="M298" s="27">
        <v>1110</v>
      </c>
      <c r="N298" s="28"/>
      <c r="O298" s="26" t="s">
        <v>29</v>
      </c>
      <c r="P298" s="29"/>
      <c r="Q298" s="6"/>
      <c r="R298" s="29"/>
      <c r="S298" s="10"/>
      <c r="T298" s="8"/>
    </row>
    <row r="299" spans="1:20" ht="15.75" customHeight="1" x14ac:dyDescent="0.35">
      <c r="A299" s="25" t="s">
        <v>409</v>
      </c>
      <c r="B299" s="25" t="s">
        <v>418</v>
      </c>
      <c r="C299" s="26">
        <v>100532</v>
      </c>
      <c r="D299" s="25" t="s">
        <v>431</v>
      </c>
      <c r="E299" s="25" t="s">
        <v>432</v>
      </c>
      <c r="F299" s="26" t="s">
        <v>90</v>
      </c>
      <c r="G299" s="26" t="s">
        <v>90</v>
      </c>
      <c r="H299" s="26"/>
      <c r="I299" s="26"/>
      <c r="J299" s="26">
        <v>1</v>
      </c>
      <c r="K299" s="26">
        <v>138</v>
      </c>
      <c r="L299" s="26" t="s">
        <v>28</v>
      </c>
      <c r="M299" s="27">
        <v>1111</v>
      </c>
      <c r="N299" s="28"/>
      <c r="O299" s="26" t="s">
        <v>29</v>
      </c>
      <c r="P299" s="29"/>
      <c r="Q299" s="6"/>
      <c r="R299" s="29"/>
      <c r="S299" s="10"/>
      <c r="T299" s="8"/>
    </row>
    <row r="300" spans="1:20" ht="15.75" customHeight="1" x14ac:dyDescent="0.35">
      <c r="A300" s="25" t="s">
        <v>409</v>
      </c>
      <c r="B300" s="25" t="s">
        <v>418</v>
      </c>
      <c r="C300" s="26">
        <v>100689</v>
      </c>
      <c r="D300" s="25" t="s">
        <v>433</v>
      </c>
      <c r="E300" s="25" t="s">
        <v>434</v>
      </c>
      <c r="F300" s="26" t="s">
        <v>90</v>
      </c>
      <c r="G300" s="26" t="s">
        <v>90</v>
      </c>
      <c r="H300" s="26"/>
      <c r="I300" s="26"/>
      <c r="J300" s="26">
        <v>1</v>
      </c>
      <c r="K300" s="26">
        <v>138</v>
      </c>
      <c r="L300" s="26" t="s">
        <v>28</v>
      </c>
      <c r="M300" s="27">
        <v>1106</v>
      </c>
      <c r="N300" s="28"/>
      <c r="O300" s="26" t="s">
        <v>29</v>
      </c>
      <c r="P300" s="29"/>
      <c r="Q300" s="6"/>
      <c r="R300" s="29"/>
      <c r="S300" s="10"/>
      <c r="T300" s="8"/>
    </row>
    <row r="301" spans="1:20" ht="15.75" customHeight="1" x14ac:dyDescent="0.35">
      <c r="A301" s="25" t="s">
        <v>409</v>
      </c>
      <c r="B301" s="25" t="s">
        <v>418</v>
      </c>
      <c r="C301" s="26">
        <v>100743</v>
      </c>
      <c r="D301" s="25" t="s">
        <v>435</v>
      </c>
      <c r="E301" s="25" t="s">
        <v>436</v>
      </c>
      <c r="F301" s="26" t="s">
        <v>90</v>
      </c>
      <c r="G301" s="26" t="s">
        <v>90</v>
      </c>
      <c r="H301" s="26"/>
      <c r="I301" s="26"/>
      <c r="J301" s="26">
        <v>1</v>
      </c>
      <c r="K301" s="26">
        <v>138</v>
      </c>
      <c r="L301" s="26" t="s">
        <v>28</v>
      </c>
      <c r="M301" s="27">
        <v>1104</v>
      </c>
      <c r="N301" s="28"/>
      <c r="O301" s="26" t="s">
        <v>29</v>
      </c>
      <c r="P301" s="29"/>
      <c r="Q301" s="6"/>
      <c r="R301" s="29"/>
      <c r="S301" s="10"/>
      <c r="T301" s="8"/>
    </row>
    <row r="302" spans="1:20" ht="15.75" customHeight="1" x14ac:dyDescent="0.35">
      <c r="A302" s="25" t="s">
        <v>409</v>
      </c>
      <c r="B302" s="25" t="s">
        <v>418</v>
      </c>
      <c r="C302" s="26">
        <v>100778</v>
      </c>
      <c r="D302" s="25" t="s">
        <v>437</v>
      </c>
      <c r="E302" s="25" t="s">
        <v>438</v>
      </c>
      <c r="F302" s="26" t="s">
        <v>90</v>
      </c>
      <c r="G302" s="26" t="s">
        <v>90</v>
      </c>
      <c r="H302" s="26"/>
      <c r="I302" s="26"/>
      <c r="J302" s="26">
        <v>1</v>
      </c>
      <c r="K302" s="26">
        <v>138</v>
      </c>
      <c r="L302" s="26" t="s">
        <v>28</v>
      </c>
      <c r="M302" s="27">
        <v>1109</v>
      </c>
      <c r="N302" s="28"/>
      <c r="O302" s="26" t="s">
        <v>29</v>
      </c>
      <c r="P302" s="29"/>
      <c r="Q302" s="6"/>
      <c r="R302" s="29"/>
      <c r="S302" s="10"/>
      <c r="T302" s="8"/>
    </row>
    <row r="303" spans="1:20" ht="15.75" customHeight="1" x14ac:dyDescent="0.35">
      <c r="A303" s="25" t="s">
        <v>409</v>
      </c>
      <c r="B303" s="25" t="s">
        <v>418</v>
      </c>
      <c r="C303" s="26">
        <v>150509</v>
      </c>
      <c r="D303" s="25" t="s">
        <v>439</v>
      </c>
      <c r="E303" s="25" t="s">
        <v>420</v>
      </c>
      <c r="F303" s="26" t="s">
        <v>90</v>
      </c>
      <c r="G303" s="26" t="s">
        <v>90</v>
      </c>
      <c r="H303" s="26"/>
      <c r="I303" s="26"/>
      <c r="J303" s="26">
        <v>1</v>
      </c>
      <c r="K303" s="26">
        <v>138</v>
      </c>
      <c r="L303" s="26" t="s">
        <v>28</v>
      </c>
      <c r="M303" s="27">
        <v>1107</v>
      </c>
      <c r="N303" s="28"/>
      <c r="O303" s="26" t="s">
        <v>29</v>
      </c>
      <c r="P303" s="29"/>
      <c r="Q303" s="6"/>
      <c r="R303" s="29"/>
      <c r="S303" s="10"/>
      <c r="T303" s="8"/>
    </row>
    <row r="304" spans="1:20" ht="15.75" customHeight="1" x14ac:dyDescent="0.35">
      <c r="A304" s="25" t="s">
        <v>409</v>
      </c>
      <c r="B304" s="25" t="s">
        <v>418</v>
      </c>
      <c r="C304" s="26">
        <v>150516</v>
      </c>
      <c r="D304" s="25" t="s">
        <v>440</v>
      </c>
      <c r="E304" s="25" t="s">
        <v>441</v>
      </c>
      <c r="F304" s="26" t="s">
        <v>215</v>
      </c>
      <c r="G304" s="26" t="s">
        <v>215</v>
      </c>
      <c r="H304" s="26"/>
      <c r="I304" s="26"/>
      <c r="J304" s="26">
        <v>1</v>
      </c>
      <c r="K304" s="26">
        <v>138</v>
      </c>
      <c r="L304" s="26" t="s">
        <v>28</v>
      </c>
      <c r="M304" s="27">
        <v>1100</v>
      </c>
      <c r="N304" s="28"/>
      <c r="O304" s="26" t="s">
        <v>29</v>
      </c>
      <c r="P304" s="29"/>
      <c r="Q304" s="6"/>
      <c r="R304" s="29"/>
      <c r="S304" s="10"/>
      <c r="T304" s="8"/>
    </row>
    <row r="305" spans="1:20" ht="15.75" customHeight="1" x14ac:dyDescent="0.35">
      <c r="A305" s="25" t="s">
        <v>409</v>
      </c>
      <c r="B305" s="25" t="s">
        <v>442</v>
      </c>
      <c r="C305" s="26">
        <v>100829</v>
      </c>
      <c r="D305" s="25" t="s">
        <v>443</v>
      </c>
      <c r="E305" s="25" t="s">
        <v>444</v>
      </c>
      <c r="F305" s="26" t="s">
        <v>90</v>
      </c>
      <c r="G305" s="26" t="s">
        <v>90</v>
      </c>
      <c r="H305" s="26"/>
      <c r="I305" s="26"/>
      <c r="J305" s="26">
        <v>1</v>
      </c>
      <c r="K305" s="26">
        <v>138</v>
      </c>
      <c r="L305" s="26" t="s">
        <v>28</v>
      </c>
      <c r="M305" s="27">
        <v>1116</v>
      </c>
      <c r="N305" s="28"/>
      <c r="O305" s="26" t="s">
        <v>29</v>
      </c>
      <c r="P305" s="29"/>
      <c r="Q305" s="6"/>
      <c r="R305" s="29"/>
      <c r="S305" s="10"/>
      <c r="T305" s="8"/>
    </row>
    <row r="306" spans="1:20" ht="15.75" customHeight="1" x14ac:dyDescent="0.35">
      <c r="A306" s="25" t="s">
        <v>409</v>
      </c>
      <c r="B306" s="25" t="s">
        <v>442</v>
      </c>
      <c r="C306" s="26">
        <v>101049</v>
      </c>
      <c r="D306" s="25" t="s">
        <v>445</v>
      </c>
      <c r="E306" s="25" t="s">
        <v>446</v>
      </c>
      <c r="F306" s="26" t="s">
        <v>215</v>
      </c>
      <c r="G306" s="26" t="s">
        <v>215</v>
      </c>
      <c r="H306" s="26"/>
      <c r="I306" s="26"/>
      <c r="J306" s="26">
        <v>1</v>
      </c>
      <c r="K306" s="26">
        <v>138</v>
      </c>
      <c r="L306" s="26" t="s">
        <v>28</v>
      </c>
      <c r="M306" s="27">
        <v>1112</v>
      </c>
      <c r="N306" s="28"/>
      <c r="O306" s="26" t="s">
        <v>29</v>
      </c>
      <c r="P306" s="29"/>
      <c r="Q306" s="6"/>
      <c r="R306" s="29"/>
      <c r="S306" s="10"/>
      <c r="T306" s="8"/>
    </row>
    <row r="307" spans="1:20" ht="15.75" customHeight="1" x14ac:dyDescent="0.35">
      <c r="A307" s="25" t="s">
        <v>409</v>
      </c>
      <c r="B307" s="25" t="s">
        <v>442</v>
      </c>
      <c r="C307" s="26">
        <v>101077</v>
      </c>
      <c r="D307" s="25" t="s">
        <v>447</v>
      </c>
      <c r="E307" s="25" t="s">
        <v>448</v>
      </c>
      <c r="F307" s="26" t="s">
        <v>215</v>
      </c>
      <c r="G307" s="26" t="s">
        <v>215</v>
      </c>
      <c r="H307" s="26"/>
      <c r="I307" s="26"/>
      <c r="J307" s="26">
        <v>1</v>
      </c>
      <c r="K307" s="26">
        <v>138</v>
      </c>
      <c r="L307" s="26" t="s">
        <v>28</v>
      </c>
      <c r="M307" s="27">
        <v>1113</v>
      </c>
      <c r="N307" s="28"/>
      <c r="O307" s="26" t="s">
        <v>29</v>
      </c>
      <c r="P307" s="29"/>
      <c r="Q307" s="6"/>
      <c r="R307" s="29"/>
      <c r="S307" s="10"/>
      <c r="T307" s="8"/>
    </row>
    <row r="308" spans="1:20" ht="15.75" customHeight="1" x14ac:dyDescent="0.35">
      <c r="A308" s="25" t="s">
        <v>409</v>
      </c>
      <c r="B308" s="25" t="s">
        <v>442</v>
      </c>
      <c r="C308" s="26">
        <v>151005</v>
      </c>
      <c r="D308" s="25" t="s">
        <v>449</v>
      </c>
      <c r="E308" s="25" t="s">
        <v>446</v>
      </c>
      <c r="F308" s="26" t="s">
        <v>215</v>
      </c>
      <c r="G308" s="26" t="s">
        <v>215</v>
      </c>
      <c r="H308" s="26"/>
      <c r="I308" s="26"/>
      <c r="J308" s="26">
        <v>1</v>
      </c>
      <c r="K308" s="26">
        <v>138</v>
      </c>
      <c r="L308" s="26" t="s">
        <v>28</v>
      </c>
      <c r="M308" s="27">
        <v>1115</v>
      </c>
      <c r="N308" s="28"/>
      <c r="O308" s="26" t="s">
        <v>29</v>
      </c>
      <c r="P308" s="29"/>
      <c r="Q308" s="6"/>
      <c r="R308" s="29"/>
      <c r="S308" s="10"/>
      <c r="T308" s="8"/>
    </row>
    <row r="309" spans="1:20" ht="15.75" customHeight="1" x14ac:dyDescent="0.35">
      <c r="A309" s="25" t="s">
        <v>409</v>
      </c>
      <c r="B309" s="25" t="s">
        <v>442</v>
      </c>
      <c r="C309" s="26">
        <v>321015</v>
      </c>
      <c r="D309" s="25" t="s">
        <v>450</v>
      </c>
      <c r="E309" s="25" t="s">
        <v>66</v>
      </c>
      <c r="F309" s="26" t="s">
        <v>215</v>
      </c>
      <c r="G309" s="26" t="s">
        <v>215</v>
      </c>
      <c r="H309" s="26"/>
      <c r="I309" s="26"/>
      <c r="J309" s="26">
        <v>1</v>
      </c>
      <c r="K309" s="26">
        <v>138</v>
      </c>
      <c r="L309" s="26" t="s">
        <v>28</v>
      </c>
      <c r="M309" s="27">
        <v>1114</v>
      </c>
      <c r="N309" s="28"/>
      <c r="O309" s="26" t="s">
        <v>29</v>
      </c>
      <c r="P309" s="29"/>
      <c r="Q309" s="6"/>
      <c r="R309" s="29"/>
      <c r="S309" s="10"/>
      <c r="T309" s="8"/>
    </row>
    <row r="310" spans="1:20" ht="15.75" customHeight="1" x14ac:dyDescent="0.35">
      <c r="A310" s="25" t="s">
        <v>409</v>
      </c>
      <c r="B310" s="25" t="s">
        <v>451</v>
      </c>
      <c r="C310" s="26">
        <v>101149</v>
      </c>
      <c r="D310" s="25" t="s">
        <v>452</v>
      </c>
      <c r="E310" s="25" t="s">
        <v>453</v>
      </c>
      <c r="F310" s="26" t="s">
        <v>90</v>
      </c>
      <c r="G310" s="26" t="s">
        <v>90</v>
      </c>
      <c r="H310" s="26"/>
      <c r="I310" s="26"/>
      <c r="J310" s="26">
        <v>1</v>
      </c>
      <c r="K310" s="26">
        <v>138</v>
      </c>
      <c r="L310" s="26" t="s">
        <v>28</v>
      </c>
      <c r="M310" s="27">
        <v>1123</v>
      </c>
      <c r="N310" s="28"/>
      <c r="O310" s="26" t="s">
        <v>29</v>
      </c>
      <c r="P310" s="29"/>
      <c r="Q310" s="6"/>
      <c r="R310" s="29"/>
      <c r="S310" s="10"/>
      <c r="T310" s="8"/>
    </row>
    <row r="311" spans="1:20" ht="15.75" customHeight="1" x14ac:dyDescent="0.35">
      <c r="A311" s="25" t="s">
        <v>409</v>
      </c>
      <c r="B311" s="25" t="s">
        <v>451</v>
      </c>
      <c r="C311" s="26">
        <v>101160</v>
      </c>
      <c r="D311" s="25" t="s">
        <v>454</v>
      </c>
      <c r="E311" s="25" t="s">
        <v>453</v>
      </c>
      <c r="F311" s="26" t="s">
        <v>90</v>
      </c>
      <c r="G311" s="26" t="s">
        <v>90</v>
      </c>
      <c r="H311" s="26"/>
      <c r="I311" s="26"/>
      <c r="J311" s="26">
        <v>1</v>
      </c>
      <c r="K311" s="26">
        <v>138</v>
      </c>
      <c r="L311" s="26" t="s">
        <v>28</v>
      </c>
      <c r="M311" s="27">
        <v>1125</v>
      </c>
      <c r="N311" s="28"/>
      <c r="O311" s="26" t="s">
        <v>29</v>
      </c>
      <c r="P311" s="29"/>
      <c r="Q311" s="6"/>
      <c r="R311" s="29"/>
      <c r="S311" s="10"/>
      <c r="T311" s="8"/>
    </row>
    <row r="312" spans="1:20" ht="15.75" customHeight="1" x14ac:dyDescent="0.35">
      <c r="A312" s="25" t="s">
        <v>409</v>
      </c>
      <c r="B312" s="25" t="s">
        <v>451</v>
      </c>
      <c r="C312" s="26">
        <v>101232</v>
      </c>
      <c r="D312" s="25" t="s">
        <v>455</v>
      </c>
      <c r="E312" s="25" t="s">
        <v>456</v>
      </c>
      <c r="F312" s="26" t="s">
        <v>215</v>
      </c>
      <c r="G312" s="26" t="s">
        <v>215</v>
      </c>
      <c r="H312" s="26"/>
      <c r="I312" s="26"/>
      <c r="J312" s="26">
        <v>1</v>
      </c>
      <c r="K312" s="26">
        <v>138</v>
      </c>
      <c r="L312" s="26" t="s">
        <v>28</v>
      </c>
      <c r="M312" s="27">
        <v>1118</v>
      </c>
      <c r="N312" s="28"/>
      <c r="O312" s="26" t="s">
        <v>29</v>
      </c>
      <c r="P312" s="29"/>
      <c r="Q312" s="6"/>
      <c r="R312" s="29"/>
      <c r="S312" s="10"/>
      <c r="T312" s="8"/>
    </row>
    <row r="313" spans="1:20" ht="15.75" customHeight="1" x14ac:dyDescent="0.35">
      <c r="A313" s="25" t="s">
        <v>409</v>
      </c>
      <c r="B313" s="25" t="s">
        <v>451</v>
      </c>
      <c r="C313" s="26">
        <v>101470</v>
      </c>
      <c r="D313" s="25" t="s">
        <v>457</v>
      </c>
      <c r="E313" s="25" t="s">
        <v>458</v>
      </c>
      <c r="F313" s="26" t="s">
        <v>215</v>
      </c>
      <c r="G313" s="26" t="s">
        <v>215</v>
      </c>
      <c r="H313" s="26"/>
      <c r="I313" s="26"/>
      <c r="J313" s="26">
        <v>1</v>
      </c>
      <c r="K313" s="26">
        <v>138</v>
      </c>
      <c r="L313" s="26" t="s">
        <v>28</v>
      </c>
      <c r="M313" s="27">
        <v>1122</v>
      </c>
      <c r="N313" s="28"/>
      <c r="O313" s="26" t="s">
        <v>29</v>
      </c>
      <c r="P313" s="29"/>
      <c r="Q313" s="6"/>
      <c r="R313" s="29"/>
      <c r="S313" s="10"/>
      <c r="T313" s="8"/>
    </row>
    <row r="314" spans="1:20" ht="15.75" customHeight="1" x14ac:dyDescent="0.35">
      <c r="A314" s="25" t="s">
        <v>409</v>
      </c>
      <c r="B314" s="25" t="s">
        <v>451</v>
      </c>
      <c r="C314" s="26">
        <v>101520</v>
      </c>
      <c r="D314" s="25" t="s">
        <v>459</v>
      </c>
      <c r="E314" s="25" t="s">
        <v>460</v>
      </c>
      <c r="F314" s="26" t="s">
        <v>215</v>
      </c>
      <c r="G314" s="26" t="s">
        <v>215</v>
      </c>
      <c r="H314" s="26"/>
      <c r="I314" s="26"/>
      <c r="J314" s="26">
        <v>1</v>
      </c>
      <c r="K314" s="26">
        <v>138</v>
      </c>
      <c r="L314" s="26" t="s">
        <v>28</v>
      </c>
      <c r="M314" s="27">
        <v>1120</v>
      </c>
      <c r="N314" s="28"/>
      <c r="O314" s="26" t="s">
        <v>29</v>
      </c>
      <c r="P314" s="29"/>
      <c r="Q314" s="6"/>
      <c r="R314" s="29"/>
      <c r="S314" s="10"/>
      <c r="T314" s="8"/>
    </row>
    <row r="315" spans="1:20" ht="15.75" customHeight="1" x14ac:dyDescent="0.35">
      <c r="A315" s="25" t="s">
        <v>409</v>
      </c>
      <c r="B315" s="25" t="s">
        <v>451</v>
      </c>
      <c r="C315" s="26">
        <v>101656</v>
      </c>
      <c r="D315" s="25" t="s">
        <v>461</v>
      </c>
      <c r="E315" s="25" t="s">
        <v>462</v>
      </c>
      <c r="F315" s="26" t="s">
        <v>215</v>
      </c>
      <c r="G315" s="26" t="s">
        <v>215</v>
      </c>
      <c r="H315" s="26"/>
      <c r="I315" s="26"/>
      <c r="J315" s="26">
        <v>1</v>
      </c>
      <c r="K315" s="26">
        <v>138</v>
      </c>
      <c r="L315" s="26" t="s">
        <v>28</v>
      </c>
      <c r="M315" s="27">
        <v>1117</v>
      </c>
      <c r="N315" s="28"/>
      <c r="O315" s="26" t="s">
        <v>29</v>
      </c>
      <c r="P315" s="29"/>
      <c r="Q315" s="6"/>
      <c r="R315" s="29"/>
      <c r="S315" s="10"/>
      <c r="T315" s="8"/>
    </row>
    <row r="316" spans="1:20" ht="15.75" customHeight="1" x14ac:dyDescent="0.35">
      <c r="A316" s="25" t="s">
        <v>409</v>
      </c>
      <c r="B316" s="25" t="s">
        <v>463</v>
      </c>
      <c r="C316" s="26">
        <v>101708</v>
      </c>
      <c r="D316" s="25" t="s">
        <v>464</v>
      </c>
      <c r="E316" s="25" t="s">
        <v>465</v>
      </c>
      <c r="F316" s="26" t="s">
        <v>466</v>
      </c>
      <c r="G316" s="26" t="s">
        <v>466</v>
      </c>
      <c r="H316" s="26"/>
      <c r="I316" s="26"/>
      <c r="J316" s="26">
        <v>1</v>
      </c>
      <c r="K316" s="26">
        <v>138</v>
      </c>
      <c r="L316" s="26" t="s">
        <v>28</v>
      </c>
      <c r="M316" s="27">
        <v>1128</v>
      </c>
      <c r="N316" s="28"/>
      <c r="O316" s="26" t="s">
        <v>29</v>
      </c>
      <c r="P316" s="29"/>
      <c r="Q316" s="6"/>
      <c r="R316" s="29"/>
      <c r="S316" s="10"/>
      <c r="T316" s="8"/>
    </row>
    <row r="317" spans="1:20" ht="15.75" customHeight="1" x14ac:dyDescent="0.35">
      <c r="A317" s="25" t="s">
        <v>409</v>
      </c>
      <c r="B317" s="25" t="s">
        <v>463</v>
      </c>
      <c r="C317" s="26">
        <v>101971</v>
      </c>
      <c r="D317" s="25" t="s">
        <v>467</v>
      </c>
      <c r="E317" s="25" t="s">
        <v>468</v>
      </c>
      <c r="F317" s="26" t="s">
        <v>469</v>
      </c>
      <c r="G317" s="26" t="s">
        <v>469</v>
      </c>
      <c r="H317" s="26">
        <v>1</v>
      </c>
      <c r="I317" s="26">
        <v>5</v>
      </c>
      <c r="J317" s="26">
        <v>1</v>
      </c>
      <c r="K317" s="26">
        <v>138</v>
      </c>
      <c r="L317" s="26" t="s">
        <v>28</v>
      </c>
      <c r="M317" s="27">
        <v>1130</v>
      </c>
      <c r="N317" s="28">
        <v>125121.99</v>
      </c>
      <c r="O317" s="26" t="s">
        <v>29</v>
      </c>
      <c r="P317" s="29"/>
      <c r="Q317" s="6"/>
      <c r="R317" s="29"/>
      <c r="S317" s="10"/>
      <c r="T317" s="8">
        <v>1</v>
      </c>
    </row>
    <row r="318" spans="1:20" ht="15.75" customHeight="1" x14ac:dyDescent="0.35">
      <c r="A318" s="25" t="s">
        <v>409</v>
      </c>
      <c r="B318" s="25" t="s">
        <v>463</v>
      </c>
      <c r="C318" s="26">
        <v>101988</v>
      </c>
      <c r="D318" s="25" t="s">
        <v>470</v>
      </c>
      <c r="E318" s="25" t="s">
        <v>468</v>
      </c>
      <c r="F318" s="26" t="s">
        <v>469</v>
      </c>
      <c r="G318" s="26" t="s">
        <v>469</v>
      </c>
      <c r="H318" s="26"/>
      <c r="I318" s="26"/>
      <c r="J318" s="26">
        <v>1</v>
      </c>
      <c r="K318" s="26">
        <v>138</v>
      </c>
      <c r="L318" s="26" t="s">
        <v>28</v>
      </c>
      <c r="M318" s="27">
        <v>1131</v>
      </c>
      <c r="N318" s="28"/>
      <c r="O318" s="26" t="s">
        <v>29</v>
      </c>
      <c r="P318" s="29"/>
      <c r="Q318" s="6"/>
      <c r="R318" s="29"/>
      <c r="S318" s="10"/>
      <c r="T318" s="8"/>
    </row>
    <row r="319" spans="1:20" ht="15.75" customHeight="1" x14ac:dyDescent="0.35">
      <c r="A319" s="25" t="s">
        <v>409</v>
      </c>
      <c r="B319" s="25" t="s">
        <v>463</v>
      </c>
      <c r="C319" s="26">
        <v>101992</v>
      </c>
      <c r="D319" s="25" t="s">
        <v>471</v>
      </c>
      <c r="E319" s="25" t="s">
        <v>468</v>
      </c>
      <c r="F319" s="26" t="s">
        <v>469</v>
      </c>
      <c r="G319" s="26" t="s">
        <v>469</v>
      </c>
      <c r="H319" s="26">
        <v>1</v>
      </c>
      <c r="I319" s="26">
        <v>5</v>
      </c>
      <c r="J319" s="26">
        <v>1</v>
      </c>
      <c r="K319" s="26">
        <v>138</v>
      </c>
      <c r="L319" s="26" t="s">
        <v>28</v>
      </c>
      <c r="M319" s="27">
        <v>1132</v>
      </c>
      <c r="N319" s="28">
        <v>169595.41</v>
      </c>
      <c r="O319" s="26" t="s">
        <v>29</v>
      </c>
      <c r="P319" s="29"/>
      <c r="Q319" s="6"/>
      <c r="R319" s="29"/>
      <c r="S319" s="10"/>
      <c r="T319" s="8">
        <v>1</v>
      </c>
    </row>
    <row r="320" spans="1:20" ht="15.75" customHeight="1" x14ac:dyDescent="0.35">
      <c r="A320" s="25" t="s">
        <v>409</v>
      </c>
      <c r="B320" s="25" t="s">
        <v>463</v>
      </c>
      <c r="C320" s="26">
        <v>101993</v>
      </c>
      <c r="D320" s="25" t="s">
        <v>472</v>
      </c>
      <c r="E320" s="25" t="s">
        <v>468</v>
      </c>
      <c r="F320" s="26" t="s">
        <v>469</v>
      </c>
      <c r="G320" s="26" t="s">
        <v>469</v>
      </c>
      <c r="H320" s="26">
        <v>1</v>
      </c>
      <c r="I320" s="26">
        <v>3</v>
      </c>
      <c r="J320" s="26">
        <v>1</v>
      </c>
      <c r="K320" s="26">
        <v>138</v>
      </c>
      <c r="L320" s="26" t="s">
        <v>28</v>
      </c>
      <c r="M320" s="27">
        <v>1133</v>
      </c>
      <c r="N320" s="28">
        <v>174550.95</v>
      </c>
      <c r="O320" s="26" t="s">
        <v>29</v>
      </c>
      <c r="P320" s="29"/>
      <c r="Q320" s="6"/>
      <c r="R320" s="29"/>
      <c r="S320" s="10"/>
      <c r="T320" s="8">
        <v>1</v>
      </c>
    </row>
    <row r="321" spans="1:21" ht="15.75" customHeight="1" x14ac:dyDescent="0.35">
      <c r="A321" s="25" t="s">
        <v>409</v>
      </c>
      <c r="B321" s="25" t="s">
        <v>463</v>
      </c>
      <c r="C321" s="26">
        <v>101996</v>
      </c>
      <c r="D321" s="25" t="s">
        <v>473</v>
      </c>
      <c r="E321" s="25" t="s">
        <v>468</v>
      </c>
      <c r="F321" s="26" t="s">
        <v>469</v>
      </c>
      <c r="G321" s="26" t="s">
        <v>469</v>
      </c>
      <c r="H321" s="26"/>
      <c r="I321" s="26"/>
      <c r="J321" s="26">
        <v>1</v>
      </c>
      <c r="K321" s="26">
        <v>138</v>
      </c>
      <c r="L321" s="26" t="s">
        <v>28</v>
      </c>
      <c r="M321" s="27">
        <v>1134</v>
      </c>
      <c r="N321" s="28"/>
      <c r="O321" s="26" t="s">
        <v>29</v>
      </c>
      <c r="P321" s="29"/>
      <c r="Q321" s="6"/>
      <c r="R321" s="29"/>
      <c r="S321" s="10"/>
      <c r="T321" s="8"/>
    </row>
    <row r="322" spans="1:21" ht="15.75" customHeight="1" x14ac:dyDescent="0.35">
      <c r="A322" s="25" t="s">
        <v>409</v>
      </c>
      <c r="B322" s="25" t="s">
        <v>463</v>
      </c>
      <c r="C322" s="26">
        <v>102024</v>
      </c>
      <c r="D322" s="25" t="s">
        <v>474</v>
      </c>
      <c r="E322" s="25" t="s">
        <v>475</v>
      </c>
      <c r="F322" s="26" t="s">
        <v>466</v>
      </c>
      <c r="G322" s="26" t="s">
        <v>466</v>
      </c>
      <c r="H322" s="26">
        <v>1</v>
      </c>
      <c r="I322" s="26">
        <v>6</v>
      </c>
      <c r="J322" s="26">
        <v>1</v>
      </c>
      <c r="K322" s="26">
        <v>138</v>
      </c>
      <c r="L322" s="26" t="s">
        <v>28</v>
      </c>
      <c r="M322" s="27">
        <v>1127</v>
      </c>
      <c r="N322" s="28">
        <v>287690.39</v>
      </c>
      <c r="O322" s="26" t="s">
        <v>29</v>
      </c>
      <c r="P322" s="29"/>
      <c r="Q322" s="6"/>
      <c r="R322" s="29"/>
      <c r="S322" s="10"/>
      <c r="T322" s="8">
        <v>1</v>
      </c>
    </row>
    <row r="323" spans="1:21" ht="15.75" customHeight="1" x14ac:dyDescent="0.35">
      <c r="A323" s="25" t="s">
        <v>409</v>
      </c>
      <c r="B323" s="25" t="s">
        <v>463</v>
      </c>
      <c r="C323" s="26">
        <v>102099</v>
      </c>
      <c r="D323" s="25" t="s">
        <v>476</v>
      </c>
      <c r="E323" s="25" t="s">
        <v>477</v>
      </c>
      <c r="F323" s="26" t="s">
        <v>469</v>
      </c>
      <c r="G323" s="26" t="s">
        <v>469</v>
      </c>
      <c r="H323" s="26">
        <v>1</v>
      </c>
      <c r="I323" s="26">
        <v>5</v>
      </c>
      <c r="J323" s="26">
        <v>1</v>
      </c>
      <c r="K323" s="26">
        <v>138</v>
      </c>
      <c r="L323" s="26" t="s">
        <v>28</v>
      </c>
      <c r="M323" s="27">
        <v>1129</v>
      </c>
      <c r="N323" s="28">
        <v>113224.83</v>
      </c>
      <c r="O323" s="26" t="s">
        <v>29</v>
      </c>
      <c r="P323" s="29"/>
      <c r="Q323" s="6"/>
      <c r="R323" s="29"/>
      <c r="S323" s="10"/>
      <c r="T323" s="8">
        <v>1</v>
      </c>
    </row>
    <row r="324" spans="1:21" ht="15.75" customHeight="1" x14ac:dyDescent="0.35">
      <c r="A324" s="25" t="s">
        <v>409</v>
      </c>
      <c r="B324" s="25" t="s">
        <v>463</v>
      </c>
      <c r="C324" s="26">
        <v>102132</v>
      </c>
      <c r="D324" s="25" t="s">
        <v>478</v>
      </c>
      <c r="E324" s="25" t="s">
        <v>475</v>
      </c>
      <c r="F324" s="26" t="s">
        <v>466</v>
      </c>
      <c r="G324" s="26" t="s">
        <v>466</v>
      </c>
      <c r="H324" s="26">
        <v>1</v>
      </c>
      <c r="I324" s="26">
        <v>3</v>
      </c>
      <c r="J324" s="26">
        <v>1</v>
      </c>
      <c r="K324" s="26">
        <v>138</v>
      </c>
      <c r="L324" s="26" t="s">
        <v>28</v>
      </c>
      <c r="M324" s="27">
        <v>1126</v>
      </c>
      <c r="N324" s="28">
        <v>201940.01</v>
      </c>
      <c r="O324" s="26" t="s">
        <v>29</v>
      </c>
      <c r="P324" s="29"/>
      <c r="Q324" s="6"/>
      <c r="R324" s="29"/>
      <c r="S324" s="10"/>
      <c r="T324" s="8">
        <v>1</v>
      </c>
    </row>
    <row r="325" spans="1:21" ht="15.75" customHeight="1" x14ac:dyDescent="0.35">
      <c r="A325" s="25" t="s">
        <v>409</v>
      </c>
      <c r="B325" s="25" t="s">
        <v>451</v>
      </c>
      <c r="C325" s="26">
        <v>321109</v>
      </c>
      <c r="D325" s="25" t="s">
        <v>479</v>
      </c>
      <c r="E325" s="25" t="s">
        <v>480</v>
      </c>
      <c r="F325" s="26" t="s">
        <v>215</v>
      </c>
      <c r="G325" s="26" t="s">
        <v>215</v>
      </c>
      <c r="H325" s="26"/>
      <c r="I325" s="26"/>
      <c r="J325" s="26">
        <v>1</v>
      </c>
      <c r="K325" s="26">
        <v>138</v>
      </c>
      <c r="L325" s="26" t="s">
        <v>28</v>
      </c>
      <c r="M325" s="27">
        <v>1121</v>
      </c>
      <c r="N325" s="28"/>
      <c r="O325" s="26" t="s">
        <v>29</v>
      </c>
      <c r="P325" s="29"/>
      <c r="Q325" s="6"/>
      <c r="R325" s="29"/>
      <c r="S325" s="10"/>
      <c r="T325" s="8"/>
    </row>
    <row r="326" spans="1:21" ht="15.75" customHeight="1" x14ac:dyDescent="0.35">
      <c r="A326" s="25" t="s">
        <v>409</v>
      </c>
      <c r="B326" s="25" t="s">
        <v>451</v>
      </c>
      <c r="C326" s="26">
        <v>321111</v>
      </c>
      <c r="D326" s="25" t="s">
        <v>481</v>
      </c>
      <c r="E326" s="25" t="s">
        <v>480</v>
      </c>
      <c r="F326" s="26" t="s">
        <v>215</v>
      </c>
      <c r="G326" s="26" t="s">
        <v>215</v>
      </c>
      <c r="H326" s="26"/>
      <c r="I326" s="26"/>
      <c r="J326" s="26">
        <v>1</v>
      </c>
      <c r="K326" s="26">
        <v>138</v>
      </c>
      <c r="L326" s="26" t="s">
        <v>28</v>
      </c>
      <c r="M326" s="27">
        <v>1119</v>
      </c>
      <c r="N326" s="28"/>
      <c r="O326" s="26" t="s">
        <v>29</v>
      </c>
      <c r="P326" s="29"/>
      <c r="Q326" s="6"/>
      <c r="R326" s="29"/>
      <c r="S326" s="10"/>
      <c r="T326" s="8"/>
    </row>
    <row r="327" spans="1:21" ht="15.75" customHeight="1" x14ac:dyDescent="0.35">
      <c r="A327" s="25" t="s">
        <v>409</v>
      </c>
      <c r="B327" s="25" t="s">
        <v>451</v>
      </c>
      <c r="C327" s="26">
        <v>321114</v>
      </c>
      <c r="D327" s="25" t="s">
        <v>482</v>
      </c>
      <c r="E327" s="25" t="s">
        <v>483</v>
      </c>
      <c r="F327" s="26" t="s">
        <v>90</v>
      </c>
      <c r="G327" s="26" t="s">
        <v>90</v>
      </c>
      <c r="H327" s="26"/>
      <c r="I327" s="26"/>
      <c r="J327" s="26">
        <v>1</v>
      </c>
      <c r="K327" s="26">
        <v>138</v>
      </c>
      <c r="L327" s="26" t="s">
        <v>28</v>
      </c>
      <c r="M327" s="27">
        <v>1124</v>
      </c>
      <c r="N327" s="28"/>
      <c r="O327" s="26" t="s">
        <v>29</v>
      </c>
      <c r="P327" s="29"/>
      <c r="Q327" s="6"/>
      <c r="R327" s="29"/>
      <c r="S327" s="10"/>
      <c r="T327" s="8"/>
    </row>
    <row r="328" spans="1:21" ht="15.75" customHeight="1" x14ac:dyDescent="0.35">
      <c r="A328" s="25" t="s">
        <v>409</v>
      </c>
      <c r="B328" s="25" t="s">
        <v>463</v>
      </c>
      <c r="C328" s="31" t="s">
        <v>484</v>
      </c>
      <c r="D328" s="32" t="s">
        <v>485</v>
      </c>
      <c r="E328" s="32" t="s">
        <v>486</v>
      </c>
      <c r="F328" s="26" t="s">
        <v>469</v>
      </c>
      <c r="G328" s="33"/>
      <c r="H328" s="26">
        <v>1</v>
      </c>
      <c r="I328" s="8">
        <v>2</v>
      </c>
      <c r="J328" s="29"/>
      <c r="K328" s="10"/>
      <c r="L328" s="10"/>
      <c r="M328" s="11"/>
      <c r="N328" s="34">
        <v>190649.72</v>
      </c>
      <c r="O328" s="26" t="s">
        <v>29</v>
      </c>
      <c r="P328" s="29" t="s">
        <v>163</v>
      </c>
      <c r="Q328" s="6"/>
      <c r="R328" s="29"/>
      <c r="S328" s="10"/>
      <c r="T328" s="8">
        <v>1</v>
      </c>
      <c r="U328" s="36" t="s">
        <v>487</v>
      </c>
    </row>
    <row r="329" spans="1:21" ht="15.75" customHeight="1" x14ac:dyDescent="0.35">
      <c r="A329" s="25" t="s">
        <v>409</v>
      </c>
      <c r="B329" s="25" t="s">
        <v>488</v>
      </c>
      <c r="C329" s="26">
        <v>153505</v>
      </c>
      <c r="D329" s="25" t="s">
        <v>489</v>
      </c>
      <c r="E329" s="25" t="s">
        <v>490</v>
      </c>
      <c r="F329" s="26" t="s">
        <v>491</v>
      </c>
      <c r="G329" s="26" t="s">
        <v>491</v>
      </c>
      <c r="H329" s="26"/>
      <c r="I329" s="26"/>
      <c r="J329" s="26">
        <v>1</v>
      </c>
      <c r="K329" s="26">
        <v>138</v>
      </c>
      <c r="L329" s="26" t="s">
        <v>28</v>
      </c>
      <c r="M329" s="27">
        <v>1135</v>
      </c>
      <c r="N329" s="28"/>
      <c r="O329" s="26" t="s">
        <v>29</v>
      </c>
      <c r="P329" s="29"/>
      <c r="Q329" s="6"/>
      <c r="R329" s="29"/>
      <c r="S329" s="10"/>
      <c r="T329" s="8"/>
    </row>
    <row r="330" spans="1:21" ht="15.75" customHeight="1" x14ac:dyDescent="0.35">
      <c r="A330" s="25" t="s">
        <v>409</v>
      </c>
      <c r="B330" s="25" t="s">
        <v>492</v>
      </c>
      <c r="C330" s="26">
        <v>102309</v>
      </c>
      <c r="D330" s="25" t="s">
        <v>493</v>
      </c>
      <c r="E330" s="25" t="s">
        <v>494</v>
      </c>
      <c r="F330" s="26" t="s">
        <v>466</v>
      </c>
      <c r="G330" s="26" t="s">
        <v>466</v>
      </c>
      <c r="H330" s="26"/>
      <c r="I330" s="26"/>
      <c r="J330" s="26">
        <v>1</v>
      </c>
      <c r="K330" s="26">
        <v>138</v>
      </c>
      <c r="L330" s="26" t="s">
        <v>28</v>
      </c>
      <c r="M330" s="27">
        <v>1136</v>
      </c>
      <c r="N330" s="28"/>
      <c r="O330" s="26" t="s">
        <v>29</v>
      </c>
      <c r="P330" s="29"/>
      <c r="Q330" s="6"/>
      <c r="R330" s="29"/>
      <c r="S330" s="10"/>
      <c r="T330" s="8"/>
    </row>
    <row r="331" spans="1:21" ht="15.75" customHeight="1" x14ac:dyDescent="0.35">
      <c r="A331" s="25" t="s">
        <v>495</v>
      </c>
      <c r="B331" s="25" t="s">
        <v>496</v>
      </c>
      <c r="C331" s="26">
        <v>102460</v>
      </c>
      <c r="D331" s="25" t="s">
        <v>497</v>
      </c>
      <c r="E331" s="25" t="s">
        <v>498</v>
      </c>
      <c r="F331" s="26" t="s">
        <v>215</v>
      </c>
      <c r="G331" s="26" t="s">
        <v>215</v>
      </c>
      <c r="H331" s="26">
        <v>1</v>
      </c>
      <c r="I331" s="26">
        <v>6</v>
      </c>
      <c r="J331" s="26">
        <v>1</v>
      </c>
      <c r="K331" s="26">
        <v>138</v>
      </c>
      <c r="L331" s="26" t="s">
        <v>28</v>
      </c>
      <c r="M331" s="27">
        <v>1140</v>
      </c>
      <c r="N331" s="28">
        <v>551885.05000000005</v>
      </c>
      <c r="O331" s="26" t="s">
        <v>29</v>
      </c>
      <c r="P331" s="29"/>
      <c r="Q331" s="6"/>
      <c r="R331" s="29"/>
      <c r="S331" s="10"/>
      <c r="T331" s="8">
        <v>1</v>
      </c>
    </row>
    <row r="332" spans="1:21" ht="15.75" customHeight="1" x14ac:dyDescent="0.35">
      <c r="A332" s="25" t="s">
        <v>495</v>
      </c>
      <c r="B332" s="25" t="s">
        <v>496</v>
      </c>
      <c r="C332" s="26">
        <v>102472</v>
      </c>
      <c r="D332" s="25" t="s">
        <v>499</v>
      </c>
      <c r="E332" s="25" t="s">
        <v>498</v>
      </c>
      <c r="F332" s="26" t="s">
        <v>215</v>
      </c>
      <c r="G332" s="26" t="s">
        <v>215</v>
      </c>
      <c r="H332" s="26">
        <v>1</v>
      </c>
      <c r="I332" s="26">
        <v>3</v>
      </c>
      <c r="J332" s="26">
        <v>1</v>
      </c>
      <c r="K332" s="26">
        <v>138</v>
      </c>
      <c r="L332" s="26" t="s">
        <v>28</v>
      </c>
      <c r="M332" s="27">
        <v>1148</v>
      </c>
      <c r="N332" s="28">
        <v>474509.84</v>
      </c>
      <c r="O332" s="26" t="s">
        <v>29</v>
      </c>
      <c r="P332" s="29"/>
      <c r="Q332" s="6"/>
      <c r="R332" s="29"/>
      <c r="S332" s="10"/>
      <c r="T332" s="8">
        <v>1</v>
      </c>
    </row>
    <row r="333" spans="1:21" ht="15.75" customHeight="1" x14ac:dyDescent="0.35">
      <c r="A333" s="25" t="s">
        <v>495</v>
      </c>
      <c r="B333" s="25" t="s">
        <v>496</v>
      </c>
      <c r="C333" s="26">
        <v>102488</v>
      </c>
      <c r="D333" s="25" t="s">
        <v>500</v>
      </c>
      <c r="E333" s="25" t="s">
        <v>501</v>
      </c>
      <c r="F333" s="26" t="s">
        <v>215</v>
      </c>
      <c r="G333" s="26" t="s">
        <v>215</v>
      </c>
      <c r="H333" s="26"/>
      <c r="I333" s="26"/>
      <c r="J333" s="26">
        <v>1</v>
      </c>
      <c r="K333" s="26">
        <v>138</v>
      </c>
      <c r="L333" s="26" t="s">
        <v>28</v>
      </c>
      <c r="M333" s="27">
        <v>1141</v>
      </c>
      <c r="N333" s="28"/>
      <c r="O333" s="26" t="s">
        <v>29</v>
      </c>
      <c r="P333" s="29"/>
      <c r="Q333" s="6"/>
      <c r="R333" s="29"/>
      <c r="S333" s="10"/>
      <c r="T333" s="8"/>
    </row>
    <row r="334" spans="1:21" ht="15.75" customHeight="1" x14ac:dyDescent="0.35">
      <c r="A334" s="25" t="s">
        <v>495</v>
      </c>
      <c r="B334" s="25" t="s">
        <v>496</v>
      </c>
      <c r="C334" s="26">
        <v>102493</v>
      </c>
      <c r="D334" s="25" t="s">
        <v>502</v>
      </c>
      <c r="E334" s="25" t="s">
        <v>501</v>
      </c>
      <c r="F334" s="26" t="s">
        <v>215</v>
      </c>
      <c r="G334" s="26" t="s">
        <v>215</v>
      </c>
      <c r="H334" s="26"/>
      <c r="I334" s="26"/>
      <c r="J334" s="26">
        <v>1</v>
      </c>
      <c r="K334" s="26">
        <v>138</v>
      </c>
      <c r="L334" s="26" t="s">
        <v>28</v>
      </c>
      <c r="M334" s="27">
        <v>1145</v>
      </c>
      <c r="N334" s="28"/>
      <c r="O334" s="26" t="s">
        <v>29</v>
      </c>
      <c r="P334" s="29"/>
      <c r="Q334" s="6"/>
      <c r="R334" s="29"/>
      <c r="S334" s="10"/>
      <c r="T334" s="8"/>
    </row>
    <row r="335" spans="1:21" ht="15.75" customHeight="1" x14ac:dyDescent="0.35">
      <c r="A335" s="25" t="s">
        <v>495</v>
      </c>
      <c r="B335" s="25" t="s">
        <v>496</v>
      </c>
      <c r="C335" s="26">
        <v>102498</v>
      </c>
      <c r="D335" s="25" t="s">
        <v>503</v>
      </c>
      <c r="E335" s="25" t="s">
        <v>501</v>
      </c>
      <c r="F335" s="26" t="s">
        <v>215</v>
      </c>
      <c r="G335" s="26" t="s">
        <v>215</v>
      </c>
      <c r="H335" s="26"/>
      <c r="I335" s="26"/>
      <c r="J335" s="26">
        <v>1</v>
      </c>
      <c r="K335" s="26">
        <v>138</v>
      </c>
      <c r="L335" s="26" t="s">
        <v>28</v>
      </c>
      <c r="M335" s="27">
        <v>1149</v>
      </c>
      <c r="N335" s="28"/>
      <c r="O335" s="26" t="s">
        <v>29</v>
      </c>
      <c r="P335" s="29"/>
      <c r="Q335" s="6"/>
      <c r="R335" s="29"/>
      <c r="S335" s="10"/>
      <c r="T335" s="8"/>
    </row>
    <row r="336" spans="1:21" ht="15.75" customHeight="1" x14ac:dyDescent="0.35">
      <c r="A336" s="25" t="s">
        <v>495</v>
      </c>
      <c r="B336" s="25" t="s">
        <v>496</v>
      </c>
      <c r="C336" s="26">
        <v>102503</v>
      </c>
      <c r="D336" s="25" t="s">
        <v>504</v>
      </c>
      <c r="E336" s="25" t="s">
        <v>501</v>
      </c>
      <c r="F336" s="26" t="s">
        <v>215</v>
      </c>
      <c r="G336" s="26" t="s">
        <v>215</v>
      </c>
      <c r="H336" s="26"/>
      <c r="I336" s="26"/>
      <c r="J336" s="26">
        <v>1</v>
      </c>
      <c r="K336" s="26">
        <v>138</v>
      </c>
      <c r="L336" s="26" t="s">
        <v>28</v>
      </c>
      <c r="M336" s="27">
        <v>1153</v>
      </c>
      <c r="N336" s="28"/>
      <c r="O336" s="26" t="s">
        <v>29</v>
      </c>
      <c r="P336" s="29"/>
      <c r="Q336" s="6"/>
      <c r="R336" s="29"/>
      <c r="S336" s="10"/>
      <c r="T336" s="8"/>
    </row>
    <row r="337" spans="1:20" ht="15.75" customHeight="1" x14ac:dyDescent="0.35">
      <c r="A337" s="25" t="s">
        <v>495</v>
      </c>
      <c r="B337" s="25" t="s">
        <v>496</v>
      </c>
      <c r="C337" s="26">
        <v>102506</v>
      </c>
      <c r="D337" s="25" t="s">
        <v>505</v>
      </c>
      <c r="E337" s="25" t="s">
        <v>501</v>
      </c>
      <c r="F337" s="26" t="s">
        <v>215</v>
      </c>
      <c r="G337" s="26" t="s">
        <v>215</v>
      </c>
      <c r="H337" s="26"/>
      <c r="I337" s="26"/>
      <c r="J337" s="26">
        <v>1</v>
      </c>
      <c r="K337" s="26">
        <v>138</v>
      </c>
      <c r="L337" s="26" t="s">
        <v>28</v>
      </c>
      <c r="M337" s="27">
        <v>1154</v>
      </c>
      <c r="N337" s="28"/>
      <c r="O337" s="26" t="s">
        <v>29</v>
      </c>
      <c r="P337" s="29"/>
      <c r="Q337" s="6"/>
      <c r="R337" s="29"/>
      <c r="S337" s="10"/>
      <c r="T337" s="8"/>
    </row>
    <row r="338" spans="1:20" ht="15.75" customHeight="1" x14ac:dyDescent="0.35">
      <c r="A338" s="25" t="s">
        <v>495</v>
      </c>
      <c r="B338" s="25" t="s">
        <v>496</v>
      </c>
      <c r="C338" s="26">
        <v>102519</v>
      </c>
      <c r="D338" s="25" t="s">
        <v>506</v>
      </c>
      <c r="E338" s="25" t="s">
        <v>501</v>
      </c>
      <c r="F338" s="26" t="s">
        <v>215</v>
      </c>
      <c r="G338" s="26" t="s">
        <v>215</v>
      </c>
      <c r="H338" s="26"/>
      <c r="I338" s="26"/>
      <c r="J338" s="26">
        <v>1</v>
      </c>
      <c r="K338" s="26">
        <v>138</v>
      </c>
      <c r="L338" s="26" t="s">
        <v>28</v>
      </c>
      <c r="M338" s="27">
        <v>1142</v>
      </c>
      <c r="N338" s="28"/>
      <c r="O338" s="26" t="s">
        <v>29</v>
      </c>
      <c r="P338" s="29"/>
      <c r="Q338" s="6"/>
      <c r="R338" s="29"/>
      <c r="S338" s="10"/>
      <c r="T338" s="8"/>
    </row>
    <row r="339" spans="1:20" ht="15.75" customHeight="1" x14ac:dyDescent="0.35">
      <c r="A339" s="25" t="s">
        <v>495</v>
      </c>
      <c r="B339" s="25" t="s">
        <v>496</v>
      </c>
      <c r="C339" s="26">
        <v>102528</v>
      </c>
      <c r="D339" s="25" t="s">
        <v>507</v>
      </c>
      <c r="E339" s="25" t="s">
        <v>501</v>
      </c>
      <c r="F339" s="26" t="s">
        <v>215</v>
      </c>
      <c r="G339" s="26" t="s">
        <v>215</v>
      </c>
      <c r="H339" s="26"/>
      <c r="I339" s="26"/>
      <c r="J339" s="26">
        <v>1</v>
      </c>
      <c r="K339" s="26">
        <v>138</v>
      </c>
      <c r="L339" s="26" t="s">
        <v>28</v>
      </c>
      <c r="M339" s="27">
        <v>1151</v>
      </c>
      <c r="N339" s="28"/>
      <c r="O339" s="26" t="s">
        <v>29</v>
      </c>
      <c r="P339" s="29"/>
      <c r="Q339" s="6"/>
      <c r="R339" s="29"/>
      <c r="S339" s="10"/>
      <c r="T339" s="8"/>
    </row>
    <row r="340" spans="1:20" ht="15.75" customHeight="1" x14ac:dyDescent="0.35">
      <c r="A340" s="25" t="s">
        <v>495</v>
      </c>
      <c r="B340" s="25" t="s">
        <v>496</v>
      </c>
      <c r="C340" s="26">
        <v>102565</v>
      </c>
      <c r="D340" s="25" t="s">
        <v>508</v>
      </c>
      <c r="E340" s="25" t="s">
        <v>509</v>
      </c>
      <c r="F340" s="26" t="s">
        <v>215</v>
      </c>
      <c r="G340" s="26" t="s">
        <v>215</v>
      </c>
      <c r="H340" s="26">
        <v>1</v>
      </c>
      <c r="I340" s="26">
        <v>2</v>
      </c>
      <c r="J340" s="26">
        <v>1</v>
      </c>
      <c r="K340" s="26">
        <v>138</v>
      </c>
      <c r="L340" s="26" t="s">
        <v>28</v>
      </c>
      <c r="M340" s="27">
        <v>1144</v>
      </c>
      <c r="N340" s="28">
        <v>360773.24</v>
      </c>
      <c r="O340" s="26" t="s">
        <v>29</v>
      </c>
      <c r="P340" s="29"/>
      <c r="Q340" s="6"/>
      <c r="R340" s="29"/>
      <c r="S340" s="10"/>
      <c r="T340" s="8">
        <v>1</v>
      </c>
    </row>
    <row r="341" spans="1:20" ht="15.75" customHeight="1" x14ac:dyDescent="0.35">
      <c r="A341" s="25" t="s">
        <v>495</v>
      </c>
      <c r="B341" s="25" t="s">
        <v>496</v>
      </c>
      <c r="C341" s="26">
        <v>102569</v>
      </c>
      <c r="D341" s="25" t="s">
        <v>510</v>
      </c>
      <c r="E341" s="25" t="s">
        <v>509</v>
      </c>
      <c r="F341" s="26" t="s">
        <v>215</v>
      </c>
      <c r="G341" s="26" t="s">
        <v>215</v>
      </c>
      <c r="H341" s="26"/>
      <c r="I341" s="26"/>
      <c r="J341" s="26">
        <v>1</v>
      </c>
      <c r="K341" s="26">
        <v>138</v>
      </c>
      <c r="L341" s="26" t="s">
        <v>28</v>
      </c>
      <c r="M341" s="27">
        <v>1146</v>
      </c>
      <c r="N341" s="28"/>
      <c r="O341" s="26" t="s">
        <v>29</v>
      </c>
      <c r="P341" s="29"/>
      <c r="Q341" s="6"/>
      <c r="R341" s="29"/>
      <c r="S341" s="10"/>
      <c r="T341" s="8"/>
    </row>
    <row r="342" spans="1:20" ht="15.75" customHeight="1" x14ac:dyDescent="0.35">
      <c r="A342" s="25" t="s">
        <v>495</v>
      </c>
      <c r="B342" s="25" t="s">
        <v>496</v>
      </c>
      <c r="C342" s="26">
        <v>102577</v>
      </c>
      <c r="D342" s="25" t="s">
        <v>511</v>
      </c>
      <c r="E342" s="25" t="s">
        <v>509</v>
      </c>
      <c r="F342" s="26" t="s">
        <v>215</v>
      </c>
      <c r="G342" s="26" t="s">
        <v>215</v>
      </c>
      <c r="H342" s="26"/>
      <c r="I342" s="26"/>
      <c r="J342" s="26">
        <v>1</v>
      </c>
      <c r="K342" s="26">
        <v>138</v>
      </c>
      <c r="L342" s="26" t="s">
        <v>28</v>
      </c>
      <c r="M342" s="27">
        <v>1152</v>
      </c>
      <c r="N342" s="28"/>
      <c r="O342" s="26" t="s">
        <v>29</v>
      </c>
      <c r="P342" s="29"/>
      <c r="Q342" s="6"/>
      <c r="R342" s="29"/>
      <c r="S342" s="10"/>
      <c r="T342" s="8"/>
    </row>
    <row r="343" spans="1:20" ht="15.75" customHeight="1" x14ac:dyDescent="0.35">
      <c r="A343" s="25" t="s">
        <v>495</v>
      </c>
      <c r="B343" s="25" t="s">
        <v>496</v>
      </c>
      <c r="C343" s="26">
        <v>102584</v>
      </c>
      <c r="D343" s="25" t="s">
        <v>512</v>
      </c>
      <c r="E343" s="25" t="s">
        <v>513</v>
      </c>
      <c r="F343" s="26" t="s">
        <v>90</v>
      </c>
      <c r="G343" s="26" t="s">
        <v>90</v>
      </c>
      <c r="H343" s="26"/>
      <c r="I343" s="26"/>
      <c r="J343" s="26">
        <v>1</v>
      </c>
      <c r="K343" s="26">
        <v>138</v>
      </c>
      <c r="L343" s="26" t="s">
        <v>28</v>
      </c>
      <c r="M343" s="27">
        <v>1159</v>
      </c>
      <c r="N343" s="28"/>
      <c r="O343" s="26" t="s">
        <v>29</v>
      </c>
      <c r="P343" s="29"/>
      <c r="Q343" s="6"/>
      <c r="R343" s="29"/>
      <c r="S343" s="10"/>
      <c r="T343" s="8"/>
    </row>
    <row r="344" spans="1:20" ht="15.75" customHeight="1" x14ac:dyDescent="0.35">
      <c r="A344" s="25" t="s">
        <v>495</v>
      </c>
      <c r="B344" s="25" t="s">
        <v>496</v>
      </c>
      <c r="C344" s="26">
        <v>102586</v>
      </c>
      <c r="D344" s="25" t="s">
        <v>514</v>
      </c>
      <c r="E344" s="25" t="s">
        <v>513</v>
      </c>
      <c r="F344" s="26" t="s">
        <v>90</v>
      </c>
      <c r="G344" s="26" t="s">
        <v>90</v>
      </c>
      <c r="H344" s="26"/>
      <c r="I344" s="26"/>
      <c r="J344" s="26">
        <v>1</v>
      </c>
      <c r="K344" s="26">
        <v>138</v>
      </c>
      <c r="L344" s="26" t="s">
        <v>28</v>
      </c>
      <c r="M344" s="27">
        <v>1160</v>
      </c>
      <c r="N344" s="28"/>
      <c r="O344" s="26" t="s">
        <v>29</v>
      </c>
      <c r="P344" s="29"/>
      <c r="Q344" s="6"/>
      <c r="R344" s="29"/>
      <c r="S344" s="10"/>
      <c r="T344" s="8"/>
    </row>
    <row r="345" spans="1:20" ht="15.75" customHeight="1" x14ac:dyDescent="0.35">
      <c r="A345" s="25" t="s">
        <v>495</v>
      </c>
      <c r="B345" s="25" t="s">
        <v>496</v>
      </c>
      <c r="C345" s="26">
        <v>102587</v>
      </c>
      <c r="D345" s="25" t="s">
        <v>515</v>
      </c>
      <c r="E345" s="25" t="s">
        <v>513</v>
      </c>
      <c r="F345" s="26" t="s">
        <v>90</v>
      </c>
      <c r="G345" s="26" t="s">
        <v>90</v>
      </c>
      <c r="H345" s="26"/>
      <c r="I345" s="26"/>
      <c r="J345" s="26">
        <v>1</v>
      </c>
      <c r="K345" s="26">
        <v>138</v>
      </c>
      <c r="L345" s="26" t="s">
        <v>28</v>
      </c>
      <c r="M345" s="27">
        <v>1162</v>
      </c>
      <c r="N345" s="28"/>
      <c r="O345" s="26" t="s">
        <v>29</v>
      </c>
      <c r="P345" s="29"/>
      <c r="Q345" s="6"/>
      <c r="R345" s="29"/>
      <c r="S345" s="10"/>
      <c r="T345" s="8"/>
    </row>
    <row r="346" spans="1:20" ht="15.75" customHeight="1" x14ac:dyDescent="0.35">
      <c r="A346" s="25" t="s">
        <v>495</v>
      </c>
      <c r="B346" s="25" t="s">
        <v>496</v>
      </c>
      <c r="C346" s="26">
        <v>102591</v>
      </c>
      <c r="D346" s="25" t="s">
        <v>516</v>
      </c>
      <c r="E346" s="25" t="s">
        <v>513</v>
      </c>
      <c r="F346" s="26" t="s">
        <v>90</v>
      </c>
      <c r="G346" s="26" t="s">
        <v>90</v>
      </c>
      <c r="H346" s="26"/>
      <c r="I346" s="26"/>
      <c r="J346" s="26">
        <v>1</v>
      </c>
      <c r="K346" s="26">
        <v>138</v>
      </c>
      <c r="L346" s="26" t="s">
        <v>28</v>
      </c>
      <c r="M346" s="27">
        <v>1165</v>
      </c>
      <c r="N346" s="28"/>
      <c r="O346" s="26" t="s">
        <v>29</v>
      </c>
      <c r="P346" s="29"/>
      <c r="Q346" s="6"/>
      <c r="R346" s="29"/>
      <c r="S346" s="10"/>
      <c r="T346" s="8"/>
    </row>
    <row r="347" spans="1:20" ht="15.75" customHeight="1" x14ac:dyDescent="0.35">
      <c r="A347" s="25" t="s">
        <v>495</v>
      </c>
      <c r="B347" s="25" t="s">
        <v>496</v>
      </c>
      <c r="C347" s="26">
        <v>102593</v>
      </c>
      <c r="D347" s="25" t="s">
        <v>517</v>
      </c>
      <c r="E347" s="25" t="s">
        <v>513</v>
      </c>
      <c r="F347" s="26" t="s">
        <v>90</v>
      </c>
      <c r="G347" s="26" t="s">
        <v>90</v>
      </c>
      <c r="H347" s="26"/>
      <c r="I347" s="26"/>
      <c r="J347" s="26">
        <v>1</v>
      </c>
      <c r="K347" s="26">
        <v>138</v>
      </c>
      <c r="L347" s="26" t="s">
        <v>28</v>
      </c>
      <c r="M347" s="27">
        <v>1166</v>
      </c>
      <c r="N347" s="28"/>
      <c r="O347" s="26" t="s">
        <v>29</v>
      </c>
      <c r="P347" s="29"/>
      <c r="Q347" s="6"/>
      <c r="R347" s="29"/>
      <c r="S347" s="10"/>
      <c r="T347" s="8"/>
    </row>
    <row r="348" spans="1:20" ht="15.75" customHeight="1" x14ac:dyDescent="0.35">
      <c r="A348" s="25" t="s">
        <v>495</v>
      </c>
      <c r="B348" s="25" t="s">
        <v>496</v>
      </c>
      <c r="C348" s="26">
        <v>102854</v>
      </c>
      <c r="D348" s="25" t="s">
        <v>518</v>
      </c>
      <c r="E348" s="25" t="s">
        <v>519</v>
      </c>
      <c r="F348" s="26" t="s">
        <v>90</v>
      </c>
      <c r="G348" s="26" t="s">
        <v>90</v>
      </c>
      <c r="H348" s="26"/>
      <c r="I348" s="26"/>
      <c r="J348" s="26">
        <v>1</v>
      </c>
      <c r="K348" s="26">
        <v>138</v>
      </c>
      <c r="L348" s="26" t="s">
        <v>28</v>
      </c>
      <c r="M348" s="27">
        <v>1163</v>
      </c>
      <c r="N348" s="28"/>
      <c r="O348" s="26" t="s">
        <v>29</v>
      </c>
      <c r="P348" s="29"/>
      <c r="Q348" s="6"/>
      <c r="R348" s="29"/>
      <c r="S348" s="10"/>
      <c r="T348" s="8"/>
    </row>
    <row r="349" spans="1:20" ht="15.75" customHeight="1" x14ac:dyDescent="0.35">
      <c r="A349" s="25" t="s">
        <v>495</v>
      </c>
      <c r="B349" s="25" t="s">
        <v>496</v>
      </c>
      <c r="C349" s="26">
        <v>102862</v>
      </c>
      <c r="D349" s="25" t="s">
        <v>520</v>
      </c>
      <c r="E349" s="25" t="s">
        <v>519</v>
      </c>
      <c r="F349" s="26" t="s">
        <v>90</v>
      </c>
      <c r="G349" s="26" t="s">
        <v>90</v>
      </c>
      <c r="H349" s="26"/>
      <c r="I349" s="26"/>
      <c r="J349" s="26">
        <v>1</v>
      </c>
      <c r="K349" s="26">
        <v>138</v>
      </c>
      <c r="L349" s="26" t="s">
        <v>28</v>
      </c>
      <c r="M349" s="27">
        <v>1168</v>
      </c>
      <c r="N349" s="28"/>
      <c r="O349" s="26" t="s">
        <v>29</v>
      </c>
      <c r="P349" s="29"/>
      <c r="Q349" s="6"/>
      <c r="R349" s="29"/>
      <c r="S349" s="10"/>
      <c r="T349" s="8"/>
    </row>
    <row r="350" spans="1:20" ht="15.75" customHeight="1" x14ac:dyDescent="0.35">
      <c r="A350" s="25" t="s">
        <v>495</v>
      </c>
      <c r="B350" s="25" t="s">
        <v>496</v>
      </c>
      <c r="C350" s="26">
        <v>155019</v>
      </c>
      <c r="D350" s="25" t="s">
        <v>521</v>
      </c>
      <c r="E350" s="25" t="s">
        <v>509</v>
      </c>
      <c r="F350" s="26" t="s">
        <v>215</v>
      </c>
      <c r="G350" s="26" t="s">
        <v>215</v>
      </c>
      <c r="H350" s="26"/>
      <c r="I350" s="26"/>
      <c r="J350" s="26">
        <v>1</v>
      </c>
      <c r="K350" s="26">
        <v>138</v>
      </c>
      <c r="L350" s="26" t="s">
        <v>28</v>
      </c>
      <c r="M350" s="27">
        <v>1150</v>
      </c>
      <c r="N350" s="28"/>
      <c r="O350" s="26" t="s">
        <v>29</v>
      </c>
      <c r="P350" s="29"/>
      <c r="Q350" s="6"/>
      <c r="R350" s="29"/>
      <c r="S350" s="10"/>
      <c r="T350" s="8"/>
    </row>
    <row r="351" spans="1:20" ht="15.75" customHeight="1" x14ac:dyDescent="0.35">
      <c r="A351" s="25" t="s">
        <v>495</v>
      </c>
      <c r="B351" s="25" t="s">
        <v>496</v>
      </c>
      <c r="C351" s="26">
        <v>155024</v>
      </c>
      <c r="D351" s="25" t="s">
        <v>522</v>
      </c>
      <c r="E351" s="25" t="s">
        <v>523</v>
      </c>
      <c r="F351" s="26" t="s">
        <v>90</v>
      </c>
      <c r="G351" s="26" t="s">
        <v>90</v>
      </c>
      <c r="H351" s="26"/>
      <c r="I351" s="26"/>
      <c r="J351" s="26">
        <v>1</v>
      </c>
      <c r="K351" s="26">
        <v>138</v>
      </c>
      <c r="L351" s="26" t="s">
        <v>28</v>
      </c>
      <c r="M351" s="27">
        <v>1158</v>
      </c>
      <c r="N351" s="28"/>
      <c r="O351" s="26" t="s">
        <v>29</v>
      </c>
      <c r="P351" s="29"/>
      <c r="Q351" s="6"/>
      <c r="R351" s="29"/>
      <c r="S351" s="10"/>
      <c r="T351" s="8"/>
    </row>
    <row r="352" spans="1:20" ht="15.75" customHeight="1" x14ac:dyDescent="0.35">
      <c r="A352" s="25" t="s">
        <v>495</v>
      </c>
      <c r="B352" s="25" t="s">
        <v>496</v>
      </c>
      <c r="C352" s="26">
        <v>155025</v>
      </c>
      <c r="D352" s="25" t="s">
        <v>524</v>
      </c>
      <c r="E352" s="25" t="s">
        <v>523</v>
      </c>
      <c r="F352" s="26" t="s">
        <v>90</v>
      </c>
      <c r="G352" s="26" t="s">
        <v>90</v>
      </c>
      <c r="H352" s="26"/>
      <c r="I352" s="26"/>
      <c r="J352" s="26">
        <v>1</v>
      </c>
      <c r="K352" s="26">
        <v>138</v>
      </c>
      <c r="L352" s="26" t="s">
        <v>28</v>
      </c>
      <c r="M352" s="27">
        <v>1161</v>
      </c>
      <c r="N352" s="28"/>
      <c r="O352" s="26" t="s">
        <v>29</v>
      </c>
      <c r="P352" s="29"/>
      <c r="Q352" s="6"/>
      <c r="R352" s="29"/>
      <c r="S352" s="10"/>
      <c r="T352" s="8"/>
    </row>
    <row r="353" spans="1:20" ht="15.75" customHeight="1" x14ac:dyDescent="0.35">
      <c r="A353" s="25" t="s">
        <v>495</v>
      </c>
      <c r="B353" s="25" t="s">
        <v>496</v>
      </c>
      <c r="C353" s="26">
        <v>155031</v>
      </c>
      <c r="D353" s="25" t="s">
        <v>525</v>
      </c>
      <c r="E353" s="25" t="s">
        <v>509</v>
      </c>
      <c r="F353" s="26" t="s">
        <v>215</v>
      </c>
      <c r="G353" s="26" t="s">
        <v>215</v>
      </c>
      <c r="H353" s="26"/>
      <c r="I353" s="26"/>
      <c r="J353" s="26">
        <v>1</v>
      </c>
      <c r="K353" s="26">
        <v>138</v>
      </c>
      <c r="L353" s="26" t="s">
        <v>28</v>
      </c>
      <c r="M353" s="27">
        <v>1147</v>
      </c>
      <c r="N353" s="28"/>
      <c r="O353" s="26" t="s">
        <v>29</v>
      </c>
      <c r="P353" s="29"/>
      <c r="Q353" s="6"/>
      <c r="R353" s="29"/>
      <c r="S353" s="10"/>
      <c r="T353" s="8"/>
    </row>
    <row r="354" spans="1:20" ht="15.75" customHeight="1" x14ac:dyDescent="0.35">
      <c r="A354" s="25" t="s">
        <v>495</v>
      </c>
      <c r="B354" s="25" t="s">
        <v>496</v>
      </c>
      <c r="C354" s="26">
        <v>155036</v>
      </c>
      <c r="D354" s="25" t="s">
        <v>526</v>
      </c>
      <c r="E354" s="25" t="s">
        <v>527</v>
      </c>
      <c r="F354" s="26" t="s">
        <v>90</v>
      </c>
      <c r="G354" s="26" t="s">
        <v>90</v>
      </c>
      <c r="H354" s="26"/>
      <c r="I354" s="26"/>
      <c r="J354" s="26">
        <v>1</v>
      </c>
      <c r="K354" s="26">
        <v>138</v>
      </c>
      <c r="L354" s="26" t="s">
        <v>28</v>
      </c>
      <c r="M354" s="27">
        <v>1157</v>
      </c>
      <c r="N354" s="28"/>
      <c r="O354" s="26" t="s">
        <v>29</v>
      </c>
      <c r="P354" s="29"/>
      <c r="Q354" s="6"/>
      <c r="R354" s="29"/>
      <c r="S354" s="10"/>
      <c r="T354" s="8"/>
    </row>
    <row r="355" spans="1:20" ht="15.75" customHeight="1" x14ac:dyDescent="0.35">
      <c r="A355" s="25" t="s">
        <v>495</v>
      </c>
      <c r="B355" s="25" t="s">
        <v>496</v>
      </c>
      <c r="C355" s="26">
        <v>155040</v>
      </c>
      <c r="D355" s="25" t="s">
        <v>528</v>
      </c>
      <c r="E355" s="25" t="s">
        <v>513</v>
      </c>
      <c r="F355" s="26" t="s">
        <v>90</v>
      </c>
      <c r="G355" s="26" t="s">
        <v>90</v>
      </c>
      <c r="H355" s="26"/>
      <c r="I355" s="26"/>
      <c r="J355" s="26">
        <v>1</v>
      </c>
      <c r="K355" s="26">
        <v>138</v>
      </c>
      <c r="L355" s="26" t="s">
        <v>28</v>
      </c>
      <c r="M355" s="27">
        <v>1156</v>
      </c>
      <c r="N355" s="28"/>
      <c r="O355" s="26" t="s">
        <v>29</v>
      </c>
      <c r="P355" s="29"/>
      <c r="Q355" s="6"/>
      <c r="R355" s="29"/>
      <c r="S355" s="10"/>
      <c r="T355" s="8"/>
    </row>
    <row r="356" spans="1:20" ht="15.75" customHeight="1" x14ac:dyDescent="0.35">
      <c r="A356" s="25" t="s">
        <v>495</v>
      </c>
      <c r="B356" s="25" t="s">
        <v>496</v>
      </c>
      <c r="C356" s="26">
        <v>155041</v>
      </c>
      <c r="D356" s="25" t="s">
        <v>529</v>
      </c>
      <c r="E356" s="25" t="s">
        <v>530</v>
      </c>
      <c r="F356" s="26" t="s">
        <v>491</v>
      </c>
      <c r="G356" s="26" t="s">
        <v>491</v>
      </c>
      <c r="H356" s="26"/>
      <c r="I356" s="26"/>
      <c r="J356" s="26">
        <v>1</v>
      </c>
      <c r="K356" s="26">
        <v>138</v>
      </c>
      <c r="L356" s="26" t="s">
        <v>28</v>
      </c>
      <c r="M356" s="27">
        <v>1169</v>
      </c>
      <c r="N356" s="28"/>
      <c r="O356" s="26" t="s">
        <v>29</v>
      </c>
      <c r="P356" s="29"/>
      <c r="Q356" s="6"/>
      <c r="R356" s="29"/>
      <c r="S356" s="10"/>
      <c r="T356" s="8"/>
    </row>
    <row r="357" spans="1:20" ht="15.75" customHeight="1" x14ac:dyDescent="0.35">
      <c r="A357" s="25" t="s">
        <v>495</v>
      </c>
      <c r="B357" s="25" t="s">
        <v>496</v>
      </c>
      <c r="C357" s="26">
        <v>155046</v>
      </c>
      <c r="D357" s="25" t="s">
        <v>531</v>
      </c>
      <c r="E357" s="25" t="s">
        <v>519</v>
      </c>
      <c r="F357" s="26" t="s">
        <v>90</v>
      </c>
      <c r="G357" s="26" t="s">
        <v>90</v>
      </c>
      <c r="H357" s="26"/>
      <c r="I357" s="26"/>
      <c r="J357" s="26">
        <v>1</v>
      </c>
      <c r="K357" s="26">
        <v>138</v>
      </c>
      <c r="L357" s="26" t="s">
        <v>28</v>
      </c>
      <c r="M357" s="27">
        <v>1167</v>
      </c>
      <c r="N357" s="28"/>
      <c r="O357" s="26" t="s">
        <v>29</v>
      </c>
      <c r="P357" s="29"/>
      <c r="Q357" s="6"/>
      <c r="R357" s="29"/>
      <c r="S357" s="10"/>
      <c r="T357" s="8"/>
    </row>
    <row r="358" spans="1:20" ht="15.75" customHeight="1" x14ac:dyDescent="0.35">
      <c r="A358" s="25" t="s">
        <v>495</v>
      </c>
      <c r="B358" s="25" t="s">
        <v>496</v>
      </c>
      <c r="C358" s="26">
        <v>155047</v>
      </c>
      <c r="D358" s="25" t="s">
        <v>532</v>
      </c>
      <c r="E358" s="25" t="s">
        <v>465</v>
      </c>
      <c r="F358" s="26" t="s">
        <v>215</v>
      </c>
      <c r="G358" s="26" t="s">
        <v>215</v>
      </c>
      <c r="H358" s="26"/>
      <c r="I358" s="26"/>
      <c r="J358" s="26">
        <v>1</v>
      </c>
      <c r="K358" s="26">
        <v>138</v>
      </c>
      <c r="L358" s="26" t="s">
        <v>28</v>
      </c>
      <c r="M358" s="27">
        <v>1138</v>
      </c>
      <c r="N358" s="28"/>
      <c r="O358" s="26" t="s">
        <v>29</v>
      </c>
      <c r="P358" s="29"/>
      <c r="Q358" s="6"/>
      <c r="R358" s="29"/>
      <c r="S358" s="10"/>
      <c r="T358" s="8"/>
    </row>
    <row r="359" spans="1:20" ht="15.75" customHeight="1" x14ac:dyDescent="0.35">
      <c r="A359" s="25" t="s">
        <v>495</v>
      </c>
      <c r="B359" s="25" t="s">
        <v>496</v>
      </c>
      <c r="C359" s="26">
        <v>155051</v>
      </c>
      <c r="D359" s="25" t="s">
        <v>533</v>
      </c>
      <c r="E359" s="25" t="s">
        <v>534</v>
      </c>
      <c r="F359" s="26" t="s">
        <v>215</v>
      </c>
      <c r="G359" s="26" t="s">
        <v>215</v>
      </c>
      <c r="H359" s="26"/>
      <c r="I359" s="26"/>
      <c r="J359" s="26">
        <v>1</v>
      </c>
      <c r="K359" s="26">
        <v>138</v>
      </c>
      <c r="L359" s="26" t="s">
        <v>28</v>
      </c>
      <c r="M359" s="27">
        <v>1143</v>
      </c>
      <c r="N359" s="28"/>
      <c r="O359" s="26" t="s">
        <v>29</v>
      </c>
      <c r="P359" s="29"/>
      <c r="Q359" s="6"/>
      <c r="R359" s="29"/>
      <c r="S359" s="10"/>
      <c r="T359" s="8"/>
    </row>
    <row r="360" spans="1:20" ht="15.75" customHeight="1" x14ac:dyDescent="0.35">
      <c r="A360" s="25" t="s">
        <v>495</v>
      </c>
      <c r="B360" s="25" t="s">
        <v>496</v>
      </c>
      <c r="C360" s="26">
        <v>155052</v>
      </c>
      <c r="D360" s="25" t="s">
        <v>535</v>
      </c>
      <c r="E360" s="25" t="s">
        <v>536</v>
      </c>
      <c r="F360" s="26" t="s">
        <v>90</v>
      </c>
      <c r="G360" s="26" t="s">
        <v>90</v>
      </c>
      <c r="H360" s="26"/>
      <c r="I360" s="26"/>
      <c r="J360" s="26">
        <v>1</v>
      </c>
      <c r="K360" s="26">
        <v>138</v>
      </c>
      <c r="L360" s="26" t="s">
        <v>28</v>
      </c>
      <c r="M360" s="27">
        <v>1164</v>
      </c>
      <c r="N360" s="28"/>
      <c r="O360" s="26" t="s">
        <v>29</v>
      </c>
      <c r="P360" s="29"/>
      <c r="Q360" s="6"/>
      <c r="R360" s="29"/>
      <c r="S360" s="10"/>
      <c r="T360" s="8"/>
    </row>
    <row r="361" spans="1:20" ht="15.75" customHeight="1" x14ac:dyDescent="0.35">
      <c r="A361" s="25" t="s">
        <v>495</v>
      </c>
      <c r="B361" s="25" t="s">
        <v>496</v>
      </c>
      <c r="C361" s="26">
        <v>155053</v>
      </c>
      <c r="D361" s="25" t="s">
        <v>537</v>
      </c>
      <c r="E361" s="25" t="s">
        <v>501</v>
      </c>
      <c r="F361" s="26" t="s">
        <v>215</v>
      </c>
      <c r="G361" s="26" t="s">
        <v>538</v>
      </c>
      <c r="H361" s="26"/>
      <c r="I361" s="26"/>
      <c r="J361" s="26">
        <v>1</v>
      </c>
      <c r="K361" s="26">
        <v>138</v>
      </c>
      <c r="L361" s="26" t="s">
        <v>28</v>
      </c>
      <c r="M361" s="27">
        <v>1137</v>
      </c>
      <c r="N361" s="28"/>
      <c r="O361" s="26" t="s">
        <v>29</v>
      </c>
      <c r="P361" s="29"/>
      <c r="Q361" s="6"/>
      <c r="R361" s="29"/>
      <c r="S361" s="10"/>
      <c r="T361" s="8"/>
    </row>
    <row r="362" spans="1:20" ht="15.75" customHeight="1" x14ac:dyDescent="0.35">
      <c r="A362" s="25" t="s">
        <v>495</v>
      </c>
      <c r="B362" s="25" t="s">
        <v>496</v>
      </c>
      <c r="C362" s="26">
        <v>300496</v>
      </c>
      <c r="D362" s="25" t="s">
        <v>505</v>
      </c>
      <c r="E362" s="25" t="s">
        <v>501</v>
      </c>
      <c r="F362" s="26" t="s">
        <v>215</v>
      </c>
      <c r="G362" s="26" t="s">
        <v>215</v>
      </c>
      <c r="H362" s="26"/>
      <c r="I362" s="26"/>
      <c r="J362" s="26">
        <v>1</v>
      </c>
      <c r="K362" s="26">
        <v>138</v>
      </c>
      <c r="L362" s="26" t="s">
        <v>28</v>
      </c>
      <c r="M362" s="27">
        <v>1155</v>
      </c>
      <c r="N362" s="28"/>
      <c r="O362" s="26" t="s">
        <v>29</v>
      </c>
      <c r="P362" s="29"/>
      <c r="Q362" s="6"/>
      <c r="R362" s="29"/>
      <c r="S362" s="10"/>
      <c r="T362" s="8"/>
    </row>
    <row r="363" spans="1:20" ht="15.75" customHeight="1" x14ac:dyDescent="0.35">
      <c r="A363" s="25" t="s">
        <v>495</v>
      </c>
      <c r="B363" s="25" t="s">
        <v>496</v>
      </c>
      <c r="C363" s="26">
        <v>306423</v>
      </c>
      <c r="D363" s="25" t="s">
        <v>539</v>
      </c>
      <c r="E363" s="25" t="s">
        <v>534</v>
      </c>
      <c r="F363" s="26" t="s">
        <v>215</v>
      </c>
      <c r="G363" s="26" t="s">
        <v>215</v>
      </c>
      <c r="H363" s="26"/>
      <c r="I363" s="26"/>
      <c r="J363" s="26">
        <v>1</v>
      </c>
      <c r="K363" s="26">
        <v>138</v>
      </c>
      <c r="L363" s="26" t="s">
        <v>28</v>
      </c>
      <c r="M363" s="27">
        <v>1139</v>
      </c>
      <c r="N363" s="28"/>
      <c r="O363" s="26" t="s">
        <v>29</v>
      </c>
      <c r="P363" s="29"/>
      <c r="Q363" s="6"/>
      <c r="R363" s="29"/>
      <c r="S363" s="10"/>
      <c r="T363" s="8"/>
    </row>
    <row r="364" spans="1:20" ht="15.75" customHeight="1" x14ac:dyDescent="0.35">
      <c r="A364" s="25" t="s">
        <v>495</v>
      </c>
      <c r="B364" s="25" t="s">
        <v>540</v>
      </c>
      <c r="C364" s="26">
        <v>103024</v>
      </c>
      <c r="D364" s="25" t="s">
        <v>541</v>
      </c>
      <c r="E364" s="25" t="s">
        <v>542</v>
      </c>
      <c r="F364" s="26" t="s">
        <v>491</v>
      </c>
      <c r="G364" s="26" t="s">
        <v>491</v>
      </c>
      <c r="H364" s="26"/>
      <c r="I364" s="26"/>
      <c r="J364" s="26">
        <v>1</v>
      </c>
      <c r="K364" s="26">
        <v>138</v>
      </c>
      <c r="L364" s="26" t="s">
        <v>28</v>
      </c>
      <c r="M364" s="27">
        <v>1186</v>
      </c>
      <c r="N364" s="28"/>
      <c r="O364" s="26" t="s">
        <v>29</v>
      </c>
      <c r="P364" s="29"/>
      <c r="Q364" s="6"/>
      <c r="R364" s="29"/>
      <c r="S364" s="10"/>
      <c r="T364" s="8"/>
    </row>
    <row r="365" spans="1:20" ht="15.75" customHeight="1" x14ac:dyDescent="0.35">
      <c r="A365" s="25" t="s">
        <v>495</v>
      </c>
      <c r="B365" s="25" t="s">
        <v>540</v>
      </c>
      <c r="C365" s="26">
        <v>103035</v>
      </c>
      <c r="D365" s="25" t="s">
        <v>543</v>
      </c>
      <c r="E365" s="25" t="s">
        <v>542</v>
      </c>
      <c r="F365" s="26" t="s">
        <v>491</v>
      </c>
      <c r="G365" s="26" t="s">
        <v>491</v>
      </c>
      <c r="H365" s="26"/>
      <c r="I365" s="26"/>
      <c r="J365" s="26">
        <v>1</v>
      </c>
      <c r="K365" s="26">
        <v>138</v>
      </c>
      <c r="L365" s="26" t="s">
        <v>28</v>
      </c>
      <c r="M365" s="27">
        <v>1190</v>
      </c>
      <c r="N365" s="28"/>
      <c r="O365" s="26" t="s">
        <v>29</v>
      </c>
      <c r="P365" s="29"/>
      <c r="Q365" s="6"/>
      <c r="R365" s="29"/>
      <c r="S365" s="10"/>
      <c r="T365" s="8"/>
    </row>
    <row r="366" spans="1:20" ht="15.75" customHeight="1" x14ac:dyDescent="0.35">
      <c r="A366" s="25" t="s">
        <v>495</v>
      </c>
      <c r="B366" s="25" t="s">
        <v>540</v>
      </c>
      <c r="C366" s="26">
        <v>103041</v>
      </c>
      <c r="D366" s="25" t="s">
        <v>544</v>
      </c>
      <c r="E366" s="25" t="s">
        <v>542</v>
      </c>
      <c r="F366" s="26" t="s">
        <v>491</v>
      </c>
      <c r="G366" s="26" t="s">
        <v>491</v>
      </c>
      <c r="H366" s="26"/>
      <c r="I366" s="26"/>
      <c r="J366" s="26">
        <v>1</v>
      </c>
      <c r="K366" s="26">
        <v>138</v>
      </c>
      <c r="L366" s="26" t="s">
        <v>28</v>
      </c>
      <c r="M366" s="27">
        <v>1191</v>
      </c>
      <c r="N366" s="28"/>
      <c r="O366" s="26" t="s">
        <v>29</v>
      </c>
      <c r="P366" s="29"/>
      <c r="Q366" s="6"/>
      <c r="R366" s="29"/>
      <c r="S366" s="10"/>
      <c r="T366" s="8"/>
    </row>
    <row r="367" spans="1:20" ht="15.75" customHeight="1" x14ac:dyDescent="0.35">
      <c r="A367" s="25" t="s">
        <v>495</v>
      </c>
      <c r="B367" s="25" t="s">
        <v>540</v>
      </c>
      <c r="C367" s="26">
        <v>103107</v>
      </c>
      <c r="D367" s="25" t="s">
        <v>545</v>
      </c>
      <c r="E367" s="25" t="s">
        <v>546</v>
      </c>
      <c r="F367" s="26" t="s">
        <v>90</v>
      </c>
      <c r="G367" s="26" t="s">
        <v>90</v>
      </c>
      <c r="H367" s="26"/>
      <c r="I367" s="26"/>
      <c r="J367" s="26">
        <v>1</v>
      </c>
      <c r="K367" s="26">
        <v>138</v>
      </c>
      <c r="L367" s="26" t="s">
        <v>28</v>
      </c>
      <c r="M367" s="27">
        <v>1181</v>
      </c>
      <c r="N367" s="28"/>
      <c r="O367" s="26" t="s">
        <v>29</v>
      </c>
      <c r="P367" s="29"/>
      <c r="Q367" s="6"/>
      <c r="R367" s="29"/>
      <c r="S367" s="10"/>
      <c r="T367" s="8"/>
    </row>
    <row r="368" spans="1:20" ht="15.75" customHeight="1" x14ac:dyDescent="0.35">
      <c r="A368" s="25" t="s">
        <v>495</v>
      </c>
      <c r="B368" s="25" t="s">
        <v>540</v>
      </c>
      <c r="C368" s="26">
        <v>103119</v>
      </c>
      <c r="D368" s="25" t="s">
        <v>547</v>
      </c>
      <c r="E368" s="25" t="s">
        <v>546</v>
      </c>
      <c r="F368" s="26" t="s">
        <v>90</v>
      </c>
      <c r="G368" s="26" t="s">
        <v>90</v>
      </c>
      <c r="H368" s="26"/>
      <c r="I368" s="26"/>
      <c r="J368" s="26">
        <v>1</v>
      </c>
      <c r="K368" s="26">
        <v>138</v>
      </c>
      <c r="L368" s="26" t="s">
        <v>28</v>
      </c>
      <c r="M368" s="27">
        <v>1184</v>
      </c>
      <c r="N368" s="28"/>
      <c r="O368" s="26" t="s">
        <v>29</v>
      </c>
      <c r="P368" s="29"/>
      <c r="Q368" s="6"/>
      <c r="R368" s="29"/>
      <c r="S368" s="10"/>
      <c r="T368" s="8"/>
    </row>
    <row r="369" spans="1:20" ht="15.75" customHeight="1" x14ac:dyDescent="0.35">
      <c r="A369" s="25" t="s">
        <v>495</v>
      </c>
      <c r="B369" s="25" t="s">
        <v>540</v>
      </c>
      <c r="C369" s="26">
        <v>103263</v>
      </c>
      <c r="D369" s="25" t="s">
        <v>548</v>
      </c>
      <c r="E369" s="25" t="s">
        <v>549</v>
      </c>
      <c r="F369" s="26" t="s">
        <v>215</v>
      </c>
      <c r="G369" s="26" t="s">
        <v>215</v>
      </c>
      <c r="H369" s="26"/>
      <c r="I369" s="26"/>
      <c r="J369" s="26">
        <v>1</v>
      </c>
      <c r="K369" s="26">
        <v>138</v>
      </c>
      <c r="L369" s="26" t="s">
        <v>28</v>
      </c>
      <c r="M369" s="27">
        <v>1172</v>
      </c>
      <c r="N369" s="28"/>
      <c r="O369" s="26" t="s">
        <v>29</v>
      </c>
      <c r="P369" s="29"/>
      <c r="Q369" s="6"/>
      <c r="R369" s="29"/>
      <c r="S369" s="10"/>
      <c r="T369" s="8"/>
    </row>
    <row r="370" spans="1:20" ht="15.75" customHeight="1" x14ac:dyDescent="0.35">
      <c r="A370" s="25" t="s">
        <v>495</v>
      </c>
      <c r="B370" s="25" t="s">
        <v>550</v>
      </c>
      <c r="C370" s="26">
        <v>103355</v>
      </c>
      <c r="D370" s="25" t="s">
        <v>551</v>
      </c>
      <c r="E370" s="25" t="s">
        <v>552</v>
      </c>
      <c r="F370" s="26" t="s">
        <v>215</v>
      </c>
      <c r="G370" s="26" t="s">
        <v>215</v>
      </c>
      <c r="H370" s="26"/>
      <c r="I370" s="26"/>
      <c r="J370" s="26">
        <v>1</v>
      </c>
      <c r="K370" s="26">
        <v>138</v>
      </c>
      <c r="L370" s="26" t="s">
        <v>28</v>
      </c>
      <c r="M370" s="27">
        <v>1170</v>
      </c>
      <c r="N370" s="28"/>
      <c r="O370" s="26" t="s">
        <v>29</v>
      </c>
      <c r="P370" s="29"/>
      <c r="Q370" s="6"/>
      <c r="R370" s="29"/>
      <c r="S370" s="10"/>
      <c r="T370" s="8"/>
    </row>
    <row r="371" spans="1:20" ht="15.75" customHeight="1" x14ac:dyDescent="0.35">
      <c r="A371" s="25" t="s">
        <v>495</v>
      </c>
      <c r="B371" s="25" t="s">
        <v>540</v>
      </c>
      <c r="C371" s="26">
        <v>103447</v>
      </c>
      <c r="D371" s="25" t="s">
        <v>553</v>
      </c>
      <c r="E371" s="25" t="s">
        <v>554</v>
      </c>
      <c r="F371" s="26" t="s">
        <v>555</v>
      </c>
      <c r="G371" s="26" t="s">
        <v>555</v>
      </c>
      <c r="H371" s="26"/>
      <c r="I371" s="26"/>
      <c r="J371" s="26">
        <v>1</v>
      </c>
      <c r="K371" s="26">
        <v>138</v>
      </c>
      <c r="L371" s="26" t="s">
        <v>28</v>
      </c>
      <c r="M371" s="27">
        <v>1195</v>
      </c>
      <c r="N371" s="28"/>
      <c r="O371" s="26" t="s">
        <v>29</v>
      </c>
      <c r="P371" s="29"/>
      <c r="Q371" s="6"/>
      <c r="R371" s="29"/>
      <c r="S371" s="10"/>
      <c r="T371" s="8"/>
    </row>
    <row r="372" spans="1:20" ht="15.75" customHeight="1" x14ac:dyDescent="0.35">
      <c r="A372" s="25" t="s">
        <v>495</v>
      </c>
      <c r="B372" s="25" t="s">
        <v>540</v>
      </c>
      <c r="C372" s="26">
        <v>103485</v>
      </c>
      <c r="D372" s="25" t="s">
        <v>556</v>
      </c>
      <c r="E372" s="25" t="s">
        <v>66</v>
      </c>
      <c r="F372" s="26" t="s">
        <v>491</v>
      </c>
      <c r="G372" s="26" t="s">
        <v>491</v>
      </c>
      <c r="H372" s="26"/>
      <c r="I372" s="26"/>
      <c r="J372" s="26">
        <v>1</v>
      </c>
      <c r="K372" s="26">
        <v>138</v>
      </c>
      <c r="L372" s="26" t="s">
        <v>28</v>
      </c>
      <c r="M372" s="27">
        <v>1188</v>
      </c>
      <c r="N372" s="28"/>
      <c r="O372" s="26" t="s">
        <v>29</v>
      </c>
      <c r="P372" s="29"/>
      <c r="Q372" s="6"/>
      <c r="R372" s="29"/>
      <c r="S372" s="10"/>
      <c r="T372" s="8"/>
    </row>
    <row r="373" spans="1:20" ht="15.75" customHeight="1" x14ac:dyDescent="0.35">
      <c r="A373" s="25" t="s">
        <v>495</v>
      </c>
      <c r="B373" s="25" t="s">
        <v>540</v>
      </c>
      <c r="C373" s="26">
        <v>103552</v>
      </c>
      <c r="D373" s="25" t="s">
        <v>557</v>
      </c>
      <c r="E373" s="25" t="s">
        <v>558</v>
      </c>
      <c r="F373" s="26" t="s">
        <v>215</v>
      </c>
      <c r="G373" s="26" t="s">
        <v>215</v>
      </c>
      <c r="H373" s="26"/>
      <c r="I373" s="26"/>
      <c r="J373" s="26">
        <v>1</v>
      </c>
      <c r="K373" s="26">
        <v>138</v>
      </c>
      <c r="L373" s="26" t="s">
        <v>28</v>
      </c>
      <c r="M373" s="27">
        <v>1176</v>
      </c>
      <c r="N373" s="28"/>
      <c r="O373" s="26" t="s">
        <v>29</v>
      </c>
      <c r="P373" s="29"/>
      <c r="Q373" s="6"/>
      <c r="R373" s="29"/>
      <c r="S373" s="10"/>
      <c r="T373" s="8"/>
    </row>
    <row r="374" spans="1:20" ht="15.75" customHeight="1" x14ac:dyDescent="0.35">
      <c r="A374" s="25" t="s">
        <v>495</v>
      </c>
      <c r="B374" s="25" t="s">
        <v>540</v>
      </c>
      <c r="C374" s="26">
        <v>103560</v>
      </c>
      <c r="D374" s="25" t="s">
        <v>559</v>
      </c>
      <c r="E374" s="25" t="s">
        <v>560</v>
      </c>
      <c r="F374" s="26" t="s">
        <v>215</v>
      </c>
      <c r="G374" s="26" t="s">
        <v>215</v>
      </c>
      <c r="H374" s="26"/>
      <c r="I374" s="26"/>
      <c r="J374" s="26">
        <v>1</v>
      </c>
      <c r="K374" s="26">
        <v>138</v>
      </c>
      <c r="L374" s="26" t="s">
        <v>28</v>
      </c>
      <c r="M374" s="27">
        <v>1177</v>
      </c>
      <c r="N374" s="28"/>
      <c r="O374" s="26" t="s">
        <v>29</v>
      </c>
      <c r="P374" s="29"/>
      <c r="Q374" s="6"/>
      <c r="R374" s="29"/>
      <c r="S374" s="10"/>
      <c r="T374" s="8"/>
    </row>
    <row r="375" spans="1:20" ht="15.75" customHeight="1" x14ac:dyDescent="0.35">
      <c r="A375" s="25" t="s">
        <v>495</v>
      </c>
      <c r="B375" s="25" t="s">
        <v>540</v>
      </c>
      <c r="C375" s="26">
        <v>103600</v>
      </c>
      <c r="D375" s="25" t="s">
        <v>561</v>
      </c>
      <c r="E375" s="25" t="s">
        <v>562</v>
      </c>
      <c r="F375" s="26" t="s">
        <v>555</v>
      </c>
      <c r="G375" s="26" t="s">
        <v>555</v>
      </c>
      <c r="H375" s="26"/>
      <c r="I375" s="26"/>
      <c r="J375" s="26">
        <v>1</v>
      </c>
      <c r="K375" s="26">
        <v>138</v>
      </c>
      <c r="L375" s="26" t="s">
        <v>28</v>
      </c>
      <c r="M375" s="27">
        <v>1193</v>
      </c>
      <c r="N375" s="28"/>
      <c r="O375" s="26" t="s">
        <v>29</v>
      </c>
      <c r="P375" s="29"/>
      <c r="Q375" s="6"/>
      <c r="R375" s="29"/>
      <c r="S375" s="10"/>
      <c r="T375" s="8"/>
    </row>
    <row r="376" spans="1:20" ht="15.75" customHeight="1" x14ac:dyDescent="0.35">
      <c r="A376" s="25" t="s">
        <v>495</v>
      </c>
      <c r="B376" s="25" t="s">
        <v>540</v>
      </c>
      <c r="C376" s="26">
        <v>103632</v>
      </c>
      <c r="D376" s="25" t="s">
        <v>563</v>
      </c>
      <c r="E376" s="25" t="s">
        <v>564</v>
      </c>
      <c r="F376" s="26" t="s">
        <v>90</v>
      </c>
      <c r="G376" s="26" t="s">
        <v>90</v>
      </c>
      <c r="H376" s="26"/>
      <c r="I376" s="26"/>
      <c r="J376" s="26">
        <v>1</v>
      </c>
      <c r="K376" s="26">
        <v>138</v>
      </c>
      <c r="L376" s="26" t="s">
        <v>28</v>
      </c>
      <c r="M376" s="27">
        <v>1182</v>
      </c>
      <c r="N376" s="28"/>
      <c r="O376" s="26" t="s">
        <v>29</v>
      </c>
      <c r="P376" s="29"/>
      <c r="Q376" s="6"/>
      <c r="R376" s="29"/>
      <c r="S376" s="10"/>
      <c r="T376" s="8"/>
    </row>
    <row r="377" spans="1:20" ht="15.75" customHeight="1" x14ac:dyDescent="0.35">
      <c r="A377" s="25" t="s">
        <v>495</v>
      </c>
      <c r="B377" s="25" t="s">
        <v>540</v>
      </c>
      <c r="C377" s="26">
        <v>103674</v>
      </c>
      <c r="D377" s="25" t="s">
        <v>565</v>
      </c>
      <c r="E377" s="25" t="s">
        <v>566</v>
      </c>
      <c r="F377" s="26" t="s">
        <v>491</v>
      </c>
      <c r="G377" s="26" t="s">
        <v>491</v>
      </c>
      <c r="H377" s="26"/>
      <c r="I377" s="26"/>
      <c r="J377" s="26">
        <v>1</v>
      </c>
      <c r="K377" s="26">
        <v>138</v>
      </c>
      <c r="L377" s="26" t="s">
        <v>28</v>
      </c>
      <c r="M377" s="27">
        <v>1187</v>
      </c>
      <c r="N377" s="28"/>
      <c r="O377" s="26" t="s">
        <v>29</v>
      </c>
      <c r="P377" s="29"/>
      <c r="Q377" s="6"/>
      <c r="R377" s="29"/>
      <c r="S377" s="10"/>
      <c r="T377" s="8"/>
    </row>
    <row r="378" spans="1:20" ht="15.75" customHeight="1" x14ac:dyDescent="0.35">
      <c r="A378" s="25" t="s">
        <v>495</v>
      </c>
      <c r="B378" s="25" t="s">
        <v>540</v>
      </c>
      <c r="C378" s="26">
        <v>103693</v>
      </c>
      <c r="D378" s="25" t="s">
        <v>567</v>
      </c>
      <c r="E378" s="25" t="s">
        <v>566</v>
      </c>
      <c r="F378" s="26" t="s">
        <v>491</v>
      </c>
      <c r="G378" s="26" t="s">
        <v>491</v>
      </c>
      <c r="H378" s="26"/>
      <c r="I378" s="26"/>
      <c r="J378" s="26">
        <v>1</v>
      </c>
      <c r="K378" s="26">
        <v>138</v>
      </c>
      <c r="L378" s="26" t="s">
        <v>28</v>
      </c>
      <c r="M378" s="27">
        <v>1192</v>
      </c>
      <c r="N378" s="28"/>
      <c r="O378" s="26" t="s">
        <v>29</v>
      </c>
      <c r="P378" s="29"/>
      <c r="Q378" s="6"/>
      <c r="R378" s="29"/>
      <c r="S378" s="10"/>
      <c r="T378" s="8"/>
    </row>
    <row r="379" spans="1:20" ht="15.75" customHeight="1" x14ac:dyDescent="0.35">
      <c r="A379" s="25" t="s">
        <v>495</v>
      </c>
      <c r="B379" s="25" t="s">
        <v>540</v>
      </c>
      <c r="C379" s="26">
        <v>103733</v>
      </c>
      <c r="D379" s="25" t="s">
        <v>568</v>
      </c>
      <c r="E379" s="25" t="s">
        <v>569</v>
      </c>
      <c r="F379" s="26" t="s">
        <v>90</v>
      </c>
      <c r="G379" s="26" t="s">
        <v>90</v>
      </c>
      <c r="H379" s="26"/>
      <c r="I379" s="26"/>
      <c r="J379" s="26">
        <v>1</v>
      </c>
      <c r="K379" s="26">
        <v>138</v>
      </c>
      <c r="L379" s="26" t="s">
        <v>28</v>
      </c>
      <c r="M379" s="27">
        <v>1180</v>
      </c>
      <c r="N379" s="28"/>
      <c r="O379" s="26" t="s">
        <v>29</v>
      </c>
      <c r="P379" s="29"/>
      <c r="Q379" s="6"/>
      <c r="R379" s="29"/>
      <c r="S379" s="10"/>
      <c r="T379" s="8"/>
    </row>
    <row r="380" spans="1:20" ht="15.75" customHeight="1" x14ac:dyDescent="0.35">
      <c r="A380" s="9" t="s">
        <v>495</v>
      </c>
      <c r="B380" s="25" t="s">
        <v>540</v>
      </c>
      <c r="C380" s="31">
        <v>103759</v>
      </c>
      <c r="D380" s="32" t="s">
        <v>570</v>
      </c>
      <c r="E380" s="32" t="s">
        <v>569</v>
      </c>
      <c r="F380" s="29">
        <v>2</v>
      </c>
      <c r="G380" s="33"/>
      <c r="H380" s="8">
        <v>1</v>
      </c>
      <c r="I380" s="8">
        <v>3</v>
      </c>
      <c r="J380" s="29"/>
      <c r="K380" s="10"/>
      <c r="L380" s="10"/>
      <c r="M380" s="11"/>
      <c r="N380" s="34">
        <v>219362.91</v>
      </c>
      <c r="O380" s="26" t="s">
        <v>29</v>
      </c>
      <c r="P380" s="29" t="s">
        <v>163</v>
      </c>
      <c r="Q380" s="6"/>
      <c r="R380" s="29"/>
      <c r="S380" s="10"/>
      <c r="T380" s="8">
        <v>1</v>
      </c>
    </row>
    <row r="381" spans="1:20" ht="15.75" customHeight="1" x14ac:dyDescent="0.35">
      <c r="A381" s="25" t="s">
        <v>495</v>
      </c>
      <c r="B381" s="25" t="s">
        <v>540</v>
      </c>
      <c r="C381" s="26">
        <v>103762</v>
      </c>
      <c r="D381" s="25" t="s">
        <v>571</v>
      </c>
      <c r="E381" s="25" t="s">
        <v>569</v>
      </c>
      <c r="F381" s="26" t="s">
        <v>90</v>
      </c>
      <c r="G381" s="26" t="s">
        <v>90</v>
      </c>
      <c r="H381" s="26"/>
      <c r="I381" s="26"/>
      <c r="J381" s="26">
        <v>1</v>
      </c>
      <c r="K381" s="26">
        <v>138</v>
      </c>
      <c r="L381" s="26" t="s">
        <v>28</v>
      </c>
      <c r="M381" s="27">
        <v>1185</v>
      </c>
      <c r="N381" s="28"/>
      <c r="O381" s="26" t="s">
        <v>29</v>
      </c>
      <c r="P381" s="29"/>
      <c r="Q381" s="6"/>
      <c r="R381" s="29"/>
      <c r="S381" s="10"/>
      <c r="T381" s="8"/>
    </row>
    <row r="382" spans="1:20" ht="15.75" customHeight="1" x14ac:dyDescent="0.35">
      <c r="A382" s="9" t="s">
        <v>495</v>
      </c>
      <c r="B382" s="25" t="s">
        <v>540</v>
      </c>
      <c r="C382" s="31">
        <v>103763</v>
      </c>
      <c r="D382" s="32" t="s">
        <v>572</v>
      </c>
      <c r="E382" s="32" t="s">
        <v>569</v>
      </c>
      <c r="F382" s="29">
        <v>2</v>
      </c>
      <c r="G382" s="33"/>
      <c r="H382" s="8">
        <v>1</v>
      </c>
      <c r="I382" s="8">
        <v>1</v>
      </c>
      <c r="J382" s="29"/>
      <c r="K382" s="10"/>
      <c r="L382" s="10"/>
      <c r="M382" s="11"/>
      <c r="N382" s="34">
        <v>129288.3</v>
      </c>
      <c r="O382" s="26" t="s">
        <v>29</v>
      </c>
      <c r="P382" s="29" t="s">
        <v>163</v>
      </c>
      <c r="Q382" s="6"/>
      <c r="R382" s="29"/>
      <c r="S382" s="10"/>
      <c r="T382" s="8">
        <v>1</v>
      </c>
    </row>
    <row r="383" spans="1:20" ht="15.75" customHeight="1" x14ac:dyDescent="0.35">
      <c r="A383" s="25" t="s">
        <v>495</v>
      </c>
      <c r="B383" s="25" t="s">
        <v>540</v>
      </c>
      <c r="C383" s="26">
        <v>103766</v>
      </c>
      <c r="D383" s="25" t="s">
        <v>573</v>
      </c>
      <c r="E383" s="25" t="s">
        <v>569</v>
      </c>
      <c r="F383" s="26" t="s">
        <v>90</v>
      </c>
      <c r="G383" s="26" t="s">
        <v>90</v>
      </c>
      <c r="H383" s="26"/>
      <c r="I383" s="26"/>
      <c r="J383" s="26">
        <v>1</v>
      </c>
      <c r="K383" s="26">
        <v>138</v>
      </c>
      <c r="L383" s="26" t="s">
        <v>28</v>
      </c>
      <c r="M383" s="27">
        <v>1183</v>
      </c>
      <c r="N383" s="28"/>
      <c r="O383" s="26" t="s">
        <v>29</v>
      </c>
      <c r="P383" s="29"/>
      <c r="Q383" s="6"/>
      <c r="R383" s="29"/>
      <c r="S383" s="10"/>
      <c r="T383" s="8"/>
    </row>
    <row r="384" spans="1:20" ht="15.75" customHeight="1" x14ac:dyDescent="0.35">
      <c r="A384" s="25" t="s">
        <v>495</v>
      </c>
      <c r="B384" s="25" t="s">
        <v>540</v>
      </c>
      <c r="C384" s="26">
        <v>103800</v>
      </c>
      <c r="D384" s="25" t="s">
        <v>574</v>
      </c>
      <c r="E384" s="25" t="s">
        <v>575</v>
      </c>
      <c r="F384" s="26" t="s">
        <v>215</v>
      </c>
      <c r="G384" s="26" t="s">
        <v>215</v>
      </c>
      <c r="H384" s="26"/>
      <c r="I384" s="26"/>
      <c r="J384" s="26">
        <v>1</v>
      </c>
      <c r="K384" s="26">
        <v>138</v>
      </c>
      <c r="L384" s="26" t="s">
        <v>28</v>
      </c>
      <c r="M384" s="27">
        <v>1173</v>
      </c>
      <c r="N384" s="28"/>
      <c r="O384" s="26" t="s">
        <v>29</v>
      </c>
      <c r="P384" s="29"/>
      <c r="Q384" s="6"/>
      <c r="R384" s="29"/>
      <c r="S384" s="10"/>
      <c r="T384" s="8"/>
    </row>
    <row r="385" spans="1:20" ht="15.75" customHeight="1" x14ac:dyDescent="0.35">
      <c r="A385" s="25" t="s">
        <v>495</v>
      </c>
      <c r="B385" s="25" t="s">
        <v>540</v>
      </c>
      <c r="C385" s="26">
        <v>155517</v>
      </c>
      <c r="D385" s="25" t="s">
        <v>576</v>
      </c>
      <c r="E385" s="25" t="s">
        <v>546</v>
      </c>
      <c r="F385" s="26" t="s">
        <v>90</v>
      </c>
      <c r="G385" s="26" t="s">
        <v>90</v>
      </c>
      <c r="H385" s="26"/>
      <c r="I385" s="26"/>
      <c r="J385" s="26">
        <v>1</v>
      </c>
      <c r="K385" s="26">
        <v>138</v>
      </c>
      <c r="L385" s="26" t="s">
        <v>28</v>
      </c>
      <c r="M385" s="27">
        <v>1179</v>
      </c>
      <c r="N385" s="28"/>
      <c r="O385" s="26" t="s">
        <v>29</v>
      </c>
      <c r="P385" s="29"/>
      <c r="Q385" s="6"/>
      <c r="R385" s="29"/>
      <c r="S385" s="10"/>
      <c r="T385" s="8"/>
    </row>
    <row r="386" spans="1:20" ht="15.75" customHeight="1" x14ac:dyDescent="0.35">
      <c r="A386" s="25" t="s">
        <v>495</v>
      </c>
      <c r="B386" s="25" t="s">
        <v>550</v>
      </c>
      <c r="C386" s="26">
        <v>155519</v>
      </c>
      <c r="D386" s="25" t="s">
        <v>577</v>
      </c>
      <c r="E386" s="25" t="s">
        <v>552</v>
      </c>
      <c r="F386" s="26" t="s">
        <v>215</v>
      </c>
      <c r="G386" s="26" t="s">
        <v>215</v>
      </c>
      <c r="H386" s="26"/>
      <c r="I386" s="26"/>
      <c r="J386" s="26">
        <v>1</v>
      </c>
      <c r="K386" s="26">
        <v>138</v>
      </c>
      <c r="L386" s="26" t="s">
        <v>28</v>
      </c>
      <c r="M386" s="27">
        <v>1171</v>
      </c>
      <c r="N386" s="28"/>
      <c r="O386" s="26" t="s">
        <v>29</v>
      </c>
      <c r="P386" s="29"/>
      <c r="Q386" s="6"/>
      <c r="R386" s="29"/>
      <c r="S386" s="10"/>
      <c r="T386" s="8"/>
    </row>
    <row r="387" spans="1:20" ht="15.75" customHeight="1" x14ac:dyDescent="0.35">
      <c r="A387" s="25" t="s">
        <v>495</v>
      </c>
      <c r="B387" s="25" t="s">
        <v>540</v>
      </c>
      <c r="C387" s="26">
        <v>155520</v>
      </c>
      <c r="D387" s="25" t="s">
        <v>578</v>
      </c>
      <c r="E387" s="25" t="s">
        <v>558</v>
      </c>
      <c r="F387" s="26" t="s">
        <v>215</v>
      </c>
      <c r="G387" s="26" t="s">
        <v>215</v>
      </c>
      <c r="H387" s="26"/>
      <c r="I387" s="26"/>
      <c r="J387" s="26">
        <v>1</v>
      </c>
      <c r="K387" s="26">
        <v>138</v>
      </c>
      <c r="L387" s="26" t="s">
        <v>28</v>
      </c>
      <c r="M387" s="27">
        <v>1174</v>
      </c>
      <c r="N387" s="28"/>
      <c r="O387" s="26" t="s">
        <v>29</v>
      </c>
      <c r="P387" s="29"/>
      <c r="Q387" s="6"/>
      <c r="R387" s="29"/>
      <c r="S387" s="10"/>
      <c r="T387" s="8"/>
    </row>
    <row r="388" spans="1:20" ht="15.75" customHeight="1" x14ac:dyDescent="0.35">
      <c r="A388" s="25" t="s">
        <v>495</v>
      </c>
      <c r="B388" s="25" t="s">
        <v>540</v>
      </c>
      <c r="C388" s="26">
        <v>155525</v>
      </c>
      <c r="D388" s="25" t="s">
        <v>579</v>
      </c>
      <c r="E388" s="25" t="s">
        <v>558</v>
      </c>
      <c r="F388" s="26" t="s">
        <v>215</v>
      </c>
      <c r="G388" s="26" t="s">
        <v>215</v>
      </c>
      <c r="H388" s="26"/>
      <c r="I388" s="26"/>
      <c r="J388" s="26">
        <v>1</v>
      </c>
      <c r="K388" s="26">
        <v>138</v>
      </c>
      <c r="L388" s="26" t="s">
        <v>28</v>
      </c>
      <c r="M388" s="27">
        <v>1175</v>
      </c>
      <c r="N388" s="28"/>
      <c r="O388" s="26" t="s">
        <v>29</v>
      </c>
      <c r="P388" s="29"/>
      <c r="Q388" s="6"/>
      <c r="R388" s="29"/>
      <c r="S388" s="10"/>
      <c r="T388" s="8"/>
    </row>
    <row r="389" spans="1:20" ht="15.75" customHeight="1" x14ac:dyDescent="0.35">
      <c r="A389" s="25" t="s">
        <v>495</v>
      </c>
      <c r="B389" s="25" t="s">
        <v>540</v>
      </c>
      <c r="C389" s="26">
        <v>155531</v>
      </c>
      <c r="D389" s="25" t="s">
        <v>580</v>
      </c>
      <c r="E389" s="25" t="s">
        <v>566</v>
      </c>
      <c r="F389" s="26" t="s">
        <v>491</v>
      </c>
      <c r="G389" s="26" t="s">
        <v>491</v>
      </c>
      <c r="H389" s="26"/>
      <c r="I389" s="26"/>
      <c r="J389" s="26">
        <v>1</v>
      </c>
      <c r="K389" s="26">
        <v>138</v>
      </c>
      <c r="L389" s="26" t="s">
        <v>28</v>
      </c>
      <c r="M389" s="27">
        <v>1189</v>
      </c>
      <c r="N389" s="28"/>
      <c r="O389" s="26" t="s">
        <v>29</v>
      </c>
      <c r="P389" s="29"/>
      <c r="Q389" s="6"/>
      <c r="R389" s="29"/>
      <c r="S389" s="10"/>
      <c r="T389" s="8"/>
    </row>
    <row r="390" spans="1:20" ht="15.75" customHeight="1" x14ac:dyDescent="0.35">
      <c r="A390" s="25" t="s">
        <v>495</v>
      </c>
      <c r="B390" s="25" t="s">
        <v>540</v>
      </c>
      <c r="C390" s="26">
        <v>300601</v>
      </c>
      <c r="D390" s="25" t="s">
        <v>581</v>
      </c>
      <c r="E390" s="25" t="s">
        <v>575</v>
      </c>
      <c r="F390" s="26" t="s">
        <v>215</v>
      </c>
      <c r="G390" s="26" t="s">
        <v>215</v>
      </c>
      <c r="H390" s="26"/>
      <c r="I390" s="26"/>
      <c r="J390" s="26">
        <v>1</v>
      </c>
      <c r="K390" s="26">
        <v>138</v>
      </c>
      <c r="L390" s="26" t="s">
        <v>28</v>
      </c>
      <c r="M390" s="27">
        <v>1178</v>
      </c>
      <c r="N390" s="28"/>
      <c r="O390" s="26" t="s">
        <v>29</v>
      </c>
      <c r="P390" s="29"/>
      <c r="Q390" s="6"/>
      <c r="R390" s="29"/>
      <c r="S390" s="10"/>
      <c r="T390" s="8"/>
    </row>
    <row r="391" spans="1:20" ht="15.75" customHeight="1" x14ac:dyDescent="0.35">
      <c r="A391" s="25" t="s">
        <v>495</v>
      </c>
      <c r="B391" s="25" t="s">
        <v>540</v>
      </c>
      <c r="C391" s="26">
        <v>306122</v>
      </c>
      <c r="D391" s="25" t="s">
        <v>582</v>
      </c>
      <c r="E391" s="25" t="s">
        <v>554</v>
      </c>
      <c r="F391" s="26" t="s">
        <v>555</v>
      </c>
      <c r="G391" s="26" t="s">
        <v>555</v>
      </c>
      <c r="H391" s="26"/>
      <c r="I391" s="26"/>
      <c r="J391" s="26">
        <v>1</v>
      </c>
      <c r="K391" s="26">
        <v>138</v>
      </c>
      <c r="L391" s="26" t="s">
        <v>28</v>
      </c>
      <c r="M391" s="27">
        <v>1194</v>
      </c>
      <c r="N391" s="28"/>
      <c r="O391" s="26" t="s">
        <v>29</v>
      </c>
      <c r="P391" s="29"/>
      <c r="Q391" s="6"/>
      <c r="R391" s="29"/>
      <c r="S391" s="10"/>
      <c r="T391" s="8"/>
    </row>
    <row r="392" spans="1:20" ht="15.75" customHeight="1" x14ac:dyDescent="0.35">
      <c r="A392" s="25" t="s">
        <v>495</v>
      </c>
      <c r="B392" s="25" t="s">
        <v>583</v>
      </c>
      <c r="C392" s="26">
        <v>103981</v>
      </c>
      <c r="D392" s="25" t="s">
        <v>584</v>
      </c>
      <c r="E392" s="25" t="s">
        <v>585</v>
      </c>
      <c r="F392" s="26" t="s">
        <v>27</v>
      </c>
      <c r="G392" s="26" t="s">
        <v>27</v>
      </c>
      <c r="H392" s="26"/>
      <c r="I392" s="26"/>
      <c r="J392" s="26">
        <v>1</v>
      </c>
      <c r="K392" s="26">
        <v>138</v>
      </c>
      <c r="L392" s="26" t="s">
        <v>28</v>
      </c>
      <c r="M392" s="27">
        <v>1197</v>
      </c>
      <c r="N392" s="28"/>
      <c r="O392" s="26" t="s">
        <v>29</v>
      </c>
      <c r="P392" s="29"/>
      <c r="Q392" s="6"/>
      <c r="R392" s="29"/>
      <c r="S392" s="10"/>
      <c r="T392" s="8"/>
    </row>
    <row r="393" spans="1:20" ht="15.75" customHeight="1" x14ac:dyDescent="0.35">
      <c r="A393" s="25" t="s">
        <v>495</v>
      </c>
      <c r="B393" s="25" t="s">
        <v>583</v>
      </c>
      <c r="C393" s="26">
        <v>103990</v>
      </c>
      <c r="D393" s="25" t="s">
        <v>586</v>
      </c>
      <c r="E393" s="25" t="s">
        <v>585</v>
      </c>
      <c r="F393" s="26" t="s">
        <v>27</v>
      </c>
      <c r="G393" s="26" t="s">
        <v>27</v>
      </c>
      <c r="H393" s="26">
        <v>1</v>
      </c>
      <c r="I393" s="26">
        <v>5</v>
      </c>
      <c r="J393" s="26">
        <v>1</v>
      </c>
      <c r="K393" s="26">
        <v>138</v>
      </c>
      <c r="L393" s="26" t="s">
        <v>28</v>
      </c>
      <c r="M393" s="27">
        <v>1201</v>
      </c>
      <c r="N393" s="28">
        <v>1201001.02</v>
      </c>
      <c r="O393" s="26" t="s">
        <v>29</v>
      </c>
      <c r="P393" s="29"/>
      <c r="Q393" s="6"/>
      <c r="R393" s="29"/>
      <c r="S393" s="10"/>
      <c r="T393" s="8">
        <v>1</v>
      </c>
    </row>
    <row r="394" spans="1:20" ht="15.75" customHeight="1" x14ac:dyDescent="0.35">
      <c r="A394" s="25" t="s">
        <v>495</v>
      </c>
      <c r="B394" s="25" t="s">
        <v>583</v>
      </c>
      <c r="C394" s="26">
        <v>104000</v>
      </c>
      <c r="D394" s="25" t="s">
        <v>587</v>
      </c>
      <c r="E394" s="25" t="s">
        <v>585</v>
      </c>
      <c r="F394" s="26" t="s">
        <v>27</v>
      </c>
      <c r="G394" s="26" t="s">
        <v>27</v>
      </c>
      <c r="H394" s="26">
        <v>1</v>
      </c>
      <c r="I394" s="26">
        <v>6</v>
      </c>
      <c r="J394" s="26">
        <v>1</v>
      </c>
      <c r="K394" s="26">
        <v>138</v>
      </c>
      <c r="L394" s="26" t="s">
        <v>28</v>
      </c>
      <c r="M394" s="27">
        <v>1211</v>
      </c>
      <c r="N394" s="28">
        <v>785827.01</v>
      </c>
      <c r="O394" s="26" t="s">
        <v>29</v>
      </c>
      <c r="P394" s="29"/>
      <c r="Q394" s="6"/>
      <c r="R394" s="29"/>
      <c r="S394" s="10"/>
      <c r="T394" s="8">
        <v>1</v>
      </c>
    </row>
    <row r="395" spans="1:20" ht="15.75" customHeight="1" x14ac:dyDescent="0.35">
      <c r="A395" s="25" t="s">
        <v>495</v>
      </c>
      <c r="B395" s="25" t="s">
        <v>583</v>
      </c>
      <c r="C395" s="26">
        <v>104001</v>
      </c>
      <c r="D395" s="25" t="s">
        <v>588</v>
      </c>
      <c r="E395" s="25" t="s">
        <v>585</v>
      </c>
      <c r="F395" s="26" t="s">
        <v>27</v>
      </c>
      <c r="G395" s="26" t="s">
        <v>27</v>
      </c>
      <c r="H395" s="26"/>
      <c r="I395" s="26"/>
      <c r="J395" s="26">
        <v>1</v>
      </c>
      <c r="K395" s="26">
        <v>138</v>
      </c>
      <c r="L395" s="26" t="s">
        <v>28</v>
      </c>
      <c r="M395" s="27">
        <v>1212</v>
      </c>
      <c r="N395" s="28"/>
      <c r="O395" s="26" t="s">
        <v>29</v>
      </c>
      <c r="P395" s="29"/>
      <c r="Q395" s="6"/>
      <c r="R395" s="29"/>
      <c r="S395" s="10"/>
      <c r="T395" s="8"/>
    </row>
    <row r="396" spans="1:20" ht="15.75" customHeight="1" x14ac:dyDescent="0.35">
      <c r="A396" s="25" t="s">
        <v>495</v>
      </c>
      <c r="B396" s="25" t="s">
        <v>583</v>
      </c>
      <c r="C396" s="26">
        <v>104043</v>
      </c>
      <c r="D396" s="25" t="s">
        <v>589</v>
      </c>
      <c r="E396" s="25" t="s">
        <v>590</v>
      </c>
      <c r="F396" s="26" t="s">
        <v>27</v>
      </c>
      <c r="G396" s="26" t="s">
        <v>27</v>
      </c>
      <c r="H396" s="26"/>
      <c r="I396" s="26"/>
      <c r="J396" s="26">
        <v>1</v>
      </c>
      <c r="K396" s="26">
        <v>138</v>
      </c>
      <c r="L396" s="26" t="s">
        <v>28</v>
      </c>
      <c r="M396" s="27">
        <v>1200</v>
      </c>
      <c r="N396" s="28"/>
      <c r="O396" s="26" t="s">
        <v>29</v>
      </c>
      <c r="P396" s="29"/>
      <c r="Q396" s="6"/>
      <c r="R396" s="29"/>
      <c r="S396" s="10"/>
      <c r="T396" s="8"/>
    </row>
    <row r="397" spans="1:20" ht="15.75" customHeight="1" x14ac:dyDescent="0.35">
      <c r="A397" s="25" t="s">
        <v>495</v>
      </c>
      <c r="B397" s="25" t="s">
        <v>583</v>
      </c>
      <c r="C397" s="26">
        <v>104098</v>
      </c>
      <c r="D397" s="25" t="s">
        <v>591</v>
      </c>
      <c r="E397" s="25" t="s">
        <v>592</v>
      </c>
      <c r="F397" s="26" t="s">
        <v>27</v>
      </c>
      <c r="G397" s="26" t="s">
        <v>27</v>
      </c>
      <c r="H397" s="26"/>
      <c r="I397" s="26"/>
      <c r="J397" s="26">
        <v>1</v>
      </c>
      <c r="K397" s="26">
        <v>138</v>
      </c>
      <c r="L397" s="26" t="s">
        <v>28</v>
      </c>
      <c r="M397" s="27">
        <v>1206</v>
      </c>
      <c r="N397" s="28"/>
      <c r="O397" s="26" t="s">
        <v>29</v>
      </c>
      <c r="P397" s="29"/>
      <c r="Q397" s="6"/>
      <c r="R397" s="29"/>
      <c r="S397" s="10"/>
      <c r="T397" s="8"/>
    </row>
    <row r="398" spans="1:20" ht="15.75" customHeight="1" x14ac:dyDescent="0.35">
      <c r="A398" s="25" t="s">
        <v>495</v>
      </c>
      <c r="B398" s="25" t="s">
        <v>583</v>
      </c>
      <c r="C398" s="26">
        <v>104102</v>
      </c>
      <c r="D398" s="25" t="s">
        <v>593</v>
      </c>
      <c r="E398" s="25" t="s">
        <v>592</v>
      </c>
      <c r="F398" s="26" t="s">
        <v>27</v>
      </c>
      <c r="G398" s="26" t="s">
        <v>27</v>
      </c>
      <c r="H398" s="26">
        <v>1</v>
      </c>
      <c r="I398" s="26">
        <v>4</v>
      </c>
      <c r="J398" s="26">
        <v>1</v>
      </c>
      <c r="K398" s="26">
        <v>138</v>
      </c>
      <c r="L398" s="26" t="s">
        <v>28</v>
      </c>
      <c r="M398" s="27">
        <v>1209</v>
      </c>
      <c r="N398" s="28">
        <v>784569.52</v>
      </c>
      <c r="O398" s="26" t="s">
        <v>29</v>
      </c>
      <c r="P398" s="29"/>
      <c r="Q398" s="6"/>
      <c r="R398" s="29"/>
      <c r="S398" s="10"/>
      <c r="T398" s="8">
        <v>1</v>
      </c>
    </row>
    <row r="399" spans="1:20" ht="15.75" customHeight="1" x14ac:dyDescent="0.35">
      <c r="A399" s="25" t="s">
        <v>495</v>
      </c>
      <c r="B399" s="25" t="s">
        <v>583</v>
      </c>
      <c r="C399" s="26">
        <v>104122</v>
      </c>
      <c r="D399" s="25" t="s">
        <v>594</v>
      </c>
      <c r="E399" s="25" t="s">
        <v>595</v>
      </c>
      <c r="F399" s="26" t="s">
        <v>27</v>
      </c>
      <c r="G399" s="26" t="s">
        <v>27</v>
      </c>
      <c r="H399" s="26">
        <v>1</v>
      </c>
      <c r="I399" s="26">
        <v>7</v>
      </c>
      <c r="J399" s="26">
        <v>1</v>
      </c>
      <c r="K399" s="26">
        <v>138</v>
      </c>
      <c r="L399" s="26" t="s">
        <v>28</v>
      </c>
      <c r="M399" s="27">
        <v>1199</v>
      </c>
      <c r="N399" s="28">
        <v>975474</v>
      </c>
      <c r="O399" s="26" t="s">
        <v>29</v>
      </c>
      <c r="P399" s="29"/>
      <c r="Q399" s="6"/>
      <c r="R399" s="29"/>
      <c r="S399" s="10"/>
      <c r="T399" s="8">
        <v>1</v>
      </c>
    </row>
    <row r="400" spans="1:20" ht="15.75" customHeight="1" x14ac:dyDescent="0.35">
      <c r="A400" s="25" t="s">
        <v>495</v>
      </c>
      <c r="B400" s="25" t="s">
        <v>583</v>
      </c>
      <c r="C400" s="26">
        <v>104131</v>
      </c>
      <c r="D400" s="25" t="s">
        <v>596</v>
      </c>
      <c r="E400" s="25" t="s">
        <v>595</v>
      </c>
      <c r="F400" s="26" t="s">
        <v>27</v>
      </c>
      <c r="G400" s="26" t="s">
        <v>27</v>
      </c>
      <c r="H400" s="26">
        <v>1</v>
      </c>
      <c r="I400" s="26">
        <v>14</v>
      </c>
      <c r="J400" s="26">
        <v>1</v>
      </c>
      <c r="K400" s="26">
        <v>138</v>
      </c>
      <c r="L400" s="26" t="s">
        <v>28</v>
      </c>
      <c r="M400" s="27">
        <v>1203</v>
      </c>
      <c r="N400" s="28">
        <v>1527697.58</v>
      </c>
      <c r="O400" s="26" t="s">
        <v>29</v>
      </c>
      <c r="P400" s="29"/>
      <c r="Q400" s="6"/>
      <c r="R400" s="29"/>
      <c r="S400" s="10"/>
      <c r="T400" s="8">
        <v>1</v>
      </c>
    </row>
    <row r="401" spans="1:20" ht="15.75" customHeight="1" x14ac:dyDescent="0.35">
      <c r="A401" s="25" t="s">
        <v>495</v>
      </c>
      <c r="B401" s="25" t="s">
        <v>583</v>
      </c>
      <c r="C401" s="26">
        <v>104137</v>
      </c>
      <c r="D401" s="25" t="s">
        <v>597</v>
      </c>
      <c r="E401" s="25" t="s">
        <v>595</v>
      </c>
      <c r="F401" s="26" t="s">
        <v>27</v>
      </c>
      <c r="G401" s="26" t="s">
        <v>27</v>
      </c>
      <c r="H401" s="26">
        <v>1</v>
      </c>
      <c r="I401" s="26">
        <v>8</v>
      </c>
      <c r="J401" s="26">
        <v>1</v>
      </c>
      <c r="K401" s="26">
        <v>138</v>
      </c>
      <c r="L401" s="26" t="s">
        <v>28</v>
      </c>
      <c r="M401" s="27">
        <v>1205</v>
      </c>
      <c r="N401" s="30">
        <v>1419459.81</v>
      </c>
      <c r="O401" s="26" t="s">
        <v>29</v>
      </c>
      <c r="P401" s="29"/>
      <c r="Q401" s="6"/>
      <c r="R401" s="29"/>
      <c r="S401" s="10"/>
      <c r="T401" s="8">
        <v>1</v>
      </c>
    </row>
    <row r="402" spans="1:20" ht="15.75" customHeight="1" x14ac:dyDescent="0.35">
      <c r="A402" s="25" t="s">
        <v>495</v>
      </c>
      <c r="B402" s="25" t="s">
        <v>583</v>
      </c>
      <c r="C402" s="26">
        <v>104197</v>
      </c>
      <c r="D402" s="25" t="s">
        <v>598</v>
      </c>
      <c r="E402" s="25" t="s">
        <v>599</v>
      </c>
      <c r="F402" s="26" t="s">
        <v>27</v>
      </c>
      <c r="G402" s="26" t="s">
        <v>27</v>
      </c>
      <c r="H402" s="26">
        <v>1</v>
      </c>
      <c r="I402" s="26">
        <v>7</v>
      </c>
      <c r="J402" s="26">
        <v>1</v>
      </c>
      <c r="K402" s="26">
        <v>138</v>
      </c>
      <c r="L402" s="26" t="s">
        <v>28</v>
      </c>
      <c r="M402" s="27">
        <v>1198</v>
      </c>
      <c r="N402" s="30">
        <v>1260159.6599999999</v>
      </c>
      <c r="O402" s="26" t="s">
        <v>29</v>
      </c>
      <c r="P402" s="29"/>
      <c r="Q402" s="6"/>
      <c r="R402" s="29"/>
      <c r="S402" s="10"/>
      <c r="T402" s="8">
        <v>1</v>
      </c>
    </row>
    <row r="403" spans="1:20" ht="15.75" customHeight="1" x14ac:dyDescent="0.35">
      <c r="A403" s="25" t="s">
        <v>495</v>
      </c>
      <c r="B403" s="25" t="s">
        <v>583</v>
      </c>
      <c r="C403" s="26">
        <v>104205</v>
      </c>
      <c r="D403" s="25" t="s">
        <v>600</v>
      </c>
      <c r="E403" s="25" t="s">
        <v>601</v>
      </c>
      <c r="F403" s="26" t="s">
        <v>27</v>
      </c>
      <c r="G403" s="26" t="s">
        <v>27</v>
      </c>
      <c r="H403" s="26">
        <v>1</v>
      </c>
      <c r="I403" s="26">
        <v>6</v>
      </c>
      <c r="J403" s="26">
        <v>1</v>
      </c>
      <c r="K403" s="26">
        <v>138</v>
      </c>
      <c r="L403" s="26" t="s">
        <v>28</v>
      </c>
      <c r="M403" s="27">
        <v>1204</v>
      </c>
      <c r="N403" s="30">
        <v>1076701.55</v>
      </c>
      <c r="O403" s="26" t="s">
        <v>29</v>
      </c>
      <c r="P403" s="29"/>
      <c r="Q403" s="6"/>
      <c r="R403" s="29"/>
      <c r="S403" s="10"/>
      <c r="T403" s="8">
        <v>1</v>
      </c>
    </row>
    <row r="404" spans="1:20" ht="15.75" customHeight="1" x14ac:dyDescent="0.35">
      <c r="A404" s="25" t="s">
        <v>495</v>
      </c>
      <c r="B404" s="25" t="s">
        <v>583</v>
      </c>
      <c r="C404" s="26">
        <v>156001</v>
      </c>
      <c r="D404" s="25" t="s">
        <v>602</v>
      </c>
      <c r="E404" s="25" t="s">
        <v>595</v>
      </c>
      <c r="F404" s="26" t="s">
        <v>27</v>
      </c>
      <c r="G404" s="26" t="s">
        <v>27</v>
      </c>
      <c r="H404" s="26">
        <v>1</v>
      </c>
      <c r="I404" s="26">
        <v>2</v>
      </c>
      <c r="J404" s="26">
        <v>1</v>
      </c>
      <c r="K404" s="26">
        <v>138</v>
      </c>
      <c r="L404" s="26" t="s">
        <v>28</v>
      </c>
      <c r="M404" s="27">
        <v>1210</v>
      </c>
      <c r="N404" s="28">
        <v>473808.36</v>
      </c>
      <c r="O404" s="26" t="s">
        <v>29</v>
      </c>
      <c r="P404" s="29"/>
      <c r="Q404" s="6"/>
      <c r="R404" s="29"/>
      <c r="S404" s="10"/>
      <c r="T404" s="8">
        <v>1</v>
      </c>
    </row>
    <row r="405" spans="1:20" ht="15.75" customHeight="1" x14ac:dyDescent="0.35">
      <c r="A405" s="25" t="s">
        <v>495</v>
      </c>
      <c r="B405" s="25" t="s">
        <v>583</v>
      </c>
      <c r="C405" s="26">
        <v>156012</v>
      </c>
      <c r="D405" s="25" t="s">
        <v>603</v>
      </c>
      <c r="E405" s="25" t="s">
        <v>604</v>
      </c>
      <c r="F405" s="26" t="s">
        <v>27</v>
      </c>
      <c r="G405" s="26" t="s">
        <v>27</v>
      </c>
      <c r="H405" s="26">
        <v>1</v>
      </c>
      <c r="I405" s="26">
        <v>6</v>
      </c>
      <c r="J405" s="26">
        <v>1</v>
      </c>
      <c r="K405" s="26">
        <v>138</v>
      </c>
      <c r="L405" s="26" t="s">
        <v>28</v>
      </c>
      <c r="M405" s="27">
        <v>1202</v>
      </c>
      <c r="N405" s="28">
        <v>1154735.28</v>
      </c>
      <c r="O405" s="26" t="s">
        <v>29</v>
      </c>
      <c r="P405" s="29"/>
      <c r="Q405" s="6"/>
      <c r="R405" s="29"/>
      <c r="S405" s="10"/>
      <c r="T405" s="8">
        <v>1</v>
      </c>
    </row>
    <row r="406" spans="1:20" ht="15.75" customHeight="1" x14ac:dyDescent="0.35">
      <c r="A406" s="25" t="s">
        <v>495</v>
      </c>
      <c r="B406" s="25" t="s">
        <v>583</v>
      </c>
      <c r="C406" s="26">
        <v>156015</v>
      </c>
      <c r="D406" s="25" t="s">
        <v>605</v>
      </c>
      <c r="E406" s="25" t="s">
        <v>601</v>
      </c>
      <c r="F406" s="26" t="s">
        <v>27</v>
      </c>
      <c r="G406" s="26" t="s">
        <v>27</v>
      </c>
      <c r="H406" s="26"/>
      <c r="I406" s="26"/>
      <c r="J406" s="26">
        <v>1</v>
      </c>
      <c r="K406" s="26">
        <v>138</v>
      </c>
      <c r="L406" s="26" t="s">
        <v>28</v>
      </c>
      <c r="M406" s="27">
        <v>1196</v>
      </c>
      <c r="N406" s="28"/>
      <c r="O406" s="26" t="s">
        <v>29</v>
      </c>
      <c r="P406" s="29"/>
      <c r="Q406" s="6"/>
      <c r="R406" s="29"/>
      <c r="S406" s="10"/>
      <c r="T406" s="8"/>
    </row>
    <row r="407" spans="1:20" ht="15.75" customHeight="1" x14ac:dyDescent="0.35">
      <c r="A407" s="25" t="s">
        <v>495</v>
      </c>
      <c r="B407" s="25" t="s">
        <v>583</v>
      </c>
      <c r="C407" s="26">
        <v>156019</v>
      </c>
      <c r="D407" s="25" t="s">
        <v>606</v>
      </c>
      <c r="E407" s="25" t="s">
        <v>607</v>
      </c>
      <c r="F407" s="26" t="s">
        <v>27</v>
      </c>
      <c r="G407" s="26" t="s">
        <v>27</v>
      </c>
      <c r="H407" s="26">
        <v>1</v>
      </c>
      <c r="I407" s="26">
        <v>4</v>
      </c>
      <c r="J407" s="26">
        <v>1</v>
      </c>
      <c r="K407" s="26">
        <v>138</v>
      </c>
      <c r="L407" s="26" t="s">
        <v>28</v>
      </c>
      <c r="M407" s="27">
        <v>1208</v>
      </c>
      <c r="N407" s="28">
        <v>660613.19999999995</v>
      </c>
      <c r="O407" s="26" t="s">
        <v>29</v>
      </c>
      <c r="P407" s="29"/>
      <c r="Q407" s="6"/>
      <c r="R407" s="29"/>
      <c r="S407" s="10"/>
      <c r="T407" s="8">
        <v>1</v>
      </c>
    </row>
    <row r="408" spans="1:20" ht="15.75" customHeight="1" x14ac:dyDescent="0.35">
      <c r="A408" s="25" t="s">
        <v>495</v>
      </c>
      <c r="B408" s="25" t="s">
        <v>583</v>
      </c>
      <c r="C408" s="26">
        <v>156020</v>
      </c>
      <c r="D408" s="25" t="s">
        <v>608</v>
      </c>
      <c r="E408" s="25" t="s">
        <v>601</v>
      </c>
      <c r="F408" s="26" t="s">
        <v>27</v>
      </c>
      <c r="G408" s="26" t="s">
        <v>27</v>
      </c>
      <c r="H408" s="26">
        <v>1</v>
      </c>
      <c r="I408" s="26">
        <v>4</v>
      </c>
      <c r="J408" s="26">
        <v>1</v>
      </c>
      <c r="K408" s="26">
        <v>138</v>
      </c>
      <c r="L408" s="26" t="s">
        <v>28</v>
      </c>
      <c r="M408" s="27">
        <v>1207</v>
      </c>
      <c r="N408" s="28">
        <v>412734.71</v>
      </c>
      <c r="O408" s="26" t="s">
        <v>29</v>
      </c>
      <c r="P408" s="29"/>
      <c r="Q408" s="6"/>
      <c r="R408" s="29"/>
      <c r="S408" s="10"/>
      <c r="T408" s="8">
        <v>1</v>
      </c>
    </row>
    <row r="409" spans="1:20" ht="15.75" customHeight="1" x14ac:dyDescent="0.35">
      <c r="A409" s="25" t="s">
        <v>495</v>
      </c>
      <c r="B409" s="25" t="s">
        <v>609</v>
      </c>
      <c r="C409" s="26">
        <v>104228</v>
      </c>
      <c r="D409" s="25" t="s">
        <v>610</v>
      </c>
      <c r="E409" s="25" t="s">
        <v>611</v>
      </c>
      <c r="F409" s="26" t="s">
        <v>27</v>
      </c>
      <c r="G409" s="26" t="s">
        <v>27</v>
      </c>
      <c r="H409" s="26"/>
      <c r="I409" s="26"/>
      <c r="J409" s="26">
        <v>1</v>
      </c>
      <c r="K409" s="26">
        <v>138</v>
      </c>
      <c r="L409" s="26" t="s">
        <v>28</v>
      </c>
      <c r="M409" s="27">
        <v>1214</v>
      </c>
      <c r="N409" s="28"/>
      <c r="O409" s="26" t="s">
        <v>29</v>
      </c>
      <c r="P409" s="29"/>
      <c r="Q409" s="6"/>
      <c r="R409" s="29"/>
      <c r="S409" s="10"/>
      <c r="T409" s="8"/>
    </row>
    <row r="410" spans="1:20" ht="15.75" customHeight="1" x14ac:dyDescent="0.35">
      <c r="A410" s="25" t="s">
        <v>495</v>
      </c>
      <c r="B410" s="25" t="s">
        <v>609</v>
      </c>
      <c r="C410" s="26">
        <v>104234</v>
      </c>
      <c r="D410" s="25" t="s">
        <v>612</v>
      </c>
      <c r="E410" s="25" t="s">
        <v>611</v>
      </c>
      <c r="F410" s="26" t="s">
        <v>27</v>
      </c>
      <c r="G410" s="26" t="s">
        <v>27</v>
      </c>
      <c r="H410" s="26"/>
      <c r="I410" s="26"/>
      <c r="J410" s="26">
        <v>1</v>
      </c>
      <c r="K410" s="26">
        <v>138</v>
      </c>
      <c r="L410" s="26" t="s">
        <v>28</v>
      </c>
      <c r="M410" s="27">
        <v>1221</v>
      </c>
      <c r="N410" s="28"/>
      <c r="O410" s="26" t="s">
        <v>29</v>
      </c>
      <c r="P410" s="29"/>
      <c r="Q410" s="6"/>
      <c r="R410" s="29"/>
      <c r="S410" s="10"/>
      <c r="T410" s="8"/>
    </row>
    <row r="411" spans="1:20" ht="15.75" customHeight="1" x14ac:dyDescent="0.35">
      <c r="A411" s="25" t="s">
        <v>495</v>
      </c>
      <c r="B411" s="25" t="s">
        <v>609</v>
      </c>
      <c r="C411" s="26">
        <v>104310</v>
      </c>
      <c r="D411" s="25" t="s">
        <v>613</v>
      </c>
      <c r="E411" s="25" t="s">
        <v>614</v>
      </c>
      <c r="F411" s="26" t="s">
        <v>27</v>
      </c>
      <c r="G411" s="26" t="s">
        <v>27</v>
      </c>
      <c r="H411" s="26"/>
      <c r="I411" s="26"/>
      <c r="J411" s="26">
        <v>1</v>
      </c>
      <c r="K411" s="26">
        <v>138</v>
      </c>
      <c r="L411" s="26" t="s">
        <v>28</v>
      </c>
      <c r="M411" s="27">
        <v>1222</v>
      </c>
      <c r="N411" s="28"/>
      <c r="O411" s="26" t="s">
        <v>29</v>
      </c>
      <c r="P411" s="29"/>
      <c r="Q411" s="6"/>
      <c r="R411" s="29"/>
      <c r="S411" s="10"/>
      <c r="T411" s="8"/>
    </row>
    <row r="412" spans="1:20" ht="15.75" customHeight="1" x14ac:dyDescent="0.35">
      <c r="A412" s="25" t="s">
        <v>495</v>
      </c>
      <c r="B412" s="25" t="s">
        <v>609</v>
      </c>
      <c r="C412" s="26">
        <v>104311</v>
      </c>
      <c r="D412" s="25" t="s">
        <v>615</v>
      </c>
      <c r="E412" s="25" t="s">
        <v>614</v>
      </c>
      <c r="F412" s="26" t="s">
        <v>27</v>
      </c>
      <c r="G412" s="26" t="s">
        <v>27</v>
      </c>
      <c r="H412" s="26">
        <v>1</v>
      </c>
      <c r="I412" s="26">
        <v>2</v>
      </c>
      <c r="J412" s="26">
        <v>1</v>
      </c>
      <c r="K412" s="26">
        <v>138</v>
      </c>
      <c r="L412" s="26" t="s">
        <v>28</v>
      </c>
      <c r="M412" s="27">
        <v>1223</v>
      </c>
      <c r="N412" s="28">
        <v>181750.86</v>
      </c>
      <c r="O412" s="26" t="s">
        <v>29</v>
      </c>
      <c r="P412" s="29"/>
      <c r="Q412" s="6"/>
      <c r="R412" s="29"/>
      <c r="S412" s="10"/>
      <c r="T412" s="8">
        <v>1</v>
      </c>
    </row>
    <row r="413" spans="1:20" ht="15.75" customHeight="1" x14ac:dyDescent="0.35">
      <c r="A413" s="25" t="s">
        <v>495</v>
      </c>
      <c r="B413" s="25" t="s">
        <v>609</v>
      </c>
      <c r="C413" s="26">
        <v>104349</v>
      </c>
      <c r="D413" s="25" t="s">
        <v>616</v>
      </c>
      <c r="E413" s="25" t="s">
        <v>617</v>
      </c>
      <c r="F413" s="26" t="s">
        <v>27</v>
      </c>
      <c r="G413" s="26" t="s">
        <v>27</v>
      </c>
      <c r="H413" s="26"/>
      <c r="I413" s="26"/>
      <c r="J413" s="26">
        <v>1</v>
      </c>
      <c r="K413" s="26">
        <v>138</v>
      </c>
      <c r="L413" s="26" t="s">
        <v>28</v>
      </c>
      <c r="M413" s="27">
        <v>1215</v>
      </c>
      <c r="N413" s="28"/>
      <c r="O413" s="26" t="s">
        <v>29</v>
      </c>
      <c r="P413" s="29"/>
      <c r="Q413" s="6"/>
      <c r="R413" s="29"/>
      <c r="S413" s="10"/>
      <c r="T413" s="8"/>
    </row>
    <row r="414" spans="1:20" ht="15.75" customHeight="1" x14ac:dyDescent="0.35">
      <c r="A414" s="25" t="s">
        <v>495</v>
      </c>
      <c r="B414" s="25" t="s">
        <v>609</v>
      </c>
      <c r="C414" s="26">
        <v>104355</v>
      </c>
      <c r="D414" s="25" t="s">
        <v>618</v>
      </c>
      <c r="E414" s="25" t="s">
        <v>617</v>
      </c>
      <c r="F414" s="26" t="s">
        <v>27</v>
      </c>
      <c r="G414" s="26" t="s">
        <v>27</v>
      </c>
      <c r="H414" s="26"/>
      <c r="I414" s="26"/>
      <c r="J414" s="26">
        <v>1</v>
      </c>
      <c r="K414" s="26">
        <v>138</v>
      </c>
      <c r="L414" s="26" t="s">
        <v>28</v>
      </c>
      <c r="M414" s="27">
        <v>1219</v>
      </c>
      <c r="N414" s="28"/>
      <c r="O414" s="26" t="s">
        <v>29</v>
      </c>
      <c r="P414" s="29"/>
      <c r="Q414" s="6"/>
      <c r="R414" s="29"/>
      <c r="S414" s="10"/>
      <c r="T414" s="8"/>
    </row>
    <row r="415" spans="1:20" ht="15.75" customHeight="1" x14ac:dyDescent="0.35">
      <c r="A415" s="25" t="s">
        <v>495</v>
      </c>
      <c r="B415" s="25" t="s">
        <v>609</v>
      </c>
      <c r="C415" s="26">
        <v>104359</v>
      </c>
      <c r="D415" s="25" t="s">
        <v>619</v>
      </c>
      <c r="E415" s="25" t="s">
        <v>617</v>
      </c>
      <c r="F415" s="26" t="s">
        <v>27</v>
      </c>
      <c r="G415" s="26" t="s">
        <v>27</v>
      </c>
      <c r="H415" s="26">
        <v>1</v>
      </c>
      <c r="I415" s="26">
        <v>3</v>
      </c>
      <c r="J415" s="26">
        <v>1</v>
      </c>
      <c r="K415" s="26">
        <v>138</v>
      </c>
      <c r="L415" s="26" t="s">
        <v>28</v>
      </c>
      <c r="M415" s="27">
        <v>1220</v>
      </c>
      <c r="N415" s="28">
        <v>286571.15999999997</v>
      </c>
      <c r="O415" s="26" t="s">
        <v>29</v>
      </c>
      <c r="P415" s="29"/>
      <c r="Q415" s="6"/>
      <c r="R415" s="29"/>
      <c r="S415" s="10"/>
      <c r="T415" s="8">
        <v>1</v>
      </c>
    </row>
    <row r="416" spans="1:20" ht="15.75" customHeight="1" x14ac:dyDescent="0.35">
      <c r="A416" s="25" t="s">
        <v>495</v>
      </c>
      <c r="B416" s="25" t="s">
        <v>609</v>
      </c>
      <c r="C416" s="26">
        <v>104368</v>
      </c>
      <c r="D416" s="25" t="s">
        <v>620</v>
      </c>
      <c r="E416" s="25" t="s">
        <v>617</v>
      </c>
      <c r="F416" s="26" t="s">
        <v>27</v>
      </c>
      <c r="G416" s="26" t="s">
        <v>27</v>
      </c>
      <c r="H416" s="26"/>
      <c r="I416" s="26"/>
      <c r="J416" s="26">
        <v>1</v>
      </c>
      <c r="K416" s="26">
        <v>138</v>
      </c>
      <c r="L416" s="26" t="s">
        <v>28</v>
      </c>
      <c r="M416" s="27">
        <v>1227</v>
      </c>
      <c r="N416" s="28"/>
      <c r="O416" s="26" t="s">
        <v>29</v>
      </c>
      <c r="P416" s="29"/>
      <c r="Q416" s="6"/>
      <c r="R416" s="29"/>
      <c r="S416" s="10"/>
      <c r="T416" s="8"/>
    </row>
    <row r="417" spans="1:20" ht="15.75" customHeight="1" x14ac:dyDescent="0.35">
      <c r="A417" s="25" t="s">
        <v>495</v>
      </c>
      <c r="B417" s="25" t="s">
        <v>609</v>
      </c>
      <c r="C417" s="26">
        <v>104370</v>
      </c>
      <c r="D417" s="25" t="s">
        <v>621</v>
      </c>
      <c r="E417" s="25" t="s">
        <v>617</v>
      </c>
      <c r="F417" s="26" t="s">
        <v>27</v>
      </c>
      <c r="G417" s="26" t="s">
        <v>27</v>
      </c>
      <c r="H417" s="26"/>
      <c r="I417" s="26"/>
      <c r="J417" s="26">
        <v>1</v>
      </c>
      <c r="K417" s="26">
        <v>138</v>
      </c>
      <c r="L417" s="26" t="s">
        <v>28</v>
      </c>
      <c r="M417" s="27">
        <v>1228</v>
      </c>
      <c r="N417" s="28"/>
      <c r="O417" s="26" t="s">
        <v>29</v>
      </c>
      <c r="P417" s="29"/>
      <c r="Q417" s="6"/>
      <c r="R417" s="29"/>
      <c r="S417" s="10"/>
      <c r="T417" s="8"/>
    </row>
    <row r="418" spans="1:20" ht="15.75" customHeight="1" x14ac:dyDescent="0.35">
      <c r="A418" s="25" t="s">
        <v>495</v>
      </c>
      <c r="B418" s="25" t="s">
        <v>609</v>
      </c>
      <c r="C418" s="26">
        <v>156501</v>
      </c>
      <c r="D418" s="25" t="s">
        <v>622</v>
      </c>
      <c r="E418" s="25" t="s">
        <v>611</v>
      </c>
      <c r="F418" s="26" t="s">
        <v>27</v>
      </c>
      <c r="G418" s="26" t="s">
        <v>27</v>
      </c>
      <c r="H418" s="26"/>
      <c r="I418" s="26"/>
      <c r="J418" s="26">
        <v>1</v>
      </c>
      <c r="K418" s="26">
        <v>138</v>
      </c>
      <c r="L418" s="26" t="s">
        <v>28</v>
      </c>
      <c r="M418" s="27">
        <v>1224</v>
      </c>
      <c r="N418" s="28"/>
      <c r="O418" s="26" t="s">
        <v>29</v>
      </c>
      <c r="P418" s="29"/>
      <c r="Q418" s="6"/>
      <c r="R418" s="29"/>
      <c r="S418" s="10"/>
      <c r="T418" s="8"/>
    </row>
    <row r="419" spans="1:20" ht="15.75" customHeight="1" x14ac:dyDescent="0.35">
      <c r="A419" s="25" t="s">
        <v>495</v>
      </c>
      <c r="B419" s="25" t="s">
        <v>609</v>
      </c>
      <c r="C419" s="26">
        <v>156510</v>
      </c>
      <c r="D419" s="25" t="s">
        <v>623</v>
      </c>
      <c r="E419" s="25" t="s">
        <v>617</v>
      </c>
      <c r="F419" s="26" t="s">
        <v>27</v>
      </c>
      <c r="G419" s="26" t="s">
        <v>27</v>
      </c>
      <c r="H419" s="26"/>
      <c r="I419" s="26"/>
      <c r="J419" s="26">
        <v>1</v>
      </c>
      <c r="K419" s="26">
        <v>138</v>
      </c>
      <c r="L419" s="26" t="s">
        <v>28</v>
      </c>
      <c r="M419" s="27">
        <v>1216</v>
      </c>
      <c r="N419" s="28"/>
      <c r="O419" s="26" t="s">
        <v>29</v>
      </c>
      <c r="P419" s="29"/>
      <c r="Q419" s="6"/>
      <c r="R419" s="29"/>
      <c r="S419" s="10"/>
      <c r="T419" s="8"/>
    </row>
    <row r="420" spans="1:20" ht="15.75" customHeight="1" x14ac:dyDescent="0.35">
      <c r="A420" s="25" t="s">
        <v>495</v>
      </c>
      <c r="B420" s="25" t="s">
        <v>609</v>
      </c>
      <c r="C420" s="26">
        <v>156511</v>
      </c>
      <c r="D420" s="25" t="s">
        <v>624</v>
      </c>
      <c r="E420" s="25" t="s">
        <v>617</v>
      </c>
      <c r="F420" s="26" t="s">
        <v>27</v>
      </c>
      <c r="G420" s="26" t="s">
        <v>27</v>
      </c>
      <c r="H420" s="26"/>
      <c r="I420" s="26"/>
      <c r="J420" s="26">
        <v>1</v>
      </c>
      <c r="K420" s="26">
        <v>138</v>
      </c>
      <c r="L420" s="26" t="s">
        <v>28</v>
      </c>
      <c r="M420" s="27">
        <v>1218</v>
      </c>
      <c r="N420" s="28"/>
      <c r="O420" s="26" t="s">
        <v>29</v>
      </c>
      <c r="P420" s="29"/>
      <c r="Q420" s="6"/>
      <c r="R420" s="29"/>
      <c r="S420" s="10"/>
      <c r="T420" s="8"/>
    </row>
    <row r="421" spans="1:20" ht="15.75" customHeight="1" x14ac:dyDescent="0.35">
      <c r="A421" s="25" t="s">
        <v>495</v>
      </c>
      <c r="B421" s="25" t="s">
        <v>609</v>
      </c>
      <c r="C421" s="26">
        <v>156512</v>
      </c>
      <c r="D421" s="25" t="s">
        <v>625</v>
      </c>
      <c r="E421" s="25" t="s">
        <v>617</v>
      </c>
      <c r="F421" s="26" t="s">
        <v>27</v>
      </c>
      <c r="G421" s="26" t="s">
        <v>27</v>
      </c>
      <c r="H421" s="26"/>
      <c r="I421" s="26"/>
      <c r="J421" s="26">
        <v>1</v>
      </c>
      <c r="K421" s="26">
        <v>138</v>
      </c>
      <c r="L421" s="26" t="s">
        <v>28</v>
      </c>
      <c r="M421" s="27">
        <v>1226</v>
      </c>
      <c r="N421" s="28"/>
      <c r="O421" s="26" t="s">
        <v>29</v>
      </c>
      <c r="P421" s="29"/>
      <c r="Q421" s="6"/>
      <c r="R421" s="29"/>
      <c r="S421" s="10"/>
      <c r="T421" s="8"/>
    </row>
    <row r="422" spans="1:20" ht="15.75" customHeight="1" x14ac:dyDescent="0.35">
      <c r="A422" s="25" t="s">
        <v>495</v>
      </c>
      <c r="B422" s="25" t="s">
        <v>609</v>
      </c>
      <c r="C422" s="26">
        <v>156513</v>
      </c>
      <c r="D422" s="25" t="s">
        <v>626</v>
      </c>
      <c r="E422" s="25" t="s">
        <v>611</v>
      </c>
      <c r="F422" s="26" t="s">
        <v>27</v>
      </c>
      <c r="G422" s="26" t="s">
        <v>27</v>
      </c>
      <c r="H422" s="26">
        <v>1</v>
      </c>
      <c r="I422" s="26">
        <v>2</v>
      </c>
      <c r="J422" s="26">
        <v>1</v>
      </c>
      <c r="K422" s="26">
        <v>138</v>
      </c>
      <c r="L422" s="26" t="s">
        <v>28</v>
      </c>
      <c r="M422" s="27">
        <v>1217</v>
      </c>
      <c r="N422" s="28">
        <v>199320.9</v>
      </c>
      <c r="O422" s="26" t="s">
        <v>29</v>
      </c>
      <c r="P422" s="29"/>
      <c r="Q422" s="6"/>
      <c r="R422" s="29"/>
      <c r="S422" s="10"/>
      <c r="T422" s="8">
        <v>1</v>
      </c>
    </row>
    <row r="423" spans="1:20" ht="15.75" customHeight="1" x14ac:dyDescent="0.35">
      <c r="A423" s="25" t="s">
        <v>495</v>
      </c>
      <c r="B423" s="25" t="s">
        <v>609</v>
      </c>
      <c r="C423" s="26">
        <v>156516</v>
      </c>
      <c r="D423" s="25" t="s">
        <v>627</v>
      </c>
      <c r="E423" s="25" t="s">
        <v>628</v>
      </c>
      <c r="F423" s="26" t="s">
        <v>27</v>
      </c>
      <c r="G423" s="26" t="s">
        <v>27</v>
      </c>
      <c r="H423" s="26"/>
      <c r="I423" s="26"/>
      <c r="J423" s="26">
        <v>1</v>
      </c>
      <c r="K423" s="26">
        <v>138</v>
      </c>
      <c r="L423" s="26" t="s">
        <v>28</v>
      </c>
      <c r="M423" s="27">
        <v>1225</v>
      </c>
      <c r="N423" s="28"/>
      <c r="O423" s="26" t="s">
        <v>29</v>
      </c>
      <c r="P423" s="29"/>
      <c r="Q423" s="6"/>
      <c r="R423" s="29"/>
      <c r="S423" s="10"/>
      <c r="T423" s="8"/>
    </row>
    <row r="424" spans="1:20" ht="15.75" customHeight="1" x14ac:dyDescent="0.35">
      <c r="A424" s="25" t="s">
        <v>495</v>
      </c>
      <c r="B424" s="25" t="s">
        <v>609</v>
      </c>
      <c r="C424" s="26">
        <v>156517</v>
      </c>
      <c r="D424" s="25" t="s">
        <v>629</v>
      </c>
      <c r="E424" s="25" t="s">
        <v>630</v>
      </c>
      <c r="F424" s="26" t="s">
        <v>27</v>
      </c>
      <c r="G424" s="26" t="s">
        <v>27</v>
      </c>
      <c r="H424" s="26"/>
      <c r="I424" s="26"/>
      <c r="J424" s="26">
        <v>1</v>
      </c>
      <c r="K424" s="26">
        <v>138</v>
      </c>
      <c r="L424" s="26" t="s">
        <v>28</v>
      </c>
      <c r="M424" s="27">
        <v>1213</v>
      </c>
      <c r="N424" s="28"/>
      <c r="O424" s="26" t="s">
        <v>29</v>
      </c>
      <c r="P424" s="29"/>
      <c r="Q424" s="6"/>
      <c r="R424" s="29"/>
      <c r="S424" s="10"/>
      <c r="T424" s="8"/>
    </row>
    <row r="425" spans="1:20" ht="15.75" customHeight="1" x14ac:dyDescent="0.35">
      <c r="A425" s="25" t="s">
        <v>495</v>
      </c>
      <c r="B425" s="25" t="s">
        <v>631</v>
      </c>
      <c r="C425" s="26">
        <v>325204</v>
      </c>
      <c r="D425" s="25" t="s">
        <v>632</v>
      </c>
      <c r="E425" s="25" t="s">
        <v>633</v>
      </c>
      <c r="F425" s="26" t="s">
        <v>555</v>
      </c>
      <c r="G425" s="26" t="s">
        <v>555</v>
      </c>
      <c r="H425" s="26"/>
      <c r="I425" s="26"/>
      <c r="J425" s="26">
        <v>1</v>
      </c>
      <c r="K425" s="26">
        <v>138</v>
      </c>
      <c r="L425" s="26" t="s">
        <v>28</v>
      </c>
      <c r="M425" s="27">
        <v>1229</v>
      </c>
      <c r="N425" s="28"/>
      <c r="O425" s="26" t="s">
        <v>29</v>
      </c>
      <c r="P425" s="29"/>
      <c r="Q425" s="6"/>
      <c r="R425" s="29"/>
      <c r="S425" s="10"/>
      <c r="T425" s="8"/>
    </row>
    <row r="426" spans="1:20" ht="15.75" customHeight="1" x14ac:dyDescent="0.35">
      <c r="A426" s="25" t="s">
        <v>634</v>
      </c>
      <c r="B426" s="25" t="s">
        <v>635</v>
      </c>
      <c r="C426" s="26">
        <v>104419</v>
      </c>
      <c r="D426" s="25" t="s">
        <v>636</v>
      </c>
      <c r="E426" s="25" t="s">
        <v>637</v>
      </c>
      <c r="F426" s="26" t="s">
        <v>27</v>
      </c>
      <c r="G426" s="26" t="s">
        <v>27</v>
      </c>
      <c r="H426" s="26"/>
      <c r="I426" s="26"/>
      <c r="J426" s="26">
        <v>1</v>
      </c>
      <c r="K426" s="26">
        <v>138</v>
      </c>
      <c r="L426" s="26" t="s">
        <v>28</v>
      </c>
      <c r="M426" s="27">
        <v>1230</v>
      </c>
      <c r="N426" s="28"/>
      <c r="O426" s="26" t="s">
        <v>29</v>
      </c>
      <c r="P426" s="29"/>
      <c r="Q426" s="6"/>
      <c r="R426" s="29"/>
      <c r="S426" s="10"/>
      <c r="T426" s="8"/>
    </row>
    <row r="427" spans="1:20" ht="15.75" customHeight="1" x14ac:dyDescent="0.35">
      <c r="A427" s="25" t="s">
        <v>634</v>
      </c>
      <c r="B427" s="25" t="s">
        <v>635</v>
      </c>
      <c r="C427" s="26">
        <v>104426</v>
      </c>
      <c r="D427" s="25" t="s">
        <v>638</v>
      </c>
      <c r="E427" s="25" t="s">
        <v>637</v>
      </c>
      <c r="F427" s="26" t="s">
        <v>27</v>
      </c>
      <c r="G427" s="26" t="s">
        <v>27</v>
      </c>
      <c r="H427" s="26"/>
      <c r="I427" s="26"/>
      <c r="J427" s="26">
        <v>1</v>
      </c>
      <c r="K427" s="26">
        <v>138</v>
      </c>
      <c r="L427" s="26" t="s">
        <v>28</v>
      </c>
      <c r="M427" s="27">
        <v>1235</v>
      </c>
      <c r="N427" s="28"/>
      <c r="O427" s="26" t="s">
        <v>29</v>
      </c>
      <c r="P427" s="29"/>
      <c r="Q427" s="6"/>
      <c r="R427" s="29"/>
      <c r="S427" s="10"/>
      <c r="T427" s="8"/>
    </row>
    <row r="428" spans="1:20" ht="15.75" customHeight="1" x14ac:dyDescent="0.35">
      <c r="A428" s="25" t="s">
        <v>634</v>
      </c>
      <c r="B428" s="25" t="s">
        <v>635</v>
      </c>
      <c r="C428" s="26">
        <v>104429</v>
      </c>
      <c r="D428" s="25" t="s">
        <v>639</v>
      </c>
      <c r="E428" s="25" t="s">
        <v>637</v>
      </c>
      <c r="F428" s="26" t="s">
        <v>27</v>
      </c>
      <c r="G428" s="26" t="s">
        <v>27</v>
      </c>
      <c r="H428" s="26"/>
      <c r="I428" s="26"/>
      <c r="J428" s="26">
        <v>1</v>
      </c>
      <c r="K428" s="26">
        <v>138</v>
      </c>
      <c r="L428" s="26" t="s">
        <v>28</v>
      </c>
      <c r="M428" s="27">
        <v>1241</v>
      </c>
      <c r="N428" s="28"/>
      <c r="O428" s="26" t="s">
        <v>29</v>
      </c>
      <c r="P428" s="29"/>
      <c r="Q428" s="6"/>
      <c r="R428" s="29"/>
      <c r="S428" s="10"/>
      <c r="T428" s="8"/>
    </row>
    <row r="429" spans="1:20" ht="15.75" customHeight="1" x14ac:dyDescent="0.35">
      <c r="A429" s="25" t="s">
        <v>634</v>
      </c>
      <c r="B429" s="25" t="s">
        <v>635</v>
      </c>
      <c r="C429" s="26">
        <v>104433</v>
      </c>
      <c r="D429" s="25" t="s">
        <v>640</v>
      </c>
      <c r="E429" s="25" t="s">
        <v>641</v>
      </c>
      <c r="F429" s="26" t="s">
        <v>27</v>
      </c>
      <c r="G429" s="26" t="s">
        <v>27</v>
      </c>
      <c r="H429" s="26"/>
      <c r="I429" s="26"/>
      <c r="J429" s="26">
        <v>1</v>
      </c>
      <c r="K429" s="26">
        <v>138</v>
      </c>
      <c r="L429" s="26" t="s">
        <v>28</v>
      </c>
      <c r="M429" s="27">
        <v>1232</v>
      </c>
      <c r="N429" s="28"/>
      <c r="O429" s="26" t="s">
        <v>29</v>
      </c>
      <c r="P429" s="29"/>
      <c r="Q429" s="6"/>
      <c r="R429" s="29"/>
      <c r="S429" s="10"/>
      <c r="T429" s="8"/>
    </row>
    <row r="430" spans="1:20" ht="15.75" customHeight="1" x14ac:dyDescent="0.35">
      <c r="A430" s="25" t="s">
        <v>634</v>
      </c>
      <c r="B430" s="25" t="s">
        <v>635</v>
      </c>
      <c r="C430" s="26">
        <v>104438</v>
      </c>
      <c r="D430" s="25" t="s">
        <v>642</v>
      </c>
      <c r="E430" s="25" t="s">
        <v>641</v>
      </c>
      <c r="F430" s="26" t="s">
        <v>27</v>
      </c>
      <c r="G430" s="26" t="s">
        <v>27</v>
      </c>
      <c r="H430" s="26"/>
      <c r="I430" s="26"/>
      <c r="J430" s="26">
        <v>1</v>
      </c>
      <c r="K430" s="26">
        <v>138</v>
      </c>
      <c r="L430" s="26" t="s">
        <v>28</v>
      </c>
      <c r="M430" s="27">
        <v>1237</v>
      </c>
      <c r="N430" s="28"/>
      <c r="O430" s="26" t="s">
        <v>29</v>
      </c>
      <c r="P430" s="29"/>
      <c r="Q430" s="6"/>
      <c r="R430" s="29"/>
      <c r="S430" s="10"/>
      <c r="T430" s="8"/>
    </row>
    <row r="431" spans="1:20" ht="15.75" customHeight="1" x14ac:dyDescent="0.35">
      <c r="A431" s="25" t="s">
        <v>634</v>
      </c>
      <c r="B431" s="25" t="s">
        <v>635</v>
      </c>
      <c r="C431" s="26">
        <v>104439</v>
      </c>
      <c r="D431" s="25" t="s">
        <v>643</v>
      </c>
      <c r="E431" s="25" t="s">
        <v>641</v>
      </c>
      <c r="F431" s="26" t="s">
        <v>27</v>
      </c>
      <c r="G431" s="26" t="s">
        <v>27</v>
      </c>
      <c r="H431" s="26"/>
      <c r="I431" s="26"/>
      <c r="J431" s="26">
        <v>1</v>
      </c>
      <c r="K431" s="26">
        <v>138</v>
      </c>
      <c r="L431" s="26" t="s">
        <v>28</v>
      </c>
      <c r="M431" s="27">
        <v>1238</v>
      </c>
      <c r="N431" s="28"/>
      <c r="O431" s="26" t="s">
        <v>29</v>
      </c>
      <c r="P431" s="29"/>
      <c r="Q431" s="6"/>
      <c r="R431" s="29"/>
      <c r="S431" s="10"/>
      <c r="T431" s="8"/>
    </row>
    <row r="432" spans="1:20" ht="15.75" customHeight="1" x14ac:dyDescent="0.35">
      <c r="A432" s="25" t="s">
        <v>634</v>
      </c>
      <c r="B432" s="25" t="s">
        <v>635</v>
      </c>
      <c r="C432" s="26">
        <v>104441</v>
      </c>
      <c r="D432" s="25" t="s">
        <v>644</v>
      </c>
      <c r="E432" s="25" t="s">
        <v>641</v>
      </c>
      <c r="F432" s="26" t="s">
        <v>27</v>
      </c>
      <c r="G432" s="26" t="s">
        <v>27</v>
      </c>
      <c r="H432" s="26"/>
      <c r="I432" s="26"/>
      <c r="J432" s="26">
        <v>1</v>
      </c>
      <c r="K432" s="26">
        <v>138</v>
      </c>
      <c r="L432" s="26" t="s">
        <v>28</v>
      </c>
      <c r="M432" s="27">
        <v>1240</v>
      </c>
      <c r="N432" s="28"/>
      <c r="O432" s="26" t="s">
        <v>29</v>
      </c>
      <c r="P432" s="29"/>
      <c r="Q432" s="6"/>
      <c r="R432" s="29"/>
      <c r="S432" s="10"/>
      <c r="T432" s="8"/>
    </row>
    <row r="433" spans="1:20" ht="15.75" customHeight="1" x14ac:dyDescent="0.35">
      <c r="A433" s="25" t="s">
        <v>634</v>
      </c>
      <c r="B433" s="25" t="s">
        <v>635</v>
      </c>
      <c r="C433" s="26">
        <v>104446</v>
      </c>
      <c r="D433" s="25" t="s">
        <v>645</v>
      </c>
      <c r="E433" s="25" t="s">
        <v>646</v>
      </c>
      <c r="F433" s="26" t="s">
        <v>27</v>
      </c>
      <c r="G433" s="26" t="s">
        <v>27</v>
      </c>
      <c r="H433" s="26"/>
      <c r="I433" s="26"/>
      <c r="J433" s="26">
        <v>1</v>
      </c>
      <c r="K433" s="26">
        <v>138</v>
      </c>
      <c r="L433" s="26" t="s">
        <v>28</v>
      </c>
      <c r="M433" s="27">
        <v>1233</v>
      </c>
      <c r="N433" s="28"/>
      <c r="O433" s="26" t="s">
        <v>29</v>
      </c>
      <c r="P433" s="29"/>
      <c r="Q433" s="6"/>
      <c r="R433" s="29"/>
      <c r="S433" s="10"/>
      <c r="T433" s="8"/>
    </row>
    <row r="434" spans="1:20" ht="15.75" customHeight="1" x14ac:dyDescent="0.35">
      <c r="A434" s="25" t="s">
        <v>634</v>
      </c>
      <c r="B434" s="25" t="s">
        <v>635</v>
      </c>
      <c r="C434" s="26">
        <v>104456</v>
      </c>
      <c r="D434" s="25" t="s">
        <v>647</v>
      </c>
      <c r="E434" s="25" t="s">
        <v>648</v>
      </c>
      <c r="F434" s="26" t="s">
        <v>27</v>
      </c>
      <c r="G434" s="26" t="s">
        <v>27</v>
      </c>
      <c r="H434" s="26"/>
      <c r="I434" s="26"/>
      <c r="J434" s="26">
        <v>1</v>
      </c>
      <c r="K434" s="26">
        <v>138</v>
      </c>
      <c r="L434" s="26" t="s">
        <v>28</v>
      </c>
      <c r="M434" s="27">
        <v>1234</v>
      </c>
      <c r="N434" s="28"/>
      <c r="O434" s="26" t="s">
        <v>29</v>
      </c>
      <c r="P434" s="29"/>
      <c r="Q434" s="6"/>
      <c r="R434" s="29"/>
      <c r="S434" s="10"/>
      <c r="T434" s="8"/>
    </row>
    <row r="435" spans="1:20" ht="15.75" customHeight="1" x14ac:dyDescent="0.35">
      <c r="A435" s="25" t="s">
        <v>634</v>
      </c>
      <c r="B435" s="25" t="s">
        <v>635</v>
      </c>
      <c r="C435" s="26">
        <v>157501</v>
      </c>
      <c r="D435" s="25" t="s">
        <v>351</v>
      </c>
      <c r="E435" s="25" t="s">
        <v>637</v>
      </c>
      <c r="F435" s="26" t="s">
        <v>27</v>
      </c>
      <c r="G435" s="26" t="s">
        <v>27</v>
      </c>
      <c r="H435" s="26"/>
      <c r="I435" s="26"/>
      <c r="J435" s="26">
        <v>1</v>
      </c>
      <c r="K435" s="26">
        <v>138</v>
      </c>
      <c r="L435" s="26" t="s">
        <v>28</v>
      </c>
      <c r="M435" s="27">
        <v>1236</v>
      </c>
      <c r="N435" s="28"/>
      <c r="O435" s="26" t="s">
        <v>29</v>
      </c>
      <c r="P435" s="29"/>
      <c r="Q435" s="6"/>
      <c r="R435" s="29"/>
      <c r="S435" s="10"/>
      <c r="T435" s="8"/>
    </row>
    <row r="436" spans="1:20" ht="15.75" customHeight="1" x14ac:dyDescent="0.35">
      <c r="A436" s="25" t="s">
        <v>634</v>
      </c>
      <c r="B436" s="25" t="s">
        <v>635</v>
      </c>
      <c r="C436" s="26">
        <v>157507</v>
      </c>
      <c r="D436" s="25" t="s">
        <v>649</v>
      </c>
      <c r="E436" s="25" t="s">
        <v>637</v>
      </c>
      <c r="F436" s="26" t="s">
        <v>27</v>
      </c>
      <c r="G436" s="26" t="s">
        <v>27</v>
      </c>
      <c r="H436" s="26"/>
      <c r="I436" s="26"/>
      <c r="J436" s="26">
        <v>1</v>
      </c>
      <c r="K436" s="26">
        <v>138</v>
      </c>
      <c r="L436" s="26" t="s">
        <v>28</v>
      </c>
      <c r="M436" s="27">
        <v>1231</v>
      </c>
      <c r="N436" s="28"/>
      <c r="O436" s="26" t="s">
        <v>29</v>
      </c>
      <c r="P436" s="29"/>
      <c r="Q436" s="6"/>
      <c r="R436" s="29"/>
      <c r="S436" s="10"/>
      <c r="T436" s="8"/>
    </row>
    <row r="437" spans="1:20" ht="15.75" customHeight="1" x14ac:dyDescent="0.35">
      <c r="A437" s="25" t="s">
        <v>634</v>
      </c>
      <c r="B437" s="25" t="s">
        <v>635</v>
      </c>
      <c r="C437" s="26">
        <v>157508</v>
      </c>
      <c r="D437" s="25" t="s">
        <v>650</v>
      </c>
      <c r="E437" s="25" t="s">
        <v>637</v>
      </c>
      <c r="F437" s="26" t="s">
        <v>27</v>
      </c>
      <c r="G437" s="26" t="s">
        <v>27</v>
      </c>
      <c r="H437" s="26"/>
      <c r="I437" s="26"/>
      <c r="J437" s="26">
        <v>1</v>
      </c>
      <c r="K437" s="26">
        <v>138</v>
      </c>
      <c r="L437" s="26" t="s">
        <v>28</v>
      </c>
      <c r="M437" s="27">
        <v>1239</v>
      </c>
      <c r="N437" s="28"/>
      <c r="O437" s="26" t="s">
        <v>29</v>
      </c>
      <c r="P437" s="29"/>
      <c r="Q437" s="6"/>
      <c r="R437" s="29"/>
      <c r="S437" s="10"/>
      <c r="T437" s="8"/>
    </row>
    <row r="438" spans="1:20" ht="15.75" customHeight="1" x14ac:dyDescent="0.35">
      <c r="A438" s="25" t="s">
        <v>634</v>
      </c>
      <c r="B438" s="25" t="s">
        <v>635</v>
      </c>
      <c r="C438" s="26">
        <v>306505</v>
      </c>
      <c r="D438" s="25" t="s">
        <v>651</v>
      </c>
      <c r="E438" s="25" t="s">
        <v>652</v>
      </c>
      <c r="F438" s="26" t="s">
        <v>27</v>
      </c>
      <c r="G438" s="26" t="s">
        <v>27</v>
      </c>
      <c r="H438" s="26"/>
      <c r="I438" s="26"/>
      <c r="J438" s="26">
        <v>1</v>
      </c>
      <c r="K438" s="26">
        <v>138</v>
      </c>
      <c r="L438" s="26" t="s">
        <v>28</v>
      </c>
      <c r="M438" s="27">
        <v>1242</v>
      </c>
      <c r="N438" s="28"/>
      <c r="O438" s="26" t="s">
        <v>29</v>
      </c>
      <c r="P438" s="29"/>
      <c r="Q438" s="6"/>
      <c r="R438" s="29"/>
      <c r="S438" s="10"/>
      <c r="T438" s="8"/>
    </row>
    <row r="439" spans="1:20" ht="15.75" customHeight="1" x14ac:dyDescent="0.35">
      <c r="A439" s="25" t="s">
        <v>634</v>
      </c>
      <c r="B439" s="25" t="s">
        <v>653</v>
      </c>
      <c r="C439" s="26">
        <v>105262</v>
      </c>
      <c r="D439" s="25" t="s">
        <v>654</v>
      </c>
      <c r="E439" s="25" t="s">
        <v>655</v>
      </c>
      <c r="F439" s="26" t="s">
        <v>215</v>
      </c>
      <c r="G439" s="26" t="s">
        <v>215</v>
      </c>
      <c r="H439" s="26"/>
      <c r="I439" s="26"/>
      <c r="J439" s="26">
        <v>1</v>
      </c>
      <c r="K439" s="26">
        <v>138</v>
      </c>
      <c r="L439" s="26" t="s">
        <v>28</v>
      </c>
      <c r="M439" s="27">
        <v>1246</v>
      </c>
      <c r="N439" s="28"/>
      <c r="O439" s="26" t="s">
        <v>29</v>
      </c>
      <c r="P439" s="29"/>
      <c r="Q439" s="6"/>
      <c r="R439" s="29"/>
      <c r="S439" s="10"/>
      <c r="T439" s="8"/>
    </row>
    <row r="440" spans="1:20" ht="15.75" customHeight="1" x14ac:dyDescent="0.35">
      <c r="A440" s="25" t="s">
        <v>634</v>
      </c>
      <c r="B440" s="25" t="s">
        <v>656</v>
      </c>
      <c r="C440" s="26">
        <v>159536</v>
      </c>
      <c r="D440" s="25" t="s">
        <v>657</v>
      </c>
      <c r="E440" s="25" t="s">
        <v>658</v>
      </c>
      <c r="F440" s="26" t="s">
        <v>215</v>
      </c>
      <c r="G440" s="26" t="s">
        <v>215</v>
      </c>
      <c r="H440" s="26">
        <v>1</v>
      </c>
      <c r="I440" s="26">
        <v>2</v>
      </c>
      <c r="J440" s="26">
        <v>1</v>
      </c>
      <c r="K440" s="26">
        <v>138</v>
      </c>
      <c r="L440" s="26" t="s">
        <v>28</v>
      </c>
      <c r="M440" s="27">
        <v>1243</v>
      </c>
      <c r="N440" s="28">
        <v>204313.15</v>
      </c>
      <c r="O440" s="26" t="s">
        <v>29</v>
      </c>
      <c r="P440" s="29"/>
      <c r="Q440" s="6"/>
      <c r="R440" s="29"/>
      <c r="S440" s="10"/>
      <c r="T440" s="8">
        <v>1</v>
      </c>
    </row>
    <row r="441" spans="1:20" ht="15.75" customHeight="1" x14ac:dyDescent="0.35">
      <c r="A441" s="25" t="s">
        <v>634</v>
      </c>
      <c r="B441" s="25" t="s">
        <v>656</v>
      </c>
      <c r="C441" s="26">
        <v>159547</v>
      </c>
      <c r="D441" s="25" t="s">
        <v>659</v>
      </c>
      <c r="E441" s="25" t="s">
        <v>658</v>
      </c>
      <c r="F441" s="26" t="s">
        <v>215</v>
      </c>
      <c r="G441" s="26" t="s">
        <v>215</v>
      </c>
      <c r="H441" s="26"/>
      <c r="I441" s="26"/>
      <c r="J441" s="26">
        <v>1</v>
      </c>
      <c r="K441" s="26">
        <v>138</v>
      </c>
      <c r="L441" s="26" t="s">
        <v>28</v>
      </c>
      <c r="M441" s="27">
        <v>1245</v>
      </c>
      <c r="N441" s="28"/>
      <c r="O441" s="26" t="s">
        <v>29</v>
      </c>
      <c r="P441" s="29"/>
      <c r="Q441" s="6"/>
      <c r="R441" s="29"/>
      <c r="S441" s="10"/>
      <c r="T441" s="8"/>
    </row>
    <row r="442" spans="1:20" ht="15.75" customHeight="1" x14ac:dyDescent="0.35">
      <c r="A442" s="25" t="s">
        <v>634</v>
      </c>
      <c r="B442" s="25" t="s">
        <v>656</v>
      </c>
      <c r="C442" s="26">
        <v>306942</v>
      </c>
      <c r="D442" s="25" t="s">
        <v>660</v>
      </c>
      <c r="E442" s="25" t="s">
        <v>658</v>
      </c>
      <c r="F442" s="26" t="s">
        <v>215</v>
      </c>
      <c r="G442" s="26" t="s">
        <v>215</v>
      </c>
      <c r="H442" s="26"/>
      <c r="I442" s="26"/>
      <c r="J442" s="26">
        <v>1</v>
      </c>
      <c r="K442" s="26">
        <v>138</v>
      </c>
      <c r="L442" s="26" t="s">
        <v>28</v>
      </c>
      <c r="M442" s="27">
        <v>1244</v>
      </c>
      <c r="N442" s="28"/>
      <c r="O442" s="26" t="s">
        <v>29</v>
      </c>
      <c r="P442" s="29"/>
      <c r="Q442" s="6"/>
      <c r="R442" s="29"/>
      <c r="S442" s="10"/>
      <c r="T442" s="8"/>
    </row>
    <row r="443" spans="1:20" ht="15.75" customHeight="1" x14ac:dyDescent="0.35">
      <c r="A443" s="25" t="s">
        <v>634</v>
      </c>
      <c r="B443" s="25" t="s">
        <v>661</v>
      </c>
      <c r="C443" s="26">
        <v>106537</v>
      </c>
      <c r="D443" s="25" t="s">
        <v>234</v>
      </c>
      <c r="E443" s="25" t="s">
        <v>662</v>
      </c>
      <c r="F443" s="26" t="s">
        <v>215</v>
      </c>
      <c r="G443" s="26" t="s">
        <v>215</v>
      </c>
      <c r="H443" s="26"/>
      <c r="I443" s="26"/>
      <c r="J443" s="26">
        <v>1</v>
      </c>
      <c r="K443" s="26">
        <v>138</v>
      </c>
      <c r="L443" s="26" t="s">
        <v>28</v>
      </c>
      <c r="M443" s="27">
        <v>1250</v>
      </c>
      <c r="N443" s="28"/>
      <c r="O443" s="26" t="s">
        <v>29</v>
      </c>
      <c r="P443" s="29"/>
      <c r="Q443" s="6"/>
      <c r="R443" s="29"/>
      <c r="S443" s="10"/>
      <c r="T443" s="8"/>
    </row>
    <row r="444" spans="1:20" ht="15.75" customHeight="1" x14ac:dyDescent="0.35">
      <c r="A444" s="25" t="s">
        <v>634</v>
      </c>
      <c r="B444" s="25" t="s">
        <v>661</v>
      </c>
      <c r="C444" s="26">
        <v>106621</v>
      </c>
      <c r="D444" s="25" t="s">
        <v>663</v>
      </c>
      <c r="E444" s="25" t="s">
        <v>664</v>
      </c>
      <c r="F444" s="26" t="s">
        <v>215</v>
      </c>
      <c r="G444" s="26" t="s">
        <v>215</v>
      </c>
      <c r="H444" s="26"/>
      <c r="I444" s="26"/>
      <c r="J444" s="26">
        <v>1</v>
      </c>
      <c r="K444" s="26">
        <v>138</v>
      </c>
      <c r="L444" s="26" t="s">
        <v>28</v>
      </c>
      <c r="M444" s="27">
        <v>1248</v>
      </c>
      <c r="N444" s="28"/>
      <c r="O444" s="26" t="s">
        <v>29</v>
      </c>
      <c r="P444" s="29"/>
      <c r="Q444" s="6"/>
      <c r="R444" s="29"/>
      <c r="S444" s="10"/>
      <c r="T444" s="8"/>
    </row>
    <row r="445" spans="1:20" ht="15.75" customHeight="1" x14ac:dyDescent="0.35">
      <c r="A445" s="25" t="s">
        <v>634</v>
      </c>
      <c r="B445" s="25" t="s">
        <v>661</v>
      </c>
      <c r="C445" s="26">
        <v>106626</v>
      </c>
      <c r="D445" s="25" t="s">
        <v>665</v>
      </c>
      <c r="E445" s="25" t="s">
        <v>666</v>
      </c>
      <c r="F445" s="26" t="s">
        <v>90</v>
      </c>
      <c r="G445" s="26" t="s">
        <v>90</v>
      </c>
      <c r="H445" s="26"/>
      <c r="I445" s="26"/>
      <c r="J445" s="26">
        <v>1</v>
      </c>
      <c r="K445" s="26">
        <v>138</v>
      </c>
      <c r="L445" s="26" t="s">
        <v>28</v>
      </c>
      <c r="M445" s="27">
        <v>1251</v>
      </c>
      <c r="N445" s="28"/>
      <c r="O445" s="26" t="s">
        <v>29</v>
      </c>
      <c r="P445" s="29"/>
      <c r="Q445" s="6"/>
      <c r="R445" s="29"/>
      <c r="S445" s="10"/>
      <c r="T445" s="8"/>
    </row>
    <row r="446" spans="1:20" ht="15.75" customHeight="1" x14ac:dyDescent="0.35">
      <c r="A446" s="25" t="s">
        <v>634</v>
      </c>
      <c r="B446" s="25" t="s">
        <v>661</v>
      </c>
      <c r="C446" s="26">
        <v>106631</v>
      </c>
      <c r="D446" s="25" t="s">
        <v>667</v>
      </c>
      <c r="E446" s="25" t="s">
        <v>666</v>
      </c>
      <c r="F446" s="26" t="s">
        <v>90</v>
      </c>
      <c r="G446" s="26" t="s">
        <v>90</v>
      </c>
      <c r="H446" s="26"/>
      <c r="I446" s="26"/>
      <c r="J446" s="26">
        <v>1</v>
      </c>
      <c r="K446" s="26">
        <v>138</v>
      </c>
      <c r="L446" s="26" t="s">
        <v>28</v>
      </c>
      <c r="M446" s="27">
        <v>1252</v>
      </c>
      <c r="N446" s="28"/>
      <c r="O446" s="26" t="s">
        <v>29</v>
      </c>
      <c r="P446" s="29"/>
      <c r="Q446" s="6"/>
      <c r="R446" s="29"/>
      <c r="S446" s="10"/>
      <c r="T446" s="8"/>
    </row>
    <row r="447" spans="1:20" ht="15.75" customHeight="1" x14ac:dyDescent="0.35">
      <c r="A447" s="25" t="s">
        <v>634</v>
      </c>
      <c r="B447" s="25" t="s">
        <v>661</v>
      </c>
      <c r="C447" s="26">
        <v>106648</v>
      </c>
      <c r="D447" s="25" t="s">
        <v>668</v>
      </c>
      <c r="E447" s="25" t="s">
        <v>666</v>
      </c>
      <c r="F447" s="26" t="s">
        <v>90</v>
      </c>
      <c r="G447" s="26" t="s">
        <v>90</v>
      </c>
      <c r="H447" s="26"/>
      <c r="I447" s="26"/>
      <c r="J447" s="26">
        <v>1</v>
      </c>
      <c r="K447" s="26">
        <v>138</v>
      </c>
      <c r="L447" s="26" t="s">
        <v>28</v>
      </c>
      <c r="M447" s="27">
        <v>1253</v>
      </c>
      <c r="N447" s="28"/>
      <c r="O447" s="26" t="s">
        <v>29</v>
      </c>
      <c r="P447" s="29"/>
      <c r="Q447" s="6"/>
      <c r="R447" s="29"/>
      <c r="S447" s="10"/>
      <c r="T447" s="8"/>
    </row>
    <row r="448" spans="1:20" ht="15.75" customHeight="1" x14ac:dyDescent="0.35">
      <c r="A448" s="25" t="s">
        <v>634</v>
      </c>
      <c r="B448" s="25" t="s">
        <v>661</v>
      </c>
      <c r="C448" s="26">
        <v>106649</v>
      </c>
      <c r="D448" s="25" t="s">
        <v>669</v>
      </c>
      <c r="E448" s="25" t="s">
        <v>666</v>
      </c>
      <c r="F448" s="26" t="s">
        <v>90</v>
      </c>
      <c r="G448" s="26" t="s">
        <v>90</v>
      </c>
      <c r="H448" s="26"/>
      <c r="I448" s="26"/>
      <c r="J448" s="26">
        <v>1</v>
      </c>
      <c r="K448" s="26">
        <v>138</v>
      </c>
      <c r="L448" s="26" t="s">
        <v>28</v>
      </c>
      <c r="M448" s="27">
        <v>1254</v>
      </c>
      <c r="N448" s="28"/>
      <c r="O448" s="26" t="s">
        <v>29</v>
      </c>
      <c r="P448" s="29"/>
      <c r="Q448" s="6"/>
      <c r="R448" s="29"/>
      <c r="S448" s="10"/>
      <c r="T448" s="8"/>
    </row>
    <row r="449" spans="1:20" ht="15.75" customHeight="1" x14ac:dyDescent="0.35">
      <c r="A449" s="25" t="s">
        <v>634</v>
      </c>
      <c r="B449" s="25" t="s">
        <v>661</v>
      </c>
      <c r="C449" s="26">
        <v>300963</v>
      </c>
      <c r="D449" s="25" t="s">
        <v>670</v>
      </c>
      <c r="E449" s="25" t="s">
        <v>664</v>
      </c>
      <c r="F449" s="26" t="s">
        <v>215</v>
      </c>
      <c r="G449" s="26" t="s">
        <v>215</v>
      </c>
      <c r="H449" s="26"/>
      <c r="I449" s="26"/>
      <c r="J449" s="26">
        <v>1</v>
      </c>
      <c r="K449" s="26">
        <v>138</v>
      </c>
      <c r="L449" s="26" t="s">
        <v>28</v>
      </c>
      <c r="M449" s="27">
        <v>1247</v>
      </c>
      <c r="N449" s="28"/>
      <c r="O449" s="26" t="s">
        <v>29</v>
      </c>
      <c r="P449" s="29"/>
      <c r="Q449" s="6"/>
      <c r="R449" s="29"/>
      <c r="S449" s="10"/>
      <c r="T449" s="8"/>
    </row>
    <row r="450" spans="1:20" ht="15.75" customHeight="1" x14ac:dyDescent="0.35">
      <c r="A450" s="25" t="s">
        <v>634</v>
      </c>
      <c r="B450" s="25" t="s">
        <v>661</v>
      </c>
      <c r="C450" s="26">
        <v>307019</v>
      </c>
      <c r="D450" s="25" t="s">
        <v>671</v>
      </c>
      <c r="E450" s="25" t="s">
        <v>672</v>
      </c>
      <c r="F450" s="26" t="s">
        <v>215</v>
      </c>
      <c r="G450" s="26" t="s">
        <v>215</v>
      </c>
      <c r="H450" s="26"/>
      <c r="I450" s="26"/>
      <c r="J450" s="26">
        <v>1</v>
      </c>
      <c r="K450" s="26">
        <v>138</v>
      </c>
      <c r="L450" s="26" t="s">
        <v>28</v>
      </c>
      <c r="M450" s="27">
        <v>1249</v>
      </c>
      <c r="N450" s="28"/>
      <c r="O450" s="26" t="s">
        <v>29</v>
      </c>
      <c r="P450" s="29"/>
      <c r="Q450" s="6"/>
      <c r="R450" s="29"/>
      <c r="S450" s="10"/>
      <c r="T450" s="8"/>
    </row>
    <row r="451" spans="1:20" ht="15.75" customHeight="1" x14ac:dyDescent="0.35">
      <c r="A451" s="25" t="s">
        <v>634</v>
      </c>
      <c r="B451" s="25" t="s">
        <v>673</v>
      </c>
      <c r="C451" s="26">
        <v>106914</v>
      </c>
      <c r="D451" s="25" t="s">
        <v>674</v>
      </c>
      <c r="E451" s="25" t="s">
        <v>675</v>
      </c>
      <c r="F451" s="26" t="s">
        <v>90</v>
      </c>
      <c r="G451" s="26" t="s">
        <v>90</v>
      </c>
      <c r="H451" s="26"/>
      <c r="I451" s="26"/>
      <c r="J451" s="26">
        <v>1</v>
      </c>
      <c r="K451" s="26">
        <v>138</v>
      </c>
      <c r="L451" s="26" t="s">
        <v>28</v>
      </c>
      <c r="M451" s="27">
        <v>1257</v>
      </c>
      <c r="N451" s="28"/>
      <c r="O451" s="26" t="s">
        <v>29</v>
      </c>
      <c r="P451" s="29"/>
      <c r="Q451" s="6"/>
      <c r="R451" s="29"/>
      <c r="S451" s="10"/>
      <c r="T451" s="8"/>
    </row>
    <row r="452" spans="1:20" ht="15.75" customHeight="1" x14ac:dyDescent="0.35">
      <c r="A452" s="25" t="s">
        <v>634</v>
      </c>
      <c r="B452" s="25" t="s">
        <v>673</v>
      </c>
      <c r="C452" s="26">
        <v>160504</v>
      </c>
      <c r="D452" s="25" t="s">
        <v>676</v>
      </c>
      <c r="E452" s="25" t="s">
        <v>677</v>
      </c>
      <c r="F452" s="26" t="s">
        <v>90</v>
      </c>
      <c r="G452" s="26" t="s">
        <v>90</v>
      </c>
      <c r="H452" s="26"/>
      <c r="I452" s="26"/>
      <c r="J452" s="26">
        <v>1</v>
      </c>
      <c r="K452" s="26">
        <v>138</v>
      </c>
      <c r="L452" s="26" t="s">
        <v>28</v>
      </c>
      <c r="M452" s="27">
        <v>1256</v>
      </c>
      <c r="N452" s="28"/>
      <c r="O452" s="26" t="s">
        <v>29</v>
      </c>
      <c r="P452" s="29"/>
      <c r="Q452" s="6"/>
      <c r="R452" s="29"/>
      <c r="S452" s="10"/>
      <c r="T452" s="8"/>
    </row>
    <row r="453" spans="1:20" ht="15.75" customHeight="1" x14ac:dyDescent="0.35">
      <c r="A453" s="25" t="s">
        <v>634</v>
      </c>
      <c r="B453" s="25" t="s">
        <v>673</v>
      </c>
      <c r="C453" s="26">
        <v>160510</v>
      </c>
      <c r="D453" s="25" t="s">
        <v>678</v>
      </c>
      <c r="E453" s="25" t="s">
        <v>677</v>
      </c>
      <c r="F453" s="26" t="s">
        <v>90</v>
      </c>
      <c r="G453" s="26" t="s">
        <v>90</v>
      </c>
      <c r="H453" s="26"/>
      <c r="I453" s="26"/>
      <c r="J453" s="26">
        <v>1</v>
      </c>
      <c r="K453" s="26">
        <v>138</v>
      </c>
      <c r="L453" s="26" t="s">
        <v>28</v>
      </c>
      <c r="M453" s="27">
        <v>1259</v>
      </c>
      <c r="N453" s="28"/>
      <c r="O453" s="26" t="s">
        <v>29</v>
      </c>
      <c r="P453" s="29"/>
      <c r="Q453" s="6"/>
      <c r="R453" s="29"/>
      <c r="S453" s="10"/>
      <c r="T453" s="8"/>
    </row>
    <row r="454" spans="1:20" ht="15.75" customHeight="1" x14ac:dyDescent="0.35">
      <c r="A454" s="25" t="s">
        <v>634</v>
      </c>
      <c r="B454" s="25" t="s">
        <v>673</v>
      </c>
      <c r="C454" s="26">
        <v>160515</v>
      </c>
      <c r="D454" s="25" t="s">
        <v>679</v>
      </c>
      <c r="E454" s="25" t="s">
        <v>677</v>
      </c>
      <c r="F454" s="26" t="s">
        <v>90</v>
      </c>
      <c r="G454" s="26" t="s">
        <v>90</v>
      </c>
      <c r="H454" s="26"/>
      <c r="I454" s="26"/>
      <c r="J454" s="26">
        <v>1</v>
      </c>
      <c r="K454" s="26">
        <v>138</v>
      </c>
      <c r="L454" s="26" t="s">
        <v>28</v>
      </c>
      <c r="M454" s="27">
        <v>1260</v>
      </c>
      <c r="N454" s="28"/>
      <c r="O454" s="26" t="s">
        <v>29</v>
      </c>
      <c r="P454" s="29"/>
      <c r="Q454" s="6"/>
      <c r="R454" s="29"/>
      <c r="S454" s="10"/>
      <c r="T454" s="8"/>
    </row>
    <row r="455" spans="1:20" ht="15.75" customHeight="1" x14ac:dyDescent="0.35">
      <c r="A455" s="25" t="s">
        <v>634</v>
      </c>
      <c r="B455" s="25" t="s">
        <v>673</v>
      </c>
      <c r="C455" s="26">
        <v>160521</v>
      </c>
      <c r="D455" s="25" t="s">
        <v>680</v>
      </c>
      <c r="E455" s="25" t="s">
        <v>677</v>
      </c>
      <c r="F455" s="26" t="s">
        <v>90</v>
      </c>
      <c r="G455" s="26" t="s">
        <v>90</v>
      </c>
      <c r="H455" s="26"/>
      <c r="I455" s="26"/>
      <c r="J455" s="26">
        <v>1</v>
      </c>
      <c r="K455" s="26">
        <v>138</v>
      </c>
      <c r="L455" s="26" t="s">
        <v>28</v>
      </c>
      <c r="M455" s="27">
        <v>1258</v>
      </c>
      <c r="N455" s="28"/>
      <c r="O455" s="26" t="s">
        <v>29</v>
      </c>
      <c r="P455" s="29"/>
      <c r="Q455" s="6"/>
      <c r="R455" s="29"/>
      <c r="S455" s="10"/>
      <c r="T455" s="8"/>
    </row>
    <row r="456" spans="1:20" ht="15.75" customHeight="1" x14ac:dyDescent="0.35">
      <c r="A456" s="25" t="s">
        <v>634</v>
      </c>
      <c r="B456" s="25" t="s">
        <v>673</v>
      </c>
      <c r="C456" s="26">
        <v>160523</v>
      </c>
      <c r="D456" s="25" t="s">
        <v>681</v>
      </c>
      <c r="E456" s="25" t="s">
        <v>677</v>
      </c>
      <c r="F456" s="26" t="s">
        <v>90</v>
      </c>
      <c r="G456" s="26" t="s">
        <v>90</v>
      </c>
      <c r="H456" s="26"/>
      <c r="I456" s="26"/>
      <c r="J456" s="26">
        <v>1</v>
      </c>
      <c r="K456" s="26">
        <v>138</v>
      </c>
      <c r="L456" s="26" t="s">
        <v>28</v>
      </c>
      <c r="M456" s="27">
        <v>1255</v>
      </c>
      <c r="N456" s="28"/>
      <c r="O456" s="26" t="s">
        <v>29</v>
      </c>
      <c r="P456" s="29"/>
      <c r="Q456" s="6"/>
      <c r="R456" s="29"/>
      <c r="S456" s="10"/>
      <c r="T456" s="8"/>
    </row>
    <row r="457" spans="1:20" ht="15.75" customHeight="1" x14ac:dyDescent="0.35">
      <c r="A457" s="25" t="s">
        <v>682</v>
      </c>
      <c r="B457" s="25" t="s">
        <v>683</v>
      </c>
      <c r="C457" s="26">
        <v>107819</v>
      </c>
      <c r="D457" s="25" t="s">
        <v>684</v>
      </c>
      <c r="E457" s="25" t="s">
        <v>685</v>
      </c>
      <c r="F457" s="26" t="s">
        <v>90</v>
      </c>
      <c r="G457" s="26" t="s">
        <v>90</v>
      </c>
      <c r="H457" s="26"/>
      <c r="I457" s="26"/>
      <c r="J457" s="26">
        <v>1</v>
      </c>
      <c r="K457" s="26">
        <v>138</v>
      </c>
      <c r="L457" s="26" t="s">
        <v>28</v>
      </c>
      <c r="M457" s="27">
        <v>1263</v>
      </c>
      <c r="N457" s="28"/>
      <c r="O457" s="26" t="s">
        <v>29</v>
      </c>
      <c r="P457" s="29"/>
      <c r="Q457" s="6"/>
      <c r="R457" s="29"/>
      <c r="S457" s="10"/>
      <c r="T457" s="8"/>
    </row>
    <row r="458" spans="1:20" ht="15.75" customHeight="1" x14ac:dyDescent="0.35">
      <c r="A458" s="25" t="s">
        <v>682</v>
      </c>
      <c r="B458" s="25" t="s">
        <v>683</v>
      </c>
      <c r="C458" s="26">
        <v>307723</v>
      </c>
      <c r="D458" s="25" t="s">
        <v>686</v>
      </c>
      <c r="E458" s="25" t="s">
        <v>687</v>
      </c>
      <c r="F458" s="26" t="s">
        <v>215</v>
      </c>
      <c r="G458" s="26" t="s">
        <v>215</v>
      </c>
      <c r="H458" s="26"/>
      <c r="I458" s="26"/>
      <c r="J458" s="26">
        <v>1</v>
      </c>
      <c r="K458" s="26">
        <v>138</v>
      </c>
      <c r="L458" s="26" t="s">
        <v>28</v>
      </c>
      <c r="M458" s="27">
        <v>1261</v>
      </c>
      <c r="N458" s="28"/>
      <c r="O458" s="26" t="s">
        <v>29</v>
      </c>
      <c r="P458" s="29"/>
      <c r="Q458" s="6"/>
      <c r="R458" s="29"/>
      <c r="S458" s="10"/>
      <c r="T458" s="8"/>
    </row>
    <row r="459" spans="1:20" ht="15.75" customHeight="1" x14ac:dyDescent="0.35">
      <c r="A459" s="25" t="s">
        <v>682</v>
      </c>
      <c r="B459" s="25" t="s">
        <v>683</v>
      </c>
      <c r="C459" s="26">
        <v>307726</v>
      </c>
      <c r="D459" s="25" t="s">
        <v>688</v>
      </c>
      <c r="E459" s="25" t="s">
        <v>460</v>
      </c>
      <c r="F459" s="26" t="s">
        <v>90</v>
      </c>
      <c r="G459" s="26" t="s">
        <v>90</v>
      </c>
      <c r="H459" s="26"/>
      <c r="I459" s="26"/>
      <c r="J459" s="26">
        <v>1</v>
      </c>
      <c r="K459" s="26">
        <v>138</v>
      </c>
      <c r="L459" s="26" t="s">
        <v>28</v>
      </c>
      <c r="M459" s="27">
        <v>1262</v>
      </c>
      <c r="N459" s="28"/>
      <c r="O459" s="26" t="s">
        <v>29</v>
      </c>
      <c r="P459" s="29"/>
      <c r="Q459" s="6"/>
      <c r="R459" s="29"/>
      <c r="S459" s="10"/>
      <c r="T459" s="8"/>
    </row>
    <row r="460" spans="1:20" ht="15.75" customHeight="1" x14ac:dyDescent="0.35">
      <c r="A460" s="25" t="s">
        <v>682</v>
      </c>
      <c r="B460" s="25" t="s">
        <v>689</v>
      </c>
      <c r="C460" s="26">
        <v>108403</v>
      </c>
      <c r="D460" s="25" t="s">
        <v>690</v>
      </c>
      <c r="E460" s="25" t="s">
        <v>691</v>
      </c>
      <c r="F460" s="26" t="s">
        <v>555</v>
      </c>
      <c r="G460" s="26" t="s">
        <v>555</v>
      </c>
      <c r="H460" s="26"/>
      <c r="I460" s="26"/>
      <c r="J460" s="26">
        <v>1</v>
      </c>
      <c r="K460" s="26">
        <v>138</v>
      </c>
      <c r="L460" s="26" t="s">
        <v>28</v>
      </c>
      <c r="M460" s="27">
        <v>1267</v>
      </c>
      <c r="N460" s="28"/>
      <c r="O460" s="26" t="s">
        <v>29</v>
      </c>
      <c r="P460" s="29"/>
      <c r="Q460" s="6"/>
      <c r="R460" s="29"/>
      <c r="S460" s="10"/>
      <c r="T460" s="8"/>
    </row>
    <row r="461" spans="1:20" ht="15.75" customHeight="1" x14ac:dyDescent="0.35">
      <c r="A461" s="25" t="s">
        <v>682</v>
      </c>
      <c r="B461" s="25" t="s">
        <v>689</v>
      </c>
      <c r="C461" s="26">
        <v>164505</v>
      </c>
      <c r="D461" s="25" t="s">
        <v>692</v>
      </c>
      <c r="E461" s="25" t="s">
        <v>693</v>
      </c>
      <c r="F461" s="26" t="s">
        <v>555</v>
      </c>
      <c r="G461" s="26" t="s">
        <v>555</v>
      </c>
      <c r="H461" s="26">
        <v>1</v>
      </c>
      <c r="I461" s="26">
        <v>4</v>
      </c>
      <c r="J461" s="26">
        <v>1</v>
      </c>
      <c r="K461" s="26">
        <v>138</v>
      </c>
      <c r="L461" s="26" t="s">
        <v>28</v>
      </c>
      <c r="M461" s="27">
        <v>1269</v>
      </c>
      <c r="N461" s="28">
        <v>80008.2</v>
      </c>
      <c r="O461" s="26" t="s">
        <v>29</v>
      </c>
      <c r="P461" s="29"/>
      <c r="Q461" s="6"/>
      <c r="R461" s="29"/>
      <c r="S461" s="10"/>
      <c r="T461" s="8">
        <v>1</v>
      </c>
    </row>
    <row r="462" spans="1:20" ht="15.75" customHeight="1" x14ac:dyDescent="0.35">
      <c r="A462" s="25" t="s">
        <v>682</v>
      </c>
      <c r="B462" s="25" t="s">
        <v>689</v>
      </c>
      <c r="C462" s="26">
        <v>164507</v>
      </c>
      <c r="D462" s="25" t="s">
        <v>694</v>
      </c>
      <c r="E462" s="25" t="s">
        <v>695</v>
      </c>
      <c r="F462" s="26" t="s">
        <v>555</v>
      </c>
      <c r="G462" s="26" t="s">
        <v>555</v>
      </c>
      <c r="H462" s="26"/>
      <c r="I462" s="26"/>
      <c r="J462" s="26">
        <v>1</v>
      </c>
      <c r="K462" s="26">
        <v>138</v>
      </c>
      <c r="L462" s="26" t="s">
        <v>28</v>
      </c>
      <c r="M462" s="27">
        <v>1265</v>
      </c>
      <c r="N462" s="28"/>
      <c r="O462" s="26" t="s">
        <v>29</v>
      </c>
      <c r="P462" s="29"/>
      <c r="Q462" s="6"/>
      <c r="R462" s="29"/>
      <c r="S462" s="10"/>
      <c r="T462" s="8"/>
    </row>
    <row r="463" spans="1:20" ht="15.75" customHeight="1" x14ac:dyDescent="0.35">
      <c r="A463" s="25" t="s">
        <v>682</v>
      </c>
      <c r="B463" s="25" t="s">
        <v>689</v>
      </c>
      <c r="C463" s="26">
        <v>164519</v>
      </c>
      <c r="D463" s="25" t="s">
        <v>696</v>
      </c>
      <c r="E463" s="25" t="s">
        <v>697</v>
      </c>
      <c r="F463" s="26" t="s">
        <v>555</v>
      </c>
      <c r="G463" s="26" t="s">
        <v>555</v>
      </c>
      <c r="H463" s="26"/>
      <c r="I463" s="26"/>
      <c r="J463" s="26">
        <v>1</v>
      </c>
      <c r="K463" s="26">
        <v>138</v>
      </c>
      <c r="L463" s="26" t="s">
        <v>28</v>
      </c>
      <c r="M463" s="27">
        <v>1268</v>
      </c>
      <c r="N463" s="28"/>
      <c r="O463" s="26" t="s">
        <v>29</v>
      </c>
      <c r="P463" s="29"/>
      <c r="Q463" s="6"/>
      <c r="R463" s="29"/>
      <c r="S463" s="10"/>
      <c r="T463" s="8"/>
    </row>
    <row r="464" spans="1:20" ht="15.75" customHeight="1" x14ac:dyDescent="0.35">
      <c r="A464" s="25" t="s">
        <v>682</v>
      </c>
      <c r="B464" s="25" t="s">
        <v>689</v>
      </c>
      <c r="C464" s="26">
        <v>301270</v>
      </c>
      <c r="D464" s="25" t="s">
        <v>698</v>
      </c>
      <c r="E464" s="25" t="s">
        <v>695</v>
      </c>
      <c r="F464" s="26" t="s">
        <v>555</v>
      </c>
      <c r="G464" s="26" t="s">
        <v>555</v>
      </c>
      <c r="H464" s="26"/>
      <c r="I464" s="26"/>
      <c r="J464" s="26">
        <v>1</v>
      </c>
      <c r="K464" s="26">
        <v>138</v>
      </c>
      <c r="L464" s="26" t="s">
        <v>28</v>
      </c>
      <c r="M464" s="27">
        <v>1264</v>
      </c>
      <c r="N464" s="28"/>
      <c r="O464" s="26" t="s">
        <v>29</v>
      </c>
      <c r="P464" s="29"/>
      <c r="Q464" s="6"/>
      <c r="R464" s="29"/>
      <c r="S464" s="10"/>
      <c r="T464" s="8"/>
    </row>
    <row r="465" spans="1:20" ht="15.75" customHeight="1" x14ac:dyDescent="0.35">
      <c r="A465" s="25" t="s">
        <v>682</v>
      </c>
      <c r="B465" s="25" t="s">
        <v>689</v>
      </c>
      <c r="C465" s="26">
        <v>307925</v>
      </c>
      <c r="D465" s="25" t="s">
        <v>699</v>
      </c>
      <c r="E465" s="25" t="s">
        <v>693</v>
      </c>
      <c r="F465" s="26" t="s">
        <v>555</v>
      </c>
      <c r="G465" s="26" t="s">
        <v>555</v>
      </c>
      <c r="H465" s="26"/>
      <c r="I465" s="26"/>
      <c r="J465" s="26">
        <v>1</v>
      </c>
      <c r="K465" s="26">
        <v>138</v>
      </c>
      <c r="L465" s="26" t="s">
        <v>28</v>
      </c>
      <c r="M465" s="27">
        <v>1266</v>
      </c>
      <c r="N465" s="28"/>
      <c r="O465" s="26" t="s">
        <v>29</v>
      </c>
      <c r="P465" s="29"/>
      <c r="Q465" s="6"/>
      <c r="R465" s="29"/>
      <c r="S465" s="10"/>
      <c r="T465" s="8"/>
    </row>
    <row r="466" spans="1:20" ht="15.75" customHeight="1" x14ac:dyDescent="0.35">
      <c r="A466" s="25" t="s">
        <v>682</v>
      </c>
      <c r="B466" s="25" t="s">
        <v>700</v>
      </c>
      <c r="C466" s="26">
        <v>108549</v>
      </c>
      <c r="D466" s="25" t="s">
        <v>701</v>
      </c>
      <c r="E466" s="25" t="s">
        <v>218</v>
      </c>
      <c r="F466" s="26" t="s">
        <v>491</v>
      </c>
      <c r="G466" s="26" t="s">
        <v>491</v>
      </c>
      <c r="H466" s="26">
        <v>1</v>
      </c>
      <c r="I466" s="26">
        <v>2</v>
      </c>
      <c r="J466" s="26">
        <v>1</v>
      </c>
      <c r="K466" s="26">
        <v>138</v>
      </c>
      <c r="L466" s="26" t="s">
        <v>28</v>
      </c>
      <c r="M466" s="27">
        <v>1298</v>
      </c>
      <c r="N466" s="28">
        <v>139411.79</v>
      </c>
      <c r="O466" s="26" t="s">
        <v>29</v>
      </c>
      <c r="P466" s="29"/>
      <c r="Q466" s="6"/>
      <c r="R466" s="29"/>
      <c r="S466" s="10"/>
      <c r="T466" s="8">
        <v>1</v>
      </c>
    </row>
    <row r="467" spans="1:20" ht="15.75" customHeight="1" x14ac:dyDescent="0.35">
      <c r="A467" s="25" t="s">
        <v>682</v>
      </c>
      <c r="B467" s="25" t="s">
        <v>700</v>
      </c>
      <c r="C467" s="26">
        <v>108556</v>
      </c>
      <c r="D467" s="25" t="s">
        <v>702</v>
      </c>
      <c r="E467" s="25" t="s">
        <v>703</v>
      </c>
      <c r="F467" s="26" t="s">
        <v>215</v>
      </c>
      <c r="G467" s="26" t="s">
        <v>215</v>
      </c>
      <c r="H467" s="26"/>
      <c r="I467" s="26"/>
      <c r="J467" s="26">
        <v>1</v>
      </c>
      <c r="K467" s="26">
        <v>138</v>
      </c>
      <c r="L467" s="26" t="s">
        <v>28</v>
      </c>
      <c r="M467" s="27">
        <v>1270</v>
      </c>
      <c r="N467" s="28"/>
      <c r="O467" s="26" t="s">
        <v>29</v>
      </c>
      <c r="P467" s="29"/>
      <c r="Q467" s="6"/>
      <c r="R467" s="29"/>
      <c r="S467" s="10"/>
      <c r="T467" s="8"/>
    </row>
    <row r="468" spans="1:20" ht="15.75" customHeight="1" x14ac:dyDescent="0.35">
      <c r="A468" s="25" t="s">
        <v>682</v>
      </c>
      <c r="B468" s="25" t="s">
        <v>700</v>
      </c>
      <c r="C468" s="26">
        <v>108557</v>
      </c>
      <c r="D468" s="25" t="s">
        <v>704</v>
      </c>
      <c r="E468" s="25" t="s">
        <v>703</v>
      </c>
      <c r="F468" s="26" t="s">
        <v>215</v>
      </c>
      <c r="G468" s="26" t="s">
        <v>215</v>
      </c>
      <c r="H468" s="26"/>
      <c r="I468" s="26"/>
      <c r="J468" s="26">
        <v>1</v>
      </c>
      <c r="K468" s="26">
        <v>138</v>
      </c>
      <c r="L468" s="26" t="s">
        <v>28</v>
      </c>
      <c r="M468" s="27">
        <v>1271</v>
      </c>
      <c r="N468" s="28"/>
      <c r="O468" s="26" t="s">
        <v>29</v>
      </c>
      <c r="P468" s="29"/>
      <c r="Q468" s="6"/>
      <c r="R468" s="29"/>
      <c r="S468" s="10"/>
      <c r="T468" s="8"/>
    </row>
    <row r="469" spans="1:20" ht="15.75" customHeight="1" x14ac:dyDescent="0.35">
      <c r="A469" s="25" t="s">
        <v>682</v>
      </c>
      <c r="B469" s="25" t="s">
        <v>700</v>
      </c>
      <c r="C469" s="26">
        <v>108562</v>
      </c>
      <c r="D469" s="25" t="s">
        <v>141</v>
      </c>
      <c r="E469" s="25" t="s">
        <v>703</v>
      </c>
      <c r="F469" s="26" t="s">
        <v>215</v>
      </c>
      <c r="G469" s="26" t="s">
        <v>215</v>
      </c>
      <c r="H469" s="26"/>
      <c r="I469" s="26"/>
      <c r="J469" s="26">
        <v>1</v>
      </c>
      <c r="K469" s="26">
        <v>138</v>
      </c>
      <c r="L469" s="26" t="s">
        <v>28</v>
      </c>
      <c r="M469" s="27">
        <v>1272</v>
      </c>
      <c r="N469" s="28"/>
      <c r="O469" s="26" t="s">
        <v>29</v>
      </c>
      <c r="P469" s="29"/>
      <c r="Q469" s="6"/>
      <c r="R469" s="29"/>
      <c r="S469" s="10"/>
      <c r="T469" s="8"/>
    </row>
    <row r="470" spans="1:20" ht="15.75" customHeight="1" x14ac:dyDescent="0.35">
      <c r="A470" s="25" t="s">
        <v>682</v>
      </c>
      <c r="B470" s="25" t="s">
        <v>700</v>
      </c>
      <c r="C470" s="26">
        <v>108571</v>
      </c>
      <c r="D470" s="25" t="s">
        <v>705</v>
      </c>
      <c r="E470" s="25" t="s">
        <v>703</v>
      </c>
      <c r="F470" s="26" t="s">
        <v>215</v>
      </c>
      <c r="G470" s="26" t="s">
        <v>215</v>
      </c>
      <c r="H470" s="26"/>
      <c r="I470" s="26"/>
      <c r="J470" s="26">
        <v>1</v>
      </c>
      <c r="K470" s="26">
        <v>138</v>
      </c>
      <c r="L470" s="26" t="s">
        <v>28</v>
      </c>
      <c r="M470" s="27">
        <v>1282</v>
      </c>
      <c r="N470" s="28"/>
      <c r="O470" s="26" t="s">
        <v>29</v>
      </c>
      <c r="P470" s="29"/>
      <c r="Q470" s="6"/>
      <c r="R470" s="29"/>
      <c r="S470" s="10"/>
      <c r="T470" s="8"/>
    </row>
    <row r="471" spans="1:20" ht="15.75" customHeight="1" x14ac:dyDescent="0.35">
      <c r="A471" s="25" t="s">
        <v>682</v>
      </c>
      <c r="B471" s="25" t="s">
        <v>700</v>
      </c>
      <c r="C471" s="26">
        <v>108580</v>
      </c>
      <c r="D471" s="25" t="s">
        <v>706</v>
      </c>
      <c r="E471" s="25" t="s">
        <v>707</v>
      </c>
      <c r="F471" s="26" t="s">
        <v>555</v>
      </c>
      <c r="G471" s="26" t="s">
        <v>555</v>
      </c>
      <c r="H471" s="26">
        <v>1</v>
      </c>
      <c r="I471" s="26">
        <v>3</v>
      </c>
      <c r="J471" s="26">
        <v>1</v>
      </c>
      <c r="K471" s="26">
        <v>138</v>
      </c>
      <c r="L471" s="26" t="s">
        <v>28</v>
      </c>
      <c r="M471" s="27">
        <v>1308</v>
      </c>
      <c r="N471" s="28">
        <v>331718.36</v>
      </c>
      <c r="O471" s="26" t="s">
        <v>29</v>
      </c>
      <c r="P471" s="29"/>
      <c r="Q471" s="6"/>
      <c r="R471" s="29"/>
      <c r="S471" s="10"/>
      <c r="T471" s="8">
        <v>1</v>
      </c>
    </row>
    <row r="472" spans="1:20" ht="15.75" customHeight="1" x14ac:dyDescent="0.35">
      <c r="A472" s="25" t="s">
        <v>682</v>
      </c>
      <c r="B472" s="25" t="s">
        <v>700</v>
      </c>
      <c r="C472" s="26">
        <v>108644</v>
      </c>
      <c r="D472" s="25" t="s">
        <v>708</v>
      </c>
      <c r="E472" s="25" t="s">
        <v>709</v>
      </c>
      <c r="F472" s="26" t="s">
        <v>491</v>
      </c>
      <c r="G472" s="26" t="s">
        <v>491</v>
      </c>
      <c r="H472" s="26"/>
      <c r="I472" s="26"/>
      <c r="J472" s="26">
        <v>1</v>
      </c>
      <c r="K472" s="26">
        <v>138</v>
      </c>
      <c r="L472" s="26" t="s">
        <v>28</v>
      </c>
      <c r="M472" s="27">
        <v>1283</v>
      </c>
      <c r="N472" s="28"/>
      <c r="O472" s="26" t="s">
        <v>29</v>
      </c>
      <c r="P472" s="29"/>
      <c r="Q472" s="6"/>
      <c r="R472" s="29"/>
      <c r="S472" s="10"/>
      <c r="T472" s="8"/>
    </row>
    <row r="473" spans="1:20" ht="15.75" customHeight="1" x14ac:dyDescent="0.35">
      <c r="A473" s="25" t="s">
        <v>682</v>
      </c>
      <c r="B473" s="25" t="s">
        <v>700</v>
      </c>
      <c r="C473" s="26">
        <v>108645</v>
      </c>
      <c r="D473" s="25" t="s">
        <v>710</v>
      </c>
      <c r="E473" s="25" t="s">
        <v>709</v>
      </c>
      <c r="F473" s="26" t="s">
        <v>491</v>
      </c>
      <c r="G473" s="26" t="s">
        <v>491</v>
      </c>
      <c r="H473" s="26"/>
      <c r="I473" s="26"/>
      <c r="J473" s="26">
        <v>1</v>
      </c>
      <c r="K473" s="26">
        <v>138</v>
      </c>
      <c r="L473" s="26" t="s">
        <v>28</v>
      </c>
      <c r="M473" s="27">
        <v>1285</v>
      </c>
      <c r="N473" s="28"/>
      <c r="O473" s="26" t="s">
        <v>29</v>
      </c>
      <c r="P473" s="29"/>
      <c r="Q473" s="6"/>
      <c r="R473" s="29"/>
      <c r="S473" s="10"/>
      <c r="T473" s="8"/>
    </row>
    <row r="474" spans="1:20" ht="15.75" customHeight="1" x14ac:dyDescent="0.35">
      <c r="A474" s="25" t="s">
        <v>682</v>
      </c>
      <c r="B474" s="25" t="s">
        <v>700</v>
      </c>
      <c r="C474" s="26">
        <v>108788</v>
      </c>
      <c r="D474" s="25" t="s">
        <v>711</v>
      </c>
      <c r="E474" s="25" t="s">
        <v>458</v>
      </c>
      <c r="F474" s="26" t="s">
        <v>215</v>
      </c>
      <c r="G474" s="26" t="s">
        <v>215</v>
      </c>
      <c r="H474" s="26"/>
      <c r="I474" s="26"/>
      <c r="J474" s="26">
        <v>1</v>
      </c>
      <c r="K474" s="26">
        <v>138</v>
      </c>
      <c r="L474" s="26" t="s">
        <v>28</v>
      </c>
      <c r="M474" s="27">
        <v>1275</v>
      </c>
      <c r="N474" s="28"/>
      <c r="O474" s="26" t="s">
        <v>29</v>
      </c>
      <c r="P474" s="29"/>
      <c r="Q474" s="6"/>
      <c r="R474" s="29"/>
      <c r="S474" s="10"/>
      <c r="T474" s="8"/>
    </row>
    <row r="475" spans="1:20" ht="15.75" customHeight="1" x14ac:dyDescent="0.35">
      <c r="A475" s="25" t="s">
        <v>682</v>
      </c>
      <c r="B475" s="25" t="s">
        <v>700</v>
      </c>
      <c r="C475" s="26">
        <v>108792</v>
      </c>
      <c r="D475" s="25" t="s">
        <v>712</v>
      </c>
      <c r="E475" s="25" t="s">
        <v>458</v>
      </c>
      <c r="F475" s="26" t="s">
        <v>215</v>
      </c>
      <c r="G475" s="26" t="s">
        <v>215</v>
      </c>
      <c r="H475" s="26"/>
      <c r="I475" s="26"/>
      <c r="J475" s="26">
        <v>1</v>
      </c>
      <c r="K475" s="26">
        <v>138</v>
      </c>
      <c r="L475" s="26" t="s">
        <v>28</v>
      </c>
      <c r="M475" s="27">
        <v>1279</v>
      </c>
      <c r="N475" s="28"/>
      <c r="O475" s="26" t="s">
        <v>29</v>
      </c>
      <c r="P475" s="29"/>
      <c r="Q475" s="6"/>
      <c r="R475" s="29"/>
      <c r="S475" s="10"/>
      <c r="T475" s="8"/>
    </row>
    <row r="476" spans="1:20" ht="15.75" customHeight="1" x14ac:dyDescent="0.35">
      <c r="A476" s="25" t="s">
        <v>682</v>
      </c>
      <c r="B476" s="25" t="s">
        <v>700</v>
      </c>
      <c r="C476" s="26">
        <v>108802</v>
      </c>
      <c r="D476" s="25" t="s">
        <v>713</v>
      </c>
      <c r="E476" s="25" t="s">
        <v>714</v>
      </c>
      <c r="F476" s="26" t="s">
        <v>555</v>
      </c>
      <c r="G476" s="26" t="s">
        <v>555</v>
      </c>
      <c r="H476" s="26">
        <v>1</v>
      </c>
      <c r="I476" s="26">
        <v>3</v>
      </c>
      <c r="J476" s="26">
        <v>1</v>
      </c>
      <c r="K476" s="26">
        <v>138</v>
      </c>
      <c r="L476" s="26" t="s">
        <v>28</v>
      </c>
      <c r="M476" s="27">
        <v>1303</v>
      </c>
      <c r="N476" s="28">
        <v>213636.61</v>
      </c>
      <c r="O476" s="26" t="s">
        <v>29</v>
      </c>
      <c r="P476" s="29"/>
      <c r="Q476" s="6"/>
      <c r="R476" s="29"/>
      <c r="S476" s="10"/>
      <c r="T476" s="8">
        <v>1</v>
      </c>
    </row>
    <row r="477" spans="1:20" ht="15.75" customHeight="1" x14ac:dyDescent="0.35">
      <c r="A477" s="25" t="s">
        <v>682</v>
      </c>
      <c r="B477" s="25" t="s">
        <v>700</v>
      </c>
      <c r="C477" s="26">
        <v>108819</v>
      </c>
      <c r="D477" s="25" t="s">
        <v>715</v>
      </c>
      <c r="E477" s="25" t="s">
        <v>714</v>
      </c>
      <c r="F477" s="26" t="s">
        <v>555</v>
      </c>
      <c r="G477" s="26" t="s">
        <v>555</v>
      </c>
      <c r="H477" s="26">
        <v>1</v>
      </c>
      <c r="I477" s="26">
        <v>3</v>
      </c>
      <c r="J477" s="26">
        <v>1</v>
      </c>
      <c r="K477" s="26">
        <v>138</v>
      </c>
      <c r="L477" s="26" t="s">
        <v>28</v>
      </c>
      <c r="M477" s="27">
        <v>1310</v>
      </c>
      <c r="N477" s="28">
        <v>187812.72</v>
      </c>
      <c r="O477" s="26" t="s">
        <v>29</v>
      </c>
      <c r="P477" s="29"/>
      <c r="Q477" s="6"/>
      <c r="R477" s="29"/>
      <c r="S477" s="10"/>
      <c r="T477" s="8">
        <v>1</v>
      </c>
    </row>
    <row r="478" spans="1:20" ht="15.75" customHeight="1" x14ac:dyDescent="0.35">
      <c r="A478" s="25" t="s">
        <v>682</v>
      </c>
      <c r="B478" s="25" t="s">
        <v>700</v>
      </c>
      <c r="C478" s="26">
        <v>108830</v>
      </c>
      <c r="D478" s="25" t="s">
        <v>716</v>
      </c>
      <c r="E478" s="25" t="s">
        <v>714</v>
      </c>
      <c r="F478" s="26" t="s">
        <v>555</v>
      </c>
      <c r="G478" s="26" t="s">
        <v>555</v>
      </c>
      <c r="H478" s="26">
        <v>1</v>
      </c>
      <c r="I478" s="26">
        <v>2</v>
      </c>
      <c r="J478" s="26">
        <v>1</v>
      </c>
      <c r="K478" s="26">
        <v>138</v>
      </c>
      <c r="L478" s="26" t="s">
        <v>28</v>
      </c>
      <c r="M478" s="27">
        <v>1312</v>
      </c>
      <c r="N478" s="28">
        <v>143866.29999999999</v>
      </c>
      <c r="O478" s="26" t="s">
        <v>29</v>
      </c>
      <c r="P478" s="29"/>
      <c r="Q478" s="6"/>
      <c r="R478" s="29"/>
      <c r="S478" s="10"/>
      <c r="T478" s="8">
        <v>1</v>
      </c>
    </row>
    <row r="479" spans="1:20" ht="15.75" customHeight="1" x14ac:dyDescent="0.35">
      <c r="A479" s="25" t="s">
        <v>682</v>
      </c>
      <c r="B479" s="25" t="s">
        <v>700</v>
      </c>
      <c r="C479" s="26">
        <v>108955</v>
      </c>
      <c r="D479" s="25" t="s">
        <v>717</v>
      </c>
      <c r="E479" s="25" t="s">
        <v>718</v>
      </c>
      <c r="F479" s="26" t="s">
        <v>491</v>
      </c>
      <c r="G479" s="26" t="s">
        <v>491</v>
      </c>
      <c r="H479" s="26"/>
      <c r="I479" s="26"/>
      <c r="J479" s="26">
        <v>1</v>
      </c>
      <c r="K479" s="26">
        <v>138</v>
      </c>
      <c r="L479" s="26" t="s">
        <v>28</v>
      </c>
      <c r="M479" s="27">
        <v>1295</v>
      </c>
      <c r="N479" s="28"/>
      <c r="O479" s="26" t="s">
        <v>29</v>
      </c>
      <c r="P479" s="29"/>
      <c r="Q479" s="6"/>
      <c r="R479" s="29"/>
      <c r="S479" s="10"/>
      <c r="T479" s="8"/>
    </row>
    <row r="480" spans="1:20" ht="15.75" customHeight="1" x14ac:dyDescent="0.35">
      <c r="A480" s="25" t="s">
        <v>682</v>
      </c>
      <c r="B480" s="25" t="s">
        <v>700</v>
      </c>
      <c r="C480" s="26">
        <v>108982</v>
      </c>
      <c r="D480" s="25" t="s">
        <v>719</v>
      </c>
      <c r="E480" s="25" t="s">
        <v>720</v>
      </c>
      <c r="F480" s="26" t="s">
        <v>215</v>
      </c>
      <c r="G480" s="26" t="s">
        <v>215</v>
      </c>
      <c r="H480" s="26"/>
      <c r="I480" s="26"/>
      <c r="J480" s="26">
        <v>1</v>
      </c>
      <c r="K480" s="26">
        <v>138</v>
      </c>
      <c r="L480" s="26" t="s">
        <v>28</v>
      </c>
      <c r="M480" s="27">
        <v>1273</v>
      </c>
      <c r="N480" s="28"/>
      <c r="O480" s="26" t="s">
        <v>29</v>
      </c>
      <c r="P480" s="29"/>
      <c r="Q480" s="6"/>
      <c r="R480" s="29"/>
      <c r="S480" s="10"/>
      <c r="T480" s="8"/>
    </row>
    <row r="481" spans="1:20" ht="15.75" customHeight="1" x14ac:dyDescent="0.35">
      <c r="A481" s="25" t="s">
        <v>682</v>
      </c>
      <c r="B481" s="25" t="s">
        <v>700</v>
      </c>
      <c r="C481" s="26">
        <v>108984</v>
      </c>
      <c r="D481" s="25" t="s">
        <v>721</v>
      </c>
      <c r="E481" s="25" t="s">
        <v>722</v>
      </c>
      <c r="F481" s="26" t="s">
        <v>215</v>
      </c>
      <c r="G481" s="26" t="s">
        <v>215</v>
      </c>
      <c r="H481" s="26"/>
      <c r="I481" s="26"/>
      <c r="J481" s="26">
        <v>1</v>
      </c>
      <c r="K481" s="26">
        <v>138</v>
      </c>
      <c r="L481" s="26" t="s">
        <v>28</v>
      </c>
      <c r="M481" s="27">
        <v>1274</v>
      </c>
      <c r="N481" s="28"/>
      <c r="O481" s="26" t="s">
        <v>29</v>
      </c>
      <c r="P481" s="29"/>
      <c r="Q481" s="6"/>
      <c r="R481" s="29"/>
      <c r="S481" s="10"/>
      <c r="T481" s="8"/>
    </row>
    <row r="482" spans="1:20" ht="15.75" customHeight="1" x14ac:dyDescent="0.35">
      <c r="A482" s="25" t="s">
        <v>682</v>
      </c>
      <c r="B482" s="25" t="s">
        <v>700</v>
      </c>
      <c r="C482" s="26">
        <v>108992</v>
      </c>
      <c r="D482" s="25" t="s">
        <v>723</v>
      </c>
      <c r="E482" s="25" t="s">
        <v>722</v>
      </c>
      <c r="F482" s="26" t="s">
        <v>215</v>
      </c>
      <c r="G482" s="26" t="s">
        <v>215</v>
      </c>
      <c r="H482" s="26"/>
      <c r="I482" s="26"/>
      <c r="J482" s="26">
        <v>1</v>
      </c>
      <c r="K482" s="26">
        <v>138</v>
      </c>
      <c r="L482" s="26" t="s">
        <v>28</v>
      </c>
      <c r="M482" s="27">
        <v>1281</v>
      </c>
      <c r="N482" s="28"/>
      <c r="O482" s="26" t="s">
        <v>29</v>
      </c>
      <c r="P482" s="29"/>
      <c r="Q482" s="6"/>
      <c r="R482" s="29"/>
      <c r="S482" s="10"/>
      <c r="T482" s="8"/>
    </row>
    <row r="483" spans="1:20" ht="15.75" customHeight="1" x14ac:dyDescent="0.35">
      <c r="A483" s="25" t="s">
        <v>682</v>
      </c>
      <c r="B483" s="25" t="s">
        <v>700</v>
      </c>
      <c r="C483" s="26">
        <v>109038</v>
      </c>
      <c r="D483" s="25" t="s">
        <v>724</v>
      </c>
      <c r="E483" s="25" t="s">
        <v>725</v>
      </c>
      <c r="F483" s="26" t="s">
        <v>215</v>
      </c>
      <c r="G483" s="26" t="s">
        <v>215</v>
      </c>
      <c r="H483" s="26"/>
      <c r="I483" s="26"/>
      <c r="J483" s="26">
        <v>1</v>
      </c>
      <c r="K483" s="26">
        <v>138</v>
      </c>
      <c r="L483" s="26" t="s">
        <v>28</v>
      </c>
      <c r="M483" s="27">
        <v>1278</v>
      </c>
      <c r="N483" s="28"/>
      <c r="O483" s="26" t="s">
        <v>29</v>
      </c>
      <c r="P483" s="29"/>
      <c r="Q483" s="6"/>
      <c r="R483" s="29"/>
      <c r="S483" s="10"/>
      <c r="T483" s="8"/>
    </row>
    <row r="484" spans="1:20" ht="15.75" customHeight="1" x14ac:dyDescent="0.35">
      <c r="A484" s="25" t="s">
        <v>682</v>
      </c>
      <c r="B484" s="25" t="s">
        <v>700</v>
      </c>
      <c r="C484" s="26">
        <v>109066</v>
      </c>
      <c r="D484" s="25" t="s">
        <v>726</v>
      </c>
      <c r="E484" s="25" t="s">
        <v>727</v>
      </c>
      <c r="F484" s="26" t="s">
        <v>215</v>
      </c>
      <c r="G484" s="26" t="s">
        <v>215</v>
      </c>
      <c r="H484" s="26"/>
      <c r="I484" s="26"/>
      <c r="J484" s="26">
        <v>1</v>
      </c>
      <c r="K484" s="26">
        <v>138</v>
      </c>
      <c r="L484" s="26" t="s">
        <v>28</v>
      </c>
      <c r="M484" s="27">
        <v>1276</v>
      </c>
      <c r="N484" s="28"/>
      <c r="O484" s="26" t="s">
        <v>29</v>
      </c>
      <c r="P484" s="29"/>
      <c r="Q484" s="6"/>
      <c r="R484" s="29"/>
      <c r="S484" s="10"/>
      <c r="T484" s="8"/>
    </row>
    <row r="485" spans="1:20" ht="15.75" customHeight="1" x14ac:dyDescent="0.35">
      <c r="A485" s="25" t="s">
        <v>682</v>
      </c>
      <c r="B485" s="25" t="s">
        <v>700</v>
      </c>
      <c r="C485" s="26">
        <v>109072</v>
      </c>
      <c r="D485" s="25" t="s">
        <v>728</v>
      </c>
      <c r="E485" s="25" t="s">
        <v>727</v>
      </c>
      <c r="F485" s="26" t="s">
        <v>215</v>
      </c>
      <c r="G485" s="26" t="s">
        <v>215</v>
      </c>
      <c r="H485" s="26"/>
      <c r="I485" s="26"/>
      <c r="J485" s="26">
        <v>1</v>
      </c>
      <c r="K485" s="26">
        <v>138</v>
      </c>
      <c r="L485" s="26" t="s">
        <v>28</v>
      </c>
      <c r="M485" s="27">
        <v>1277</v>
      </c>
      <c r="N485" s="28"/>
      <c r="O485" s="26" t="s">
        <v>29</v>
      </c>
      <c r="P485" s="29"/>
      <c r="Q485" s="6"/>
      <c r="R485" s="29"/>
      <c r="S485" s="10"/>
      <c r="T485" s="8"/>
    </row>
    <row r="486" spans="1:20" ht="15.75" customHeight="1" x14ac:dyDescent="0.35">
      <c r="A486" s="25" t="s">
        <v>682</v>
      </c>
      <c r="B486" s="25" t="s">
        <v>700</v>
      </c>
      <c r="C486" s="26">
        <v>109092</v>
      </c>
      <c r="D486" s="25" t="s">
        <v>729</v>
      </c>
      <c r="E486" s="25" t="s">
        <v>730</v>
      </c>
      <c r="F486" s="26" t="s">
        <v>491</v>
      </c>
      <c r="G486" s="26" t="s">
        <v>491</v>
      </c>
      <c r="H486" s="26">
        <v>1</v>
      </c>
      <c r="I486" s="26">
        <v>10</v>
      </c>
      <c r="J486" s="26">
        <v>1</v>
      </c>
      <c r="K486" s="26">
        <v>138</v>
      </c>
      <c r="L486" s="26" t="s">
        <v>28</v>
      </c>
      <c r="M486" s="27">
        <v>1289</v>
      </c>
      <c r="N486" s="28">
        <v>515315.68</v>
      </c>
      <c r="O486" s="26" t="s">
        <v>29</v>
      </c>
      <c r="P486" s="29"/>
      <c r="Q486" s="6"/>
      <c r="R486" s="29"/>
      <c r="S486" s="10"/>
      <c r="T486" s="8">
        <v>1</v>
      </c>
    </row>
    <row r="487" spans="1:20" ht="15.75" customHeight="1" x14ac:dyDescent="0.35">
      <c r="A487" s="25" t="s">
        <v>682</v>
      </c>
      <c r="B487" s="25" t="s">
        <v>700</v>
      </c>
      <c r="C487" s="26">
        <v>109096</v>
      </c>
      <c r="D487" s="25" t="s">
        <v>731</v>
      </c>
      <c r="E487" s="25" t="s">
        <v>730</v>
      </c>
      <c r="F487" s="26" t="s">
        <v>491</v>
      </c>
      <c r="G487" s="26" t="s">
        <v>491</v>
      </c>
      <c r="H487" s="26"/>
      <c r="I487" s="26"/>
      <c r="J487" s="26">
        <v>1</v>
      </c>
      <c r="K487" s="26">
        <v>138</v>
      </c>
      <c r="L487" s="26" t="s">
        <v>28</v>
      </c>
      <c r="M487" s="27">
        <v>1299</v>
      </c>
      <c r="N487" s="28"/>
      <c r="O487" s="26" t="s">
        <v>29</v>
      </c>
      <c r="P487" s="29"/>
      <c r="Q487" s="6"/>
      <c r="R487" s="29"/>
      <c r="S487" s="10"/>
      <c r="T487" s="8"/>
    </row>
    <row r="488" spans="1:20" ht="15.75" customHeight="1" x14ac:dyDescent="0.35">
      <c r="A488" s="25" t="s">
        <v>682</v>
      </c>
      <c r="B488" s="25" t="s">
        <v>700</v>
      </c>
      <c r="C488" s="26">
        <v>109097</v>
      </c>
      <c r="D488" s="25" t="s">
        <v>668</v>
      </c>
      <c r="E488" s="25" t="s">
        <v>730</v>
      </c>
      <c r="F488" s="26" t="s">
        <v>491</v>
      </c>
      <c r="G488" s="26" t="s">
        <v>491</v>
      </c>
      <c r="H488" s="26">
        <v>1</v>
      </c>
      <c r="I488" s="26">
        <v>12</v>
      </c>
      <c r="J488" s="26">
        <v>1</v>
      </c>
      <c r="K488" s="26">
        <v>138</v>
      </c>
      <c r="L488" s="26" t="s">
        <v>28</v>
      </c>
      <c r="M488" s="27">
        <v>1300</v>
      </c>
      <c r="N488" s="28">
        <v>834971.96</v>
      </c>
      <c r="O488" s="26" t="s">
        <v>29</v>
      </c>
      <c r="P488" s="29"/>
      <c r="Q488" s="6"/>
      <c r="R488" s="29"/>
      <c r="S488" s="10"/>
      <c r="T488" s="8">
        <v>1</v>
      </c>
    </row>
    <row r="489" spans="1:20" ht="15.75" customHeight="1" x14ac:dyDescent="0.35">
      <c r="A489" s="25" t="s">
        <v>682</v>
      </c>
      <c r="B489" s="25" t="s">
        <v>700</v>
      </c>
      <c r="C489" s="26">
        <v>109099</v>
      </c>
      <c r="D489" s="25" t="s">
        <v>732</v>
      </c>
      <c r="E489" s="25" t="s">
        <v>730</v>
      </c>
      <c r="F489" s="26" t="s">
        <v>491</v>
      </c>
      <c r="G489" s="26" t="s">
        <v>491</v>
      </c>
      <c r="H489" s="26">
        <v>1</v>
      </c>
      <c r="I489" s="26">
        <v>11</v>
      </c>
      <c r="J489" s="26">
        <v>1</v>
      </c>
      <c r="K489" s="26">
        <v>138</v>
      </c>
      <c r="L489" s="26" t="s">
        <v>28</v>
      </c>
      <c r="M489" s="27">
        <v>1301</v>
      </c>
      <c r="N489" s="28">
        <v>556061.30000000005</v>
      </c>
      <c r="O489" s="26" t="s">
        <v>29</v>
      </c>
      <c r="P489" s="29"/>
      <c r="Q489" s="6"/>
      <c r="R489" s="29"/>
      <c r="S489" s="10"/>
      <c r="T489" s="8">
        <v>1</v>
      </c>
    </row>
    <row r="490" spans="1:20" ht="15.75" customHeight="1" x14ac:dyDescent="0.35">
      <c r="A490" s="25" t="s">
        <v>682</v>
      </c>
      <c r="B490" s="25" t="s">
        <v>700</v>
      </c>
      <c r="C490" s="26">
        <v>109100</v>
      </c>
      <c r="D490" s="25" t="s">
        <v>733</v>
      </c>
      <c r="E490" s="25" t="s">
        <v>730</v>
      </c>
      <c r="F490" s="26" t="s">
        <v>491</v>
      </c>
      <c r="G490" s="26" t="s">
        <v>491</v>
      </c>
      <c r="H490" s="26"/>
      <c r="I490" s="26"/>
      <c r="J490" s="26">
        <v>1</v>
      </c>
      <c r="K490" s="26">
        <v>138</v>
      </c>
      <c r="L490" s="26" t="s">
        <v>28</v>
      </c>
      <c r="M490" s="27">
        <v>1302</v>
      </c>
      <c r="N490" s="28"/>
      <c r="O490" s="26" t="s">
        <v>29</v>
      </c>
      <c r="P490" s="29"/>
      <c r="Q490" s="6"/>
      <c r="R490" s="29"/>
      <c r="S490" s="10"/>
      <c r="T490" s="8"/>
    </row>
    <row r="491" spans="1:20" ht="15.75" customHeight="1" x14ac:dyDescent="0.35">
      <c r="A491" s="25" t="s">
        <v>682</v>
      </c>
      <c r="B491" s="25" t="s">
        <v>700</v>
      </c>
      <c r="C491" s="26">
        <v>109120</v>
      </c>
      <c r="D491" s="25" t="s">
        <v>734</v>
      </c>
      <c r="E491" s="25" t="s">
        <v>735</v>
      </c>
      <c r="F491" s="26" t="s">
        <v>491</v>
      </c>
      <c r="G491" s="26" t="s">
        <v>491</v>
      </c>
      <c r="H491" s="26">
        <v>1</v>
      </c>
      <c r="I491" s="26">
        <v>4</v>
      </c>
      <c r="J491" s="26">
        <v>1</v>
      </c>
      <c r="K491" s="26">
        <v>138</v>
      </c>
      <c r="L491" s="26" t="s">
        <v>28</v>
      </c>
      <c r="M491" s="27">
        <v>1286</v>
      </c>
      <c r="N491" s="28">
        <v>228870.39</v>
      </c>
      <c r="O491" s="26" t="s">
        <v>29</v>
      </c>
      <c r="P491" s="29"/>
      <c r="Q491" s="6"/>
      <c r="R491" s="29"/>
      <c r="S491" s="10"/>
      <c r="T491" s="8">
        <v>1</v>
      </c>
    </row>
    <row r="492" spans="1:20" ht="15.75" customHeight="1" x14ac:dyDescent="0.35">
      <c r="A492" s="25" t="s">
        <v>682</v>
      </c>
      <c r="B492" s="25" t="s">
        <v>700</v>
      </c>
      <c r="C492" s="26">
        <v>109121</v>
      </c>
      <c r="D492" s="25" t="s">
        <v>736</v>
      </c>
      <c r="E492" s="25" t="s">
        <v>735</v>
      </c>
      <c r="F492" s="26" t="s">
        <v>491</v>
      </c>
      <c r="G492" s="26" t="s">
        <v>491</v>
      </c>
      <c r="H492" s="26">
        <v>1</v>
      </c>
      <c r="I492" s="26">
        <v>5</v>
      </c>
      <c r="J492" s="26">
        <v>1</v>
      </c>
      <c r="K492" s="26">
        <v>138</v>
      </c>
      <c r="L492" s="26" t="s">
        <v>28</v>
      </c>
      <c r="M492" s="27">
        <v>1287</v>
      </c>
      <c r="N492" s="28">
        <v>294194.06</v>
      </c>
      <c r="O492" s="26" t="s">
        <v>29</v>
      </c>
      <c r="P492" s="29"/>
      <c r="Q492" s="6"/>
      <c r="R492" s="29"/>
      <c r="S492" s="10"/>
      <c r="T492" s="8">
        <v>1</v>
      </c>
    </row>
    <row r="493" spans="1:20" ht="15.75" customHeight="1" x14ac:dyDescent="0.35">
      <c r="A493" s="25" t="s">
        <v>682</v>
      </c>
      <c r="B493" s="25" t="s">
        <v>700</v>
      </c>
      <c r="C493" s="26">
        <v>109128</v>
      </c>
      <c r="D493" s="25" t="s">
        <v>737</v>
      </c>
      <c r="E493" s="25" t="s">
        <v>735</v>
      </c>
      <c r="F493" s="26" t="s">
        <v>491</v>
      </c>
      <c r="G493" s="26" t="s">
        <v>491</v>
      </c>
      <c r="H493" s="26"/>
      <c r="I493" s="26"/>
      <c r="J493" s="26">
        <v>1</v>
      </c>
      <c r="K493" s="26">
        <v>138</v>
      </c>
      <c r="L493" s="26" t="s">
        <v>28</v>
      </c>
      <c r="M493" s="27">
        <v>1290</v>
      </c>
      <c r="N493" s="28"/>
      <c r="O493" s="26" t="s">
        <v>29</v>
      </c>
      <c r="P493" s="29"/>
      <c r="Q493" s="6"/>
      <c r="R493" s="29"/>
      <c r="S493" s="10"/>
      <c r="T493" s="8"/>
    </row>
    <row r="494" spans="1:20" ht="15.75" customHeight="1" x14ac:dyDescent="0.35">
      <c r="A494" s="25" t="s">
        <v>682</v>
      </c>
      <c r="B494" s="25" t="s">
        <v>700</v>
      </c>
      <c r="C494" s="26">
        <v>109131</v>
      </c>
      <c r="D494" s="25" t="s">
        <v>738</v>
      </c>
      <c r="E494" s="25" t="s">
        <v>735</v>
      </c>
      <c r="F494" s="26" t="s">
        <v>491</v>
      </c>
      <c r="G494" s="26" t="s">
        <v>491</v>
      </c>
      <c r="H494" s="26"/>
      <c r="I494" s="26"/>
      <c r="J494" s="26">
        <v>1</v>
      </c>
      <c r="K494" s="26">
        <v>138</v>
      </c>
      <c r="L494" s="26" t="s">
        <v>28</v>
      </c>
      <c r="M494" s="27">
        <v>1293</v>
      </c>
      <c r="N494" s="28"/>
      <c r="O494" s="26" t="s">
        <v>29</v>
      </c>
      <c r="P494" s="29"/>
      <c r="Q494" s="6"/>
      <c r="R494" s="29"/>
      <c r="S494" s="10"/>
      <c r="T494" s="8"/>
    </row>
    <row r="495" spans="1:20" ht="15.75" customHeight="1" x14ac:dyDescent="0.35">
      <c r="A495" s="25" t="s">
        <v>682</v>
      </c>
      <c r="B495" s="25" t="s">
        <v>700</v>
      </c>
      <c r="C495" s="26">
        <v>109132</v>
      </c>
      <c r="D495" s="25" t="s">
        <v>739</v>
      </c>
      <c r="E495" s="25" t="s">
        <v>735</v>
      </c>
      <c r="F495" s="26" t="s">
        <v>491</v>
      </c>
      <c r="G495" s="26" t="s">
        <v>491</v>
      </c>
      <c r="H495" s="26"/>
      <c r="I495" s="26"/>
      <c r="J495" s="26">
        <v>1</v>
      </c>
      <c r="K495" s="26">
        <v>138</v>
      </c>
      <c r="L495" s="26" t="s">
        <v>28</v>
      </c>
      <c r="M495" s="27">
        <v>1296</v>
      </c>
      <c r="N495" s="28"/>
      <c r="O495" s="26" t="s">
        <v>29</v>
      </c>
      <c r="P495" s="29"/>
      <c r="Q495" s="6"/>
      <c r="R495" s="29"/>
      <c r="S495" s="10"/>
      <c r="T495" s="8"/>
    </row>
    <row r="496" spans="1:20" ht="15.75" customHeight="1" x14ac:dyDescent="0.35">
      <c r="A496" s="25" t="s">
        <v>682</v>
      </c>
      <c r="B496" s="25" t="s">
        <v>700</v>
      </c>
      <c r="C496" s="26">
        <v>109138</v>
      </c>
      <c r="D496" s="25" t="s">
        <v>740</v>
      </c>
      <c r="E496" s="25" t="s">
        <v>741</v>
      </c>
      <c r="F496" s="26" t="s">
        <v>491</v>
      </c>
      <c r="G496" s="26" t="s">
        <v>491</v>
      </c>
      <c r="H496" s="26">
        <v>1</v>
      </c>
      <c r="I496" s="26">
        <v>4</v>
      </c>
      <c r="J496" s="26">
        <v>1</v>
      </c>
      <c r="K496" s="26">
        <v>138</v>
      </c>
      <c r="L496" s="26" t="s">
        <v>28</v>
      </c>
      <c r="M496" s="27">
        <v>1284</v>
      </c>
      <c r="N496" s="28">
        <v>241645.46</v>
      </c>
      <c r="O496" s="26" t="s">
        <v>29</v>
      </c>
      <c r="P496" s="29"/>
      <c r="Q496" s="6"/>
      <c r="R496" s="29"/>
      <c r="S496" s="10"/>
      <c r="T496" s="8">
        <v>1</v>
      </c>
    </row>
    <row r="497" spans="1:20" ht="15.75" customHeight="1" x14ac:dyDescent="0.35">
      <c r="A497" s="25" t="s">
        <v>682</v>
      </c>
      <c r="B497" s="25" t="s">
        <v>700</v>
      </c>
      <c r="C497" s="26">
        <v>109145</v>
      </c>
      <c r="D497" s="25" t="s">
        <v>742</v>
      </c>
      <c r="E497" s="25" t="s">
        <v>741</v>
      </c>
      <c r="F497" s="26" t="s">
        <v>491</v>
      </c>
      <c r="G497" s="26" t="s">
        <v>491</v>
      </c>
      <c r="H497" s="26"/>
      <c r="I497" s="26"/>
      <c r="J497" s="26">
        <v>1</v>
      </c>
      <c r="K497" s="26">
        <v>138</v>
      </c>
      <c r="L497" s="26" t="s">
        <v>28</v>
      </c>
      <c r="M497" s="27">
        <v>1291</v>
      </c>
      <c r="N497" s="28"/>
      <c r="O497" s="26" t="s">
        <v>29</v>
      </c>
      <c r="P497" s="29"/>
      <c r="Q497" s="6"/>
      <c r="R497" s="29"/>
      <c r="S497" s="10"/>
      <c r="T497" s="8"/>
    </row>
    <row r="498" spans="1:20" ht="15.75" customHeight="1" x14ac:dyDescent="0.35">
      <c r="A498" s="25" t="s">
        <v>682</v>
      </c>
      <c r="B498" s="25" t="s">
        <v>700</v>
      </c>
      <c r="C498" s="26">
        <v>109146</v>
      </c>
      <c r="D498" s="25" t="s">
        <v>743</v>
      </c>
      <c r="E498" s="25" t="s">
        <v>741</v>
      </c>
      <c r="F498" s="26" t="s">
        <v>491</v>
      </c>
      <c r="G498" s="26" t="s">
        <v>491</v>
      </c>
      <c r="H498" s="26">
        <v>1</v>
      </c>
      <c r="I498" s="26">
        <v>2</v>
      </c>
      <c r="J498" s="26">
        <v>1</v>
      </c>
      <c r="K498" s="26">
        <v>138</v>
      </c>
      <c r="L498" s="26" t="s">
        <v>28</v>
      </c>
      <c r="M498" s="27">
        <v>1292</v>
      </c>
      <c r="N498" s="28">
        <v>152536.79</v>
      </c>
      <c r="O498" s="26" t="s">
        <v>29</v>
      </c>
      <c r="P498" s="29"/>
      <c r="Q498" s="6"/>
      <c r="R498" s="29"/>
      <c r="S498" s="10"/>
      <c r="T498" s="8">
        <v>1</v>
      </c>
    </row>
    <row r="499" spans="1:20" ht="15.75" customHeight="1" x14ac:dyDescent="0.35">
      <c r="A499" s="25" t="s">
        <v>682</v>
      </c>
      <c r="B499" s="25" t="s">
        <v>700</v>
      </c>
      <c r="C499" s="26">
        <v>109147</v>
      </c>
      <c r="D499" s="25" t="s">
        <v>744</v>
      </c>
      <c r="E499" s="25" t="s">
        <v>741</v>
      </c>
      <c r="F499" s="26" t="s">
        <v>491</v>
      </c>
      <c r="G499" s="26" t="s">
        <v>491</v>
      </c>
      <c r="H499" s="26">
        <v>1</v>
      </c>
      <c r="I499" s="26">
        <v>4</v>
      </c>
      <c r="J499" s="26">
        <v>1</v>
      </c>
      <c r="K499" s="26">
        <v>138</v>
      </c>
      <c r="L499" s="26" t="s">
        <v>28</v>
      </c>
      <c r="M499" s="27">
        <v>1294</v>
      </c>
      <c r="N499" s="28">
        <v>243594.25</v>
      </c>
      <c r="O499" s="26" t="s">
        <v>29</v>
      </c>
      <c r="P499" s="29"/>
      <c r="Q499" s="6"/>
      <c r="R499" s="29"/>
      <c r="S499" s="10"/>
      <c r="T499" s="8">
        <v>1</v>
      </c>
    </row>
    <row r="500" spans="1:20" ht="15.75" customHeight="1" x14ac:dyDescent="0.35">
      <c r="A500" s="25" t="s">
        <v>682</v>
      </c>
      <c r="B500" s="25" t="s">
        <v>700</v>
      </c>
      <c r="C500" s="26">
        <v>109218</v>
      </c>
      <c r="D500" s="25" t="s">
        <v>745</v>
      </c>
      <c r="E500" s="25" t="s">
        <v>746</v>
      </c>
      <c r="F500" s="26" t="s">
        <v>555</v>
      </c>
      <c r="G500" s="26" t="s">
        <v>555</v>
      </c>
      <c r="H500" s="26">
        <v>1</v>
      </c>
      <c r="I500" s="26">
        <v>4</v>
      </c>
      <c r="J500" s="26">
        <v>1</v>
      </c>
      <c r="K500" s="26">
        <v>138</v>
      </c>
      <c r="L500" s="26" t="s">
        <v>28</v>
      </c>
      <c r="M500" s="27">
        <v>1309</v>
      </c>
      <c r="N500" s="28">
        <v>252026.18</v>
      </c>
      <c r="O500" s="26" t="s">
        <v>29</v>
      </c>
      <c r="P500" s="29"/>
      <c r="Q500" s="6"/>
      <c r="R500" s="29"/>
      <c r="S500" s="10"/>
      <c r="T500" s="8">
        <v>1</v>
      </c>
    </row>
    <row r="501" spans="1:20" ht="15.75" customHeight="1" x14ac:dyDescent="0.35">
      <c r="A501" s="25" t="s">
        <v>682</v>
      </c>
      <c r="B501" s="25" t="s">
        <v>700</v>
      </c>
      <c r="C501" s="26">
        <v>109226</v>
      </c>
      <c r="D501" s="25" t="s">
        <v>747</v>
      </c>
      <c r="E501" s="25" t="s">
        <v>746</v>
      </c>
      <c r="F501" s="26" t="s">
        <v>555</v>
      </c>
      <c r="G501" s="26" t="s">
        <v>555</v>
      </c>
      <c r="H501" s="26">
        <v>1</v>
      </c>
      <c r="I501" s="26">
        <v>2</v>
      </c>
      <c r="J501" s="26">
        <v>1</v>
      </c>
      <c r="K501" s="26">
        <v>138</v>
      </c>
      <c r="L501" s="26" t="s">
        <v>28</v>
      </c>
      <c r="M501" s="27">
        <v>1311</v>
      </c>
      <c r="N501" s="28">
        <v>155957.26999999999</v>
      </c>
      <c r="O501" s="26" t="s">
        <v>29</v>
      </c>
      <c r="P501" s="29"/>
      <c r="Q501" s="6"/>
      <c r="R501" s="29"/>
      <c r="S501" s="10"/>
      <c r="T501" s="8">
        <v>1</v>
      </c>
    </row>
    <row r="502" spans="1:20" ht="15.75" customHeight="1" x14ac:dyDescent="0.35">
      <c r="A502" s="25" t="s">
        <v>682</v>
      </c>
      <c r="B502" s="25" t="s">
        <v>700</v>
      </c>
      <c r="C502" s="26">
        <v>165003</v>
      </c>
      <c r="D502" s="25" t="s">
        <v>694</v>
      </c>
      <c r="E502" s="25" t="s">
        <v>458</v>
      </c>
      <c r="F502" s="26" t="s">
        <v>215</v>
      </c>
      <c r="G502" s="26" t="s">
        <v>215</v>
      </c>
      <c r="H502" s="26"/>
      <c r="I502" s="26"/>
      <c r="J502" s="26">
        <v>1</v>
      </c>
      <c r="K502" s="26">
        <v>138</v>
      </c>
      <c r="L502" s="26" t="s">
        <v>28</v>
      </c>
      <c r="M502" s="27">
        <v>1280</v>
      </c>
      <c r="N502" s="28"/>
      <c r="O502" s="26" t="s">
        <v>29</v>
      </c>
      <c r="P502" s="29"/>
      <c r="Q502" s="6"/>
      <c r="R502" s="29"/>
      <c r="S502" s="10"/>
      <c r="T502" s="8"/>
    </row>
    <row r="503" spans="1:20" ht="15.75" customHeight="1" x14ac:dyDescent="0.35">
      <c r="A503" s="25" t="s">
        <v>682</v>
      </c>
      <c r="B503" s="25" t="s">
        <v>700</v>
      </c>
      <c r="C503" s="26">
        <v>165008</v>
      </c>
      <c r="D503" s="25" t="s">
        <v>748</v>
      </c>
      <c r="E503" s="25" t="s">
        <v>218</v>
      </c>
      <c r="F503" s="26" t="s">
        <v>491</v>
      </c>
      <c r="G503" s="26" t="s">
        <v>491</v>
      </c>
      <c r="H503" s="26"/>
      <c r="I503" s="26"/>
      <c r="J503" s="26">
        <v>1</v>
      </c>
      <c r="K503" s="26">
        <v>138</v>
      </c>
      <c r="L503" s="26" t="s">
        <v>28</v>
      </c>
      <c r="M503" s="27">
        <v>1297</v>
      </c>
      <c r="N503" s="28"/>
      <c r="O503" s="26" t="s">
        <v>29</v>
      </c>
      <c r="P503" s="29"/>
      <c r="Q503" s="6"/>
      <c r="R503" s="29"/>
      <c r="S503" s="10"/>
      <c r="T503" s="8"/>
    </row>
    <row r="504" spans="1:20" ht="15.75" customHeight="1" x14ac:dyDescent="0.35">
      <c r="A504" s="25" t="s">
        <v>682</v>
      </c>
      <c r="B504" s="25" t="s">
        <v>700</v>
      </c>
      <c r="C504" s="26">
        <v>301387</v>
      </c>
      <c r="D504" s="25" t="s">
        <v>749</v>
      </c>
      <c r="E504" s="25" t="s">
        <v>714</v>
      </c>
      <c r="F504" s="26" t="s">
        <v>555</v>
      </c>
      <c r="G504" s="26" t="s">
        <v>555</v>
      </c>
      <c r="H504" s="26">
        <v>1</v>
      </c>
      <c r="I504" s="26">
        <v>3</v>
      </c>
      <c r="J504" s="26">
        <v>1</v>
      </c>
      <c r="K504" s="26">
        <v>138</v>
      </c>
      <c r="L504" s="26" t="s">
        <v>28</v>
      </c>
      <c r="M504" s="27">
        <v>1306</v>
      </c>
      <c r="N504" s="28">
        <v>213066.53</v>
      </c>
      <c r="O504" s="26" t="s">
        <v>29</v>
      </c>
      <c r="P504" s="29"/>
      <c r="Q504" s="6"/>
      <c r="R504" s="29"/>
      <c r="S504" s="10"/>
      <c r="T504" s="8">
        <v>1</v>
      </c>
    </row>
    <row r="505" spans="1:20" ht="15.75" customHeight="1" x14ac:dyDescent="0.35">
      <c r="A505" s="25" t="s">
        <v>682</v>
      </c>
      <c r="B505" s="25" t="s">
        <v>700</v>
      </c>
      <c r="C505" s="26">
        <v>301388</v>
      </c>
      <c r="D505" s="25" t="s">
        <v>750</v>
      </c>
      <c r="E505" s="25" t="s">
        <v>714</v>
      </c>
      <c r="F505" s="26" t="s">
        <v>555</v>
      </c>
      <c r="G505" s="26" t="s">
        <v>555</v>
      </c>
      <c r="H505" s="26">
        <v>1</v>
      </c>
      <c r="I505" s="26">
        <v>4</v>
      </c>
      <c r="J505" s="26">
        <v>1</v>
      </c>
      <c r="K505" s="26">
        <v>138</v>
      </c>
      <c r="L505" s="26" t="s">
        <v>28</v>
      </c>
      <c r="M505" s="27">
        <v>1305</v>
      </c>
      <c r="N505" s="28">
        <v>231264.73</v>
      </c>
      <c r="O505" s="26" t="s">
        <v>29</v>
      </c>
      <c r="P505" s="29"/>
      <c r="Q505" s="6"/>
      <c r="R505" s="29"/>
      <c r="S505" s="10"/>
      <c r="T505" s="8">
        <v>1</v>
      </c>
    </row>
    <row r="506" spans="1:20" ht="15.75" customHeight="1" x14ac:dyDescent="0.35">
      <c r="A506" s="25" t="s">
        <v>682</v>
      </c>
      <c r="B506" s="25" t="s">
        <v>700</v>
      </c>
      <c r="C506" s="26">
        <v>308042</v>
      </c>
      <c r="D506" s="25" t="s">
        <v>751</v>
      </c>
      <c r="E506" s="25" t="s">
        <v>714</v>
      </c>
      <c r="F506" s="26" t="s">
        <v>555</v>
      </c>
      <c r="G506" s="26" t="s">
        <v>555</v>
      </c>
      <c r="H506" s="26">
        <v>1</v>
      </c>
      <c r="I506" s="26">
        <v>2</v>
      </c>
      <c r="J506" s="26">
        <v>1</v>
      </c>
      <c r="K506" s="26">
        <v>138</v>
      </c>
      <c r="L506" s="26" t="s">
        <v>28</v>
      </c>
      <c r="M506" s="27">
        <v>1304</v>
      </c>
      <c r="N506" s="28">
        <v>160892.19</v>
      </c>
      <c r="O506" s="26" t="s">
        <v>29</v>
      </c>
      <c r="P506" s="29"/>
      <c r="Q506" s="6"/>
      <c r="R506" s="29"/>
      <c r="S506" s="10"/>
      <c r="T506" s="8">
        <v>1</v>
      </c>
    </row>
    <row r="507" spans="1:20" ht="15.75" customHeight="1" x14ac:dyDescent="0.35">
      <c r="A507" s="25" t="s">
        <v>682</v>
      </c>
      <c r="B507" s="25" t="s">
        <v>700</v>
      </c>
      <c r="C507" s="26">
        <v>308044</v>
      </c>
      <c r="D507" s="25" t="s">
        <v>752</v>
      </c>
      <c r="E507" s="25" t="s">
        <v>735</v>
      </c>
      <c r="F507" s="26" t="s">
        <v>491</v>
      </c>
      <c r="G507" s="26" t="s">
        <v>491</v>
      </c>
      <c r="H507" s="26">
        <v>1</v>
      </c>
      <c r="I507" s="26">
        <v>3</v>
      </c>
      <c r="J507" s="26">
        <v>1</v>
      </c>
      <c r="K507" s="26">
        <v>138</v>
      </c>
      <c r="L507" s="26" t="s">
        <v>28</v>
      </c>
      <c r="M507" s="27">
        <v>1288</v>
      </c>
      <c r="N507" s="28">
        <v>195687.72</v>
      </c>
      <c r="O507" s="26" t="s">
        <v>29</v>
      </c>
      <c r="P507" s="29"/>
      <c r="Q507" s="6"/>
      <c r="R507" s="29"/>
      <c r="S507" s="10"/>
      <c r="T507" s="8">
        <v>1</v>
      </c>
    </row>
    <row r="508" spans="1:20" ht="15.75" customHeight="1" x14ac:dyDescent="0.35">
      <c r="A508" s="25" t="s">
        <v>682</v>
      </c>
      <c r="B508" s="25" t="s">
        <v>700</v>
      </c>
      <c r="C508" s="26">
        <v>308048</v>
      </c>
      <c r="D508" s="25" t="s">
        <v>753</v>
      </c>
      <c r="E508" s="25" t="s">
        <v>714</v>
      </c>
      <c r="F508" s="26" t="s">
        <v>555</v>
      </c>
      <c r="G508" s="26" t="s">
        <v>555</v>
      </c>
      <c r="H508" s="26"/>
      <c r="I508" s="26"/>
      <c r="J508" s="26">
        <v>1</v>
      </c>
      <c r="K508" s="26">
        <v>138</v>
      </c>
      <c r="L508" s="26" t="s">
        <v>28</v>
      </c>
      <c r="M508" s="27">
        <v>1307</v>
      </c>
      <c r="N508" s="28"/>
      <c r="O508" s="26" t="s">
        <v>29</v>
      </c>
      <c r="P508" s="29"/>
      <c r="Q508" s="6"/>
      <c r="R508" s="29"/>
      <c r="S508" s="10"/>
      <c r="T508" s="8"/>
    </row>
    <row r="509" spans="1:20" ht="15.75" customHeight="1" x14ac:dyDescent="0.35">
      <c r="A509" s="25" t="s">
        <v>754</v>
      </c>
      <c r="B509" s="25" t="s">
        <v>755</v>
      </c>
      <c r="C509" s="26">
        <v>109950</v>
      </c>
      <c r="D509" s="25" t="s">
        <v>756</v>
      </c>
      <c r="E509" s="25" t="s">
        <v>757</v>
      </c>
      <c r="F509" s="26" t="s">
        <v>27</v>
      </c>
      <c r="G509" s="26" t="s">
        <v>27</v>
      </c>
      <c r="H509" s="26"/>
      <c r="I509" s="26"/>
      <c r="J509" s="26">
        <v>1</v>
      </c>
      <c r="K509" s="26">
        <v>138</v>
      </c>
      <c r="L509" s="26" t="s">
        <v>28</v>
      </c>
      <c r="M509" s="27">
        <v>1316</v>
      </c>
      <c r="N509" s="28"/>
      <c r="O509" s="26" t="s">
        <v>29</v>
      </c>
      <c r="P509" s="29"/>
      <c r="Q509" s="6"/>
      <c r="R509" s="29"/>
      <c r="S509" s="10"/>
      <c r="T509" s="8"/>
    </row>
    <row r="510" spans="1:20" ht="15.75" customHeight="1" x14ac:dyDescent="0.35">
      <c r="A510" s="25" t="s">
        <v>754</v>
      </c>
      <c r="B510" s="25" t="s">
        <v>755</v>
      </c>
      <c r="C510" s="26">
        <v>110003</v>
      </c>
      <c r="D510" s="25" t="s">
        <v>758</v>
      </c>
      <c r="E510" s="25" t="s">
        <v>759</v>
      </c>
      <c r="F510" s="26" t="s">
        <v>27</v>
      </c>
      <c r="G510" s="26" t="s">
        <v>27</v>
      </c>
      <c r="H510" s="26"/>
      <c r="I510" s="26"/>
      <c r="J510" s="26">
        <v>1</v>
      </c>
      <c r="K510" s="26">
        <v>138</v>
      </c>
      <c r="L510" s="26" t="s">
        <v>28</v>
      </c>
      <c r="M510" s="27">
        <v>1317</v>
      </c>
      <c r="N510" s="28"/>
      <c r="O510" s="26" t="s">
        <v>29</v>
      </c>
      <c r="P510" s="29"/>
      <c r="Q510" s="6"/>
      <c r="R510" s="29"/>
      <c r="S510" s="10"/>
      <c r="T510" s="8"/>
    </row>
    <row r="511" spans="1:20" ht="15.75" customHeight="1" x14ac:dyDescent="0.35">
      <c r="A511" s="25" t="s">
        <v>754</v>
      </c>
      <c r="B511" s="25" t="s">
        <v>755</v>
      </c>
      <c r="C511" s="26">
        <v>110006</v>
      </c>
      <c r="D511" s="25" t="s">
        <v>760</v>
      </c>
      <c r="E511" s="25" t="s">
        <v>759</v>
      </c>
      <c r="F511" s="26" t="s">
        <v>27</v>
      </c>
      <c r="G511" s="26" t="s">
        <v>27</v>
      </c>
      <c r="H511" s="26"/>
      <c r="I511" s="26"/>
      <c r="J511" s="26">
        <v>1</v>
      </c>
      <c r="K511" s="26">
        <v>138</v>
      </c>
      <c r="L511" s="26" t="s">
        <v>28</v>
      </c>
      <c r="M511" s="27">
        <v>1318</v>
      </c>
      <c r="N511" s="28"/>
      <c r="O511" s="26" t="s">
        <v>29</v>
      </c>
      <c r="P511" s="29"/>
      <c r="Q511" s="6"/>
      <c r="R511" s="29"/>
      <c r="S511" s="10"/>
      <c r="T511" s="8"/>
    </row>
    <row r="512" spans="1:20" ht="15.75" customHeight="1" x14ac:dyDescent="0.35">
      <c r="A512" s="25" t="s">
        <v>754</v>
      </c>
      <c r="B512" s="25" t="s">
        <v>755</v>
      </c>
      <c r="C512" s="26">
        <v>110007</v>
      </c>
      <c r="D512" s="25" t="s">
        <v>761</v>
      </c>
      <c r="E512" s="25" t="s">
        <v>759</v>
      </c>
      <c r="F512" s="26" t="s">
        <v>27</v>
      </c>
      <c r="G512" s="26" t="s">
        <v>27</v>
      </c>
      <c r="H512" s="26"/>
      <c r="I512" s="26"/>
      <c r="J512" s="26">
        <v>1</v>
      </c>
      <c r="K512" s="26">
        <v>138</v>
      </c>
      <c r="L512" s="26" t="s">
        <v>28</v>
      </c>
      <c r="M512" s="27">
        <v>1319</v>
      </c>
      <c r="N512" s="28"/>
      <c r="O512" s="26" t="s">
        <v>29</v>
      </c>
      <c r="P512" s="29"/>
      <c r="Q512" s="6"/>
      <c r="R512" s="29"/>
      <c r="S512" s="10"/>
      <c r="T512" s="8"/>
    </row>
    <row r="513" spans="1:20" ht="15.75" customHeight="1" x14ac:dyDescent="0.35">
      <c r="A513" s="25" t="s">
        <v>754</v>
      </c>
      <c r="B513" s="25" t="s">
        <v>755</v>
      </c>
      <c r="C513" s="26">
        <v>110011</v>
      </c>
      <c r="D513" s="25" t="s">
        <v>762</v>
      </c>
      <c r="E513" s="25" t="s">
        <v>763</v>
      </c>
      <c r="F513" s="26" t="s">
        <v>27</v>
      </c>
      <c r="G513" s="26" t="s">
        <v>27</v>
      </c>
      <c r="H513" s="26"/>
      <c r="I513" s="26"/>
      <c r="J513" s="26">
        <v>1</v>
      </c>
      <c r="K513" s="26">
        <v>138</v>
      </c>
      <c r="L513" s="26" t="s">
        <v>28</v>
      </c>
      <c r="M513" s="27">
        <v>1313</v>
      </c>
      <c r="N513" s="28"/>
      <c r="O513" s="26" t="s">
        <v>29</v>
      </c>
      <c r="P513" s="29"/>
      <c r="Q513" s="6"/>
      <c r="R513" s="29"/>
      <c r="S513" s="10"/>
      <c r="T513" s="8"/>
    </row>
    <row r="514" spans="1:20" ht="15.75" customHeight="1" x14ac:dyDescent="0.35">
      <c r="A514" s="25" t="s">
        <v>754</v>
      </c>
      <c r="B514" s="25" t="s">
        <v>755</v>
      </c>
      <c r="C514" s="26">
        <v>110012</v>
      </c>
      <c r="D514" s="25" t="s">
        <v>764</v>
      </c>
      <c r="E514" s="25" t="s">
        <v>763</v>
      </c>
      <c r="F514" s="26" t="s">
        <v>27</v>
      </c>
      <c r="G514" s="26" t="s">
        <v>27</v>
      </c>
      <c r="H514" s="26"/>
      <c r="I514" s="26"/>
      <c r="J514" s="26">
        <v>1</v>
      </c>
      <c r="K514" s="26">
        <v>138</v>
      </c>
      <c r="L514" s="26" t="s">
        <v>28</v>
      </c>
      <c r="M514" s="27">
        <v>1314</v>
      </c>
      <c r="N514" s="28"/>
      <c r="O514" s="26" t="s">
        <v>29</v>
      </c>
      <c r="P514" s="29"/>
      <c r="Q514" s="6"/>
      <c r="R514" s="29"/>
      <c r="S514" s="10"/>
      <c r="T514" s="8"/>
    </row>
    <row r="515" spans="1:20" ht="15.75" customHeight="1" x14ac:dyDescent="0.35">
      <c r="A515" s="25" t="s">
        <v>754</v>
      </c>
      <c r="B515" s="25" t="s">
        <v>755</v>
      </c>
      <c r="C515" s="26">
        <v>169005</v>
      </c>
      <c r="D515" s="25" t="s">
        <v>765</v>
      </c>
      <c r="E515" s="25" t="s">
        <v>763</v>
      </c>
      <c r="F515" s="26" t="s">
        <v>27</v>
      </c>
      <c r="G515" s="26" t="s">
        <v>27</v>
      </c>
      <c r="H515" s="26">
        <v>1</v>
      </c>
      <c r="I515" s="26">
        <v>3</v>
      </c>
      <c r="J515" s="26">
        <v>1</v>
      </c>
      <c r="K515" s="26">
        <v>138</v>
      </c>
      <c r="L515" s="26" t="s">
        <v>28</v>
      </c>
      <c r="M515" s="27">
        <v>1320</v>
      </c>
      <c r="N515" s="28">
        <v>205929.74</v>
      </c>
      <c r="O515" s="26" t="s">
        <v>29</v>
      </c>
      <c r="P515" s="29"/>
      <c r="Q515" s="6"/>
      <c r="R515" s="29"/>
      <c r="S515" s="10"/>
      <c r="T515" s="8">
        <v>1</v>
      </c>
    </row>
    <row r="516" spans="1:20" ht="15.75" customHeight="1" x14ac:dyDescent="0.35">
      <c r="A516" s="25" t="s">
        <v>754</v>
      </c>
      <c r="B516" s="25" t="s">
        <v>755</v>
      </c>
      <c r="C516" s="26">
        <v>169009</v>
      </c>
      <c r="D516" s="25" t="s">
        <v>766</v>
      </c>
      <c r="E516" s="25" t="s">
        <v>757</v>
      </c>
      <c r="F516" s="26" t="s">
        <v>27</v>
      </c>
      <c r="G516" s="26" t="s">
        <v>27</v>
      </c>
      <c r="H516" s="26"/>
      <c r="I516" s="26"/>
      <c r="J516" s="26">
        <v>1</v>
      </c>
      <c r="K516" s="26">
        <v>138</v>
      </c>
      <c r="L516" s="26" t="s">
        <v>28</v>
      </c>
      <c r="M516" s="27">
        <v>1315</v>
      </c>
      <c r="N516" s="28"/>
      <c r="O516" s="26" t="s">
        <v>29</v>
      </c>
      <c r="P516" s="29"/>
      <c r="Q516" s="6"/>
      <c r="R516" s="29"/>
      <c r="S516" s="10"/>
      <c r="T516" s="8"/>
    </row>
    <row r="517" spans="1:20" ht="15.75" customHeight="1" x14ac:dyDescent="0.35">
      <c r="A517" s="25" t="s">
        <v>754</v>
      </c>
      <c r="B517" s="25" t="s">
        <v>767</v>
      </c>
      <c r="C517" s="26">
        <v>110039</v>
      </c>
      <c r="D517" s="25" t="s">
        <v>768</v>
      </c>
      <c r="E517" s="25" t="s">
        <v>769</v>
      </c>
      <c r="F517" s="26" t="s">
        <v>27</v>
      </c>
      <c r="G517" s="26" t="s">
        <v>27</v>
      </c>
      <c r="H517" s="26"/>
      <c r="I517" s="26"/>
      <c r="J517" s="26">
        <v>1</v>
      </c>
      <c r="K517" s="26">
        <v>138</v>
      </c>
      <c r="L517" s="26" t="s">
        <v>28</v>
      </c>
      <c r="M517" s="27">
        <v>1326</v>
      </c>
      <c r="N517" s="28"/>
      <c r="O517" s="26" t="s">
        <v>29</v>
      </c>
      <c r="P517" s="29"/>
      <c r="Q517" s="6"/>
      <c r="R517" s="29"/>
      <c r="S517" s="10"/>
      <c r="T517" s="8"/>
    </row>
    <row r="518" spans="1:20" ht="15.75" customHeight="1" x14ac:dyDescent="0.35">
      <c r="A518" s="25" t="s">
        <v>754</v>
      </c>
      <c r="B518" s="25" t="s">
        <v>767</v>
      </c>
      <c r="C518" s="26">
        <v>110041</v>
      </c>
      <c r="D518" s="25" t="s">
        <v>770</v>
      </c>
      <c r="E518" s="25" t="s">
        <v>769</v>
      </c>
      <c r="F518" s="26" t="s">
        <v>27</v>
      </c>
      <c r="G518" s="26" t="s">
        <v>27</v>
      </c>
      <c r="H518" s="26"/>
      <c r="I518" s="26"/>
      <c r="J518" s="26">
        <v>1</v>
      </c>
      <c r="K518" s="26">
        <v>138</v>
      </c>
      <c r="L518" s="26" t="s">
        <v>28</v>
      </c>
      <c r="M518" s="27">
        <v>1335</v>
      </c>
      <c r="N518" s="28"/>
      <c r="O518" s="26" t="s">
        <v>29</v>
      </c>
      <c r="P518" s="29"/>
      <c r="Q518" s="6"/>
      <c r="R518" s="29"/>
      <c r="S518" s="10"/>
      <c r="T518" s="8"/>
    </row>
    <row r="519" spans="1:20" ht="15.75" customHeight="1" x14ac:dyDescent="0.35">
      <c r="A519" s="25" t="s">
        <v>754</v>
      </c>
      <c r="B519" s="25" t="s">
        <v>767</v>
      </c>
      <c r="C519" s="26">
        <v>110043</v>
      </c>
      <c r="D519" s="25" t="s">
        <v>771</v>
      </c>
      <c r="E519" s="25" t="s">
        <v>769</v>
      </c>
      <c r="F519" s="26" t="s">
        <v>27</v>
      </c>
      <c r="G519" s="26" t="s">
        <v>27</v>
      </c>
      <c r="H519" s="26"/>
      <c r="I519" s="26"/>
      <c r="J519" s="26">
        <v>1</v>
      </c>
      <c r="K519" s="26">
        <v>138</v>
      </c>
      <c r="L519" s="26" t="s">
        <v>28</v>
      </c>
      <c r="M519" s="27">
        <v>1339</v>
      </c>
      <c r="N519" s="28"/>
      <c r="O519" s="26" t="s">
        <v>29</v>
      </c>
      <c r="P519" s="29"/>
      <c r="Q519" s="6"/>
      <c r="R519" s="29"/>
      <c r="S519" s="10"/>
      <c r="T519" s="8"/>
    </row>
    <row r="520" spans="1:20" ht="15.75" customHeight="1" x14ac:dyDescent="0.35">
      <c r="A520" s="25" t="s">
        <v>754</v>
      </c>
      <c r="B520" s="25" t="s">
        <v>767</v>
      </c>
      <c r="C520" s="26">
        <v>110046</v>
      </c>
      <c r="D520" s="25" t="s">
        <v>772</v>
      </c>
      <c r="E520" s="25" t="s">
        <v>769</v>
      </c>
      <c r="F520" s="26" t="s">
        <v>27</v>
      </c>
      <c r="G520" s="26" t="s">
        <v>27</v>
      </c>
      <c r="H520" s="26"/>
      <c r="I520" s="26"/>
      <c r="J520" s="26">
        <v>1</v>
      </c>
      <c r="K520" s="26">
        <v>138</v>
      </c>
      <c r="L520" s="26" t="s">
        <v>28</v>
      </c>
      <c r="M520" s="27">
        <v>1346</v>
      </c>
      <c r="N520" s="28"/>
      <c r="O520" s="26" t="s">
        <v>29</v>
      </c>
      <c r="P520" s="29"/>
      <c r="Q520" s="6"/>
      <c r="R520" s="29"/>
      <c r="S520" s="10"/>
      <c r="T520" s="8"/>
    </row>
    <row r="521" spans="1:20" ht="15.75" customHeight="1" x14ac:dyDescent="0.35">
      <c r="A521" s="25" t="s">
        <v>754</v>
      </c>
      <c r="B521" s="25" t="s">
        <v>767</v>
      </c>
      <c r="C521" s="26">
        <v>110049</v>
      </c>
      <c r="D521" s="25" t="s">
        <v>773</v>
      </c>
      <c r="E521" s="25" t="s">
        <v>769</v>
      </c>
      <c r="F521" s="26" t="s">
        <v>27</v>
      </c>
      <c r="G521" s="26" t="s">
        <v>27</v>
      </c>
      <c r="H521" s="26"/>
      <c r="I521" s="26"/>
      <c r="J521" s="26">
        <v>1</v>
      </c>
      <c r="K521" s="26">
        <v>138</v>
      </c>
      <c r="L521" s="26" t="s">
        <v>28</v>
      </c>
      <c r="M521" s="27">
        <v>1349</v>
      </c>
      <c r="N521" s="28"/>
      <c r="O521" s="26" t="s">
        <v>29</v>
      </c>
      <c r="P521" s="29"/>
      <c r="Q521" s="6"/>
      <c r="R521" s="29"/>
      <c r="S521" s="10"/>
      <c r="T521" s="8"/>
    </row>
    <row r="522" spans="1:20" ht="15.75" customHeight="1" x14ac:dyDescent="0.35">
      <c r="A522" s="25" t="s">
        <v>754</v>
      </c>
      <c r="B522" s="25" t="s">
        <v>767</v>
      </c>
      <c r="C522" s="26">
        <v>110053</v>
      </c>
      <c r="D522" s="25" t="s">
        <v>774</v>
      </c>
      <c r="E522" s="25" t="s">
        <v>769</v>
      </c>
      <c r="F522" s="26" t="s">
        <v>27</v>
      </c>
      <c r="G522" s="26" t="s">
        <v>27</v>
      </c>
      <c r="H522" s="26"/>
      <c r="I522" s="26"/>
      <c r="J522" s="26">
        <v>1</v>
      </c>
      <c r="K522" s="26">
        <v>138</v>
      </c>
      <c r="L522" s="26" t="s">
        <v>28</v>
      </c>
      <c r="M522" s="27">
        <v>1353</v>
      </c>
      <c r="N522" s="28"/>
      <c r="O522" s="26" t="s">
        <v>29</v>
      </c>
      <c r="P522" s="29"/>
      <c r="Q522" s="6"/>
      <c r="R522" s="29"/>
      <c r="S522" s="10"/>
      <c r="T522" s="8"/>
    </row>
    <row r="523" spans="1:20" ht="15.75" customHeight="1" x14ac:dyDescent="0.35">
      <c r="A523" s="25" t="s">
        <v>754</v>
      </c>
      <c r="B523" s="25" t="s">
        <v>767</v>
      </c>
      <c r="C523" s="26">
        <v>110063</v>
      </c>
      <c r="D523" s="25" t="s">
        <v>775</v>
      </c>
      <c r="E523" s="25" t="s">
        <v>769</v>
      </c>
      <c r="F523" s="26" t="s">
        <v>27</v>
      </c>
      <c r="G523" s="26" t="s">
        <v>27</v>
      </c>
      <c r="H523" s="26"/>
      <c r="I523" s="26"/>
      <c r="J523" s="26">
        <v>1</v>
      </c>
      <c r="K523" s="26">
        <v>138</v>
      </c>
      <c r="L523" s="26" t="s">
        <v>28</v>
      </c>
      <c r="M523" s="27">
        <v>1361</v>
      </c>
      <c r="N523" s="28"/>
      <c r="O523" s="26" t="s">
        <v>29</v>
      </c>
      <c r="P523" s="29"/>
      <c r="Q523" s="6"/>
      <c r="R523" s="29"/>
      <c r="S523" s="10"/>
      <c r="T523" s="8"/>
    </row>
    <row r="524" spans="1:20" ht="15.75" customHeight="1" x14ac:dyDescent="0.35">
      <c r="A524" s="25" t="s">
        <v>754</v>
      </c>
      <c r="B524" s="25" t="s">
        <v>767</v>
      </c>
      <c r="C524" s="26">
        <v>110069</v>
      </c>
      <c r="D524" s="25" t="s">
        <v>776</v>
      </c>
      <c r="E524" s="25" t="s">
        <v>769</v>
      </c>
      <c r="F524" s="26" t="s">
        <v>27</v>
      </c>
      <c r="G524" s="26" t="s">
        <v>27</v>
      </c>
      <c r="H524" s="26"/>
      <c r="I524" s="26"/>
      <c r="J524" s="26">
        <v>1</v>
      </c>
      <c r="K524" s="26">
        <v>138</v>
      </c>
      <c r="L524" s="26" t="s">
        <v>28</v>
      </c>
      <c r="M524" s="27">
        <v>1367</v>
      </c>
      <c r="N524" s="28"/>
      <c r="O524" s="26" t="s">
        <v>29</v>
      </c>
      <c r="P524" s="29"/>
      <c r="Q524" s="6"/>
      <c r="R524" s="29"/>
      <c r="S524" s="10"/>
      <c r="T524" s="8"/>
    </row>
    <row r="525" spans="1:20" ht="15.75" customHeight="1" x14ac:dyDescent="0.35">
      <c r="A525" s="25" t="s">
        <v>754</v>
      </c>
      <c r="B525" s="25" t="s">
        <v>767</v>
      </c>
      <c r="C525" s="26">
        <v>110076</v>
      </c>
      <c r="D525" s="25" t="s">
        <v>777</v>
      </c>
      <c r="E525" s="25" t="s">
        <v>778</v>
      </c>
      <c r="F525" s="26" t="s">
        <v>27</v>
      </c>
      <c r="G525" s="26" t="s">
        <v>27</v>
      </c>
      <c r="H525" s="26"/>
      <c r="I525" s="26"/>
      <c r="J525" s="26">
        <v>1</v>
      </c>
      <c r="K525" s="26">
        <v>138</v>
      </c>
      <c r="L525" s="26" t="s">
        <v>28</v>
      </c>
      <c r="M525" s="27">
        <v>1322</v>
      </c>
      <c r="N525" s="28"/>
      <c r="O525" s="26" t="s">
        <v>29</v>
      </c>
      <c r="P525" s="29"/>
      <c r="Q525" s="6"/>
      <c r="R525" s="29"/>
      <c r="S525" s="10"/>
      <c r="T525" s="8"/>
    </row>
    <row r="526" spans="1:20" ht="15.75" customHeight="1" x14ac:dyDescent="0.35">
      <c r="A526" s="25" t="s">
        <v>754</v>
      </c>
      <c r="B526" s="25" t="s">
        <v>767</v>
      </c>
      <c r="C526" s="26">
        <v>110077</v>
      </c>
      <c r="D526" s="25" t="s">
        <v>779</v>
      </c>
      <c r="E526" s="25" t="s">
        <v>778</v>
      </c>
      <c r="F526" s="26" t="s">
        <v>27</v>
      </c>
      <c r="G526" s="26" t="s">
        <v>27</v>
      </c>
      <c r="H526" s="26"/>
      <c r="I526" s="26"/>
      <c r="J526" s="26">
        <v>1</v>
      </c>
      <c r="K526" s="26">
        <v>138</v>
      </c>
      <c r="L526" s="26" t="s">
        <v>28</v>
      </c>
      <c r="M526" s="27">
        <v>1323</v>
      </c>
      <c r="N526" s="28"/>
      <c r="O526" s="26" t="s">
        <v>29</v>
      </c>
      <c r="P526" s="29"/>
      <c r="Q526" s="6"/>
      <c r="R526" s="29"/>
      <c r="S526" s="10"/>
      <c r="T526" s="8"/>
    </row>
    <row r="527" spans="1:20" ht="15.75" customHeight="1" x14ac:dyDescent="0.35">
      <c r="A527" s="25" t="s">
        <v>754</v>
      </c>
      <c r="B527" s="25" t="s">
        <v>767</v>
      </c>
      <c r="C527" s="26">
        <v>110079</v>
      </c>
      <c r="D527" s="25" t="s">
        <v>780</v>
      </c>
      <c r="E527" s="25" t="s">
        <v>778</v>
      </c>
      <c r="F527" s="26" t="s">
        <v>27</v>
      </c>
      <c r="G527" s="26" t="s">
        <v>27</v>
      </c>
      <c r="H527" s="26"/>
      <c r="I527" s="26"/>
      <c r="J527" s="26">
        <v>1</v>
      </c>
      <c r="K527" s="26">
        <v>138</v>
      </c>
      <c r="L527" s="26" t="s">
        <v>28</v>
      </c>
      <c r="M527" s="27">
        <v>1328</v>
      </c>
      <c r="N527" s="28"/>
      <c r="O527" s="26" t="s">
        <v>29</v>
      </c>
      <c r="P527" s="29"/>
      <c r="Q527" s="6"/>
      <c r="R527" s="29"/>
      <c r="S527" s="10"/>
      <c r="T527" s="8"/>
    </row>
    <row r="528" spans="1:20" ht="15.75" customHeight="1" x14ac:dyDescent="0.35">
      <c r="A528" s="25" t="s">
        <v>754</v>
      </c>
      <c r="B528" s="25" t="s">
        <v>767</v>
      </c>
      <c r="C528" s="26">
        <v>110083</v>
      </c>
      <c r="D528" s="25" t="s">
        <v>781</v>
      </c>
      <c r="E528" s="25" t="s">
        <v>778</v>
      </c>
      <c r="F528" s="26" t="s">
        <v>27</v>
      </c>
      <c r="G528" s="26" t="s">
        <v>27</v>
      </c>
      <c r="H528" s="26"/>
      <c r="I528" s="26"/>
      <c r="J528" s="26">
        <v>1</v>
      </c>
      <c r="K528" s="26">
        <v>138</v>
      </c>
      <c r="L528" s="26" t="s">
        <v>28</v>
      </c>
      <c r="M528" s="27">
        <v>1344</v>
      </c>
      <c r="N528" s="28"/>
      <c r="O528" s="26" t="s">
        <v>29</v>
      </c>
      <c r="P528" s="29"/>
      <c r="Q528" s="6"/>
      <c r="R528" s="29"/>
      <c r="S528" s="10"/>
      <c r="T528" s="8"/>
    </row>
    <row r="529" spans="1:20" ht="15.75" customHeight="1" x14ac:dyDescent="0.35">
      <c r="A529" s="25" t="s">
        <v>754</v>
      </c>
      <c r="B529" s="25" t="s">
        <v>767</v>
      </c>
      <c r="C529" s="26">
        <v>110086</v>
      </c>
      <c r="D529" s="25" t="s">
        <v>782</v>
      </c>
      <c r="E529" s="25" t="s">
        <v>778</v>
      </c>
      <c r="F529" s="26" t="s">
        <v>27</v>
      </c>
      <c r="G529" s="26" t="s">
        <v>27</v>
      </c>
      <c r="H529" s="26">
        <v>1</v>
      </c>
      <c r="I529" s="26">
        <v>3</v>
      </c>
      <c r="J529" s="26">
        <v>1</v>
      </c>
      <c r="K529" s="26">
        <v>138</v>
      </c>
      <c r="L529" s="26" t="s">
        <v>28</v>
      </c>
      <c r="M529" s="27">
        <v>1356</v>
      </c>
      <c r="N529" s="30">
        <v>292608.44</v>
      </c>
      <c r="O529" s="26" t="s">
        <v>29</v>
      </c>
      <c r="P529" s="29"/>
      <c r="Q529" s="6"/>
      <c r="R529" s="29"/>
      <c r="S529" s="10"/>
      <c r="T529" s="8">
        <v>1</v>
      </c>
    </row>
    <row r="530" spans="1:20" ht="15.75" customHeight="1" x14ac:dyDescent="0.35">
      <c r="A530" s="25" t="s">
        <v>754</v>
      </c>
      <c r="B530" s="25" t="s">
        <v>767</v>
      </c>
      <c r="C530" s="26">
        <v>110103</v>
      </c>
      <c r="D530" s="25" t="s">
        <v>783</v>
      </c>
      <c r="E530" s="25" t="s">
        <v>784</v>
      </c>
      <c r="F530" s="26" t="s">
        <v>27</v>
      </c>
      <c r="G530" s="26" t="s">
        <v>27</v>
      </c>
      <c r="H530" s="26"/>
      <c r="I530" s="26"/>
      <c r="J530" s="26">
        <v>1</v>
      </c>
      <c r="K530" s="26">
        <v>138</v>
      </c>
      <c r="L530" s="26" t="s">
        <v>28</v>
      </c>
      <c r="M530" s="27">
        <v>1336</v>
      </c>
      <c r="N530" s="28"/>
      <c r="O530" s="26" t="s">
        <v>29</v>
      </c>
      <c r="P530" s="29"/>
      <c r="Q530" s="6"/>
      <c r="R530" s="29"/>
      <c r="S530" s="10"/>
      <c r="T530" s="8"/>
    </row>
    <row r="531" spans="1:20" ht="15.75" customHeight="1" x14ac:dyDescent="0.35">
      <c r="A531" s="25" t="s">
        <v>754</v>
      </c>
      <c r="B531" s="25" t="s">
        <v>767</v>
      </c>
      <c r="C531" s="26">
        <v>110104</v>
      </c>
      <c r="D531" s="25" t="s">
        <v>785</v>
      </c>
      <c r="E531" s="25" t="s">
        <v>784</v>
      </c>
      <c r="F531" s="26" t="s">
        <v>27</v>
      </c>
      <c r="G531" s="26" t="s">
        <v>27</v>
      </c>
      <c r="H531" s="26"/>
      <c r="I531" s="26"/>
      <c r="J531" s="26">
        <v>1</v>
      </c>
      <c r="K531" s="26">
        <v>138</v>
      </c>
      <c r="L531" s="26" t="s">
        <v>28</v>
      </c>
      <c r="M531" s="27">
        <v>1340</v>
      </c>
      <c r="N531" s="28"/>
      <c r="O531" s="26" t="s">
        <v>29</v>
      </c>
      <c r="P531" s="29"/>
      <c r="Q531" s="6"/>
      <c r="R531" s="29"/>
      <c r="S531" s="10"/>
      <c r="T531" s="8"/>
    </row>
    <row r="532" spans="1:20" ht="15.75" customHeight="1" x14ac:dyDescent="0.35">
      <c r="A532" s="25" t="s">
        <v>754</v>
      </c>
      <c r="B532" s="25" t="s">
        <v>767</v>
      </c>
      <c r="C532" s="26">
        <v>110106</v>
      </c>
      <c r="D532" s="25" t="s">
        <v>786</v>
      </c>
      <c r="E532" s="25" t="s">
        <v>784</v>
      </c>
      <c r="F532" s="26" t="s">
        <v>27</v>
      </c>
      <c r="G532" s="26" t="s">
        <v>27</v>
      </c>
      <c r="H532" s="26"/>
      <c r="I532" s="26"/>
      <c r="J532" s="26">
        <v>1</v>
      </c>
      <c r="K532" s="26">
        <v>138</v>
      </c>
      <c r="L532" s="26" t="s">
        <v>28</v>
      </c>
      <c r="M532" s="27">
        <v>1352</v>
      </c>
      <c r="N532" s="28"/>
      <c r="O532" s="26" t="s">
        <v>29</v>
      </c>
      <c r="P532" s="29"/>
      <c r="Q532" s="6"/>
      <c r="R532" s="29"/>
      <c r="S532" s="10"/>
      <c r="T532" s="8"/>
    </row>
    <row r="533" spans="1:20" ht="15.75" customHeight="1" x14ac:dyDescent="0.35">
      <c r="A533" s="25" t="s">
        <v>754</v>
      </c>
      <c r="B533" s="25" t="s">
        <v>767</v>
      </c>
      <c r="C533" s="26">
        <v>110119</v>
      </c>
      <c r="D533" s="25" t="s">
        <v>787</v>
      </c>
      <c r="E533" s="25" t="s">
        <v>788</v>
      </c>
      <c r="F533" s="26" t="s">
        <v>27</v>
      </c>
      <c r="G533" s="26" t="s">
        <v>27</v>
      </c>
      <c r="H533" s="26"/>
      <c r="I533" s="26"/>
      <c r="J533" s="26">
        <v>1</v>
      </c>
      <c r="K533" s="26">
        <v>138</v>
      </c>
      <c r="L533" s="26" t="s">
        <v>28</v>
      </c>
      <c r="M533" s="27">
        <v>1332</v>
      </c>
      <c r="N533" s="28"/>
      <c r="O533" s="26" t="s">
        <v>29</v>
      </c>
      <c r="P533" s="29"/>
      <c r="Q533" s="6"/>
      <c r="R533" s="29"/>
      <c r="S533" s="10"/>
      <c r="T533" s="8"/>
    </row>
    <row r="534" spans="1:20" ht="15.75" customHeight="1" x14ac:dyDescent="0.35">
      <c r="A534" s="25" t="s">
        <v>754</v>
      </c>
      <c r="B534" s="25" t="s">
        <v>767</v>
      </c>
      <c r="C534" s="26">
        <v>110126</v>
      </c>
      <c r="D534" s="25" t="s">
        <v>789</v>
      </c>
      <c r="E534" s="25" t="s">
        <v>788</v>
      </c>
      <c r="F534" s="26" t="s">
        <v>27</v>
      </c>
      <c r="G534" s="26" t="s">
        <v>27</v>
      </c>
      <c r="H534" s="26"/>
      <c r="I534" s="26"/>
      <c r="J534" s="26">
        <v>1</v>
      </c>
      <c r="K534" s="26">
        <v>138</v>
      </c>
      <c r="L534" s="26" t="s">
        <v>28</v>
      </c>
      <c r="M534" s="27">
        <v>1342</v>
      </c>
      <c r="N534" s="28"/>
      <c r="O534" s="26" t="s">
        <v>29</v>
      </c>
      <c r="P534" s="29"/>
      <c r="Q534" s="6"/>
      <c r="R534" s="29"/>
      <c r="S534" s="10"/>
      <c r="T534" s="8"/>
    </row>
    <row r="535" spans="1:20" ht="15.75" customHeight="1" x14ac:dyDescent="0.35">
      <c r="A535" s="25" t="s">
        <v>754</v>
      </c>
      <c r="B535" s="25" t="s">
        <v>767</v>
      </c>
      <c r="C535" s="26">
        <v>110128</v>
      </c>
      <c r="D535" s="25" t="s">
        <v>790</v>
      </c>
      <c r="E535" s="25" t="s">
        <v>788</v>
      </c>
      <c r="F535" s="26" t="s">
        <v>27</v>
      </c>
      <c r="G535" s="26" t="s">
        <v>27</v>
      </c>
      <c r="H535" s="26"/>
      <c r="I535" s="26"/>
      <c r="J535" s="26">
        <v>1</v>
      </c>
      <c r="K535" s="26">
        <v>138</v>
      </c>
      <c r="L535" s="26" t="s">
        <v>28</v>
      </c>
      <c r="M535" s="27">
        <v>1345</v>
      </c>
      <c r="N535" s="28"/>
      <c r="O535" s="26" t="s">
        <v>29</v>
      </c>
      <c r="P535" s="29"/>
      <c r="Q535" s="6"/>
      <c r="R535" s="29"/>
      <c r="S535" s="10"/>
      <c r="T535" s="8"/>
    </row>
    <row r="536" spans="1:20" ht="15.75" customHeight="1" x14ac:dyDescent="0.35">
      <c r="A536" s="25" t="s">
        <v>754</v>
      </c>
      <c r="B536" s="25" t="s">
        <v>767</v>
      </c>
      <c r="C536" s="26">
        <v>110132</v>
      </c>
      <c r="D536" s="25" t="s">
        <v>791</v>
      </c>
      <c r="E536" s="25" t="s">
        <v>788</v>
      </c>
      <c r="F536" s="26" t="s">
        <v>27</v>
      </c>
      <c r="G536" s="26" t="s">
        <v>27</v>
      </c>
      <c r="H536" s="26"/>
      <c r="I536" s="26"/>
      <c r="J536" s="26">
        <v>1</v>
      </c>
      <c r="K536" s="26">
        <v>138</v>
      </c>
      <c r="L536" s="26" t="s">
        <v>28</v>
      </c>
      <c r="M536" s="27">
        <v>1347</v>
      </c>
      <c r="N536" s="28"/>
      <c r="O536" s="26" t="s">
        <v>29</v>
      </c>
      <c r="P536" s="29"/>
      <c r="Q536" s="6"/>
      <c r="R536" s="29"/>
      <c r="S536" s="10"/>
      <c r="T536" s="8"/>
    </row>
    <row r="537" spans="1:20" ht="15.75" customHeight="1" x14ac:dyDescent="0.35">
      <c r="A537" s="25" t="s">
        <v>754</v>
      </c>
      <c r="B537" s="25" t="s">
        <v>767</v>
      </c>
      <c r="C537" s="26">
        <v>110135</v>
      </c>
      <c r="D537" s="25" t="s">
        <v>792</v>
      </c>
      <c r="E537" s="25" t="s">
        <v>788</v>
      </c>
      <c r="F537" s="26" t="s">
        <v>27</v>
      </c>
      <c r="G537" s="26" t="s">
        <v>27</v>
      </c>
      <c r="H537" s="26"/>
      <c r="I537" s="26"/>
      <c r="J537" s="26">
        <v>1</v>
      </c>
      <c r="K537" s="26">
        <v>138</v>
      </c>
      <c r="L537" s="26" t="s">
        <v>28</v>
      </c>
      <c r="M537" s="27">
        <v>1358</v>
      </c>
      <c r="N537" s="28"/>
      <c r="O537" s="26" t="s">
        <v>29</v>
      </c>
      <c r="P537" s="29"/>
      <c r="Q537" s="6"/>
      <c r="R537" s="29"/>
      <c r="S537" s="10"/>
      <c r="T537" s="8"/>
    </row>
    <row r="538" spans="1:20" ht="15.75" customHeight="1" x14ac:dyDescent="0.35">
      <c r="A538" s="25" t="s">
        <v>754</v>
      </c>
      <c r="B538" s="25" t="s">
        <v>767</v>
      </c>
      <c r="C538" s="26">
        <v>110144</v>
      </c>
      <c r="D538" s="25" t="s">
        <v>793</v>
      </c>
      <c r="E538" s="25" t="s">
        <v>788</v>
      </c>
      <c r="F538" s="26" t="s">
        <v>27</v>
      </c>
      <c r="G538" s="26" t="s">
        <v>27</v>
      </c>
      <c r="H538" s="26"/>
      <c r="I538" s="26"/>
      <c r="J538" s="26">
        <v>1</v>
      </c>
      <c r="K538" s="26">
        <v>138</v>
      </c>
      <c r="L538" s="26" t="s">
        <v>28</v>
      </c>
      <c r="M538" s="27">
        <v>1372</v>
      </c>
      <c r="N538" s="28"/>
      <c r="O538" s="26" t="s">
        <v>29</v>
      </c>
      <c r="P538" s="29"/>
      <c r="Q538" s="6"/>
      <c r="R538" s="29"/>
      <c r="S538" s="10"/>
      <c r="T538" s="8"/>
    </row>
    <row r="539" spans="1:20" ht="15.75" customHeight="1" x14ac:dyDescent="0.35">
      <c r="A539" s="25" t="s">
        <v>754</v>
      </c>
      <c r="B539" s="25" t="s">
        <v>767</v>
      </c>
      <c r="C539" s="26">
        <v>110153</v>
      </c>
      <c r="D539" s="25" t="s">
        <v>794</v>
      </c>
      <c r="E539" s="25" t="s">
        <v>795</v>
      </c>
      <c r="F539" s="26" t="s">
        <v>27</v>
      </c>
      <c r="G539" s="26" t="s">
        <v>27</v>
      </c>
      <c r="H539" s="26"/>
      <c r="I539" s="26"/>
      <c r="J539" s="26">
        <v>1</v>
      </c>
      <c r="K539" s="26">
        <v>138</v>
      </c>
      <c r="L539" s="26" t="s">
        <v>28</v>
      </c>
      <c r="M539" s="27">
        <v>1330</v>
      </c>
      <c r="N539" s="28"/>
      <c r="O539" s="26" t="s">
        <v>29</v>
      </c>
      <c r="P539" s="29"/>
      <c r="Q539" s="6"/>
      <c r="R539" s="29"/>
      <c r="S539" s="10"/>
      <c r="T539" s="8"/>
    </row>
    <row r="540" spans="1:20" ht="15.75" customHeight="1" x14ac:dyDescent="0.35">
      <c r="A540" s="25" t="s">
        <v>754</v>
      </c>
      <c r="B540" s="25" t="s">
        <v>767</v>
      </c>
      <c r="C540" s="26">
        <v>110154</v>
      </c>
      <c r="D540" s="25" t="s">
        <v>796</v>
      </c>
      <c r="E540" s="25" t="s">
        <v>795</v>
      </c>
      <c r="F540" s="26" t="s">
        <v>27</v>
      </c>
      <c r="G540" s="26" t="s">
        <v>27</v>
      </c>
      <c r="H540" s="26"/>
      <c r="I540" s="26"/>
      <c r="J540" s="26">
        <v>1</v>
      </c>
      <c r="K540" s="26">
        <v>138</v>
      </c>
      <c r="L540" s="26" t="s">
        <v>28</v>
      </c>
      <c r="M540" s="27">
        <v>1331</v>
      </c>
      <c r="N540" s="28"/>
      <c r="O540" s="26" t="s">
        <v>29</v>
      </c>
      <c r="P540" s="29"/>
      <c r="Q540" s="6"/>
      <c r="R540" s="29"/>
      <c r="S540" s="10"/>
      <c r="T540" s="8"/>
    </row>
    <row r="541" spans="1:20" ht="15.75" customHeight="1" x14ac:dyDescent="0.35">
      <c r="A541" s="25" t="s">
        <v>754</v>
      </c>
      <c r="B541" s="25" t="s">
        <v>767</v>
      </c>
      <c r="C541" s="26">
        <v>110157</v>
      </c>
      <c r="D541" s="25" t="s">
        <v>797</v>
      </c>
      <c r="E541" s="25" t="s">
        <v>759</v>
      </c>
      <c r="F541" s="26" t="s">
        <v>27</v>
      </c>
      <c r="G541" s="26" t="s">
        <v>27</v>
      </c>
      <c r="H541" s="26"/>
      <c r="I541" s="26"/>
      <c r="J541" s="26">
        <v>1</v>
      </c>
      <c r="K541" s="26">
        <v>138</v>
      </c>
      <c r="L541" s="26" t="s">
        <v>28</v>
      </c>
      <c r="M541" s="27">
        <v>1348</v>
      </c>
      <c r="N541" s="28"/>
      <c r="O541" s="26" t="s">
        <v>29</v>
      </c>
      <c r="P541" s="29"/>
      <c r="Q541" s="6"/>
      <c r="R541" s="29"/>
      <c r="S541" s="10"/>
      <c r="T541" s="8"/>
    </row>
    <row r="542" spans="1:20" ht="15.75" customHeight="1" x14ac:dyDescent="0.35">
      <c r="A542" s="25" t="s">
        <v>754</v>
      </c>
      <c r="B542" s="25" t="s">
        <v>767</v>
      </c>
      <c r="C542" s="26">
        <v>110158</v>
      </c>
      <c r="D542" s="25" t="s">
        <v>798</v>
      </c>
      <c r="E542" s="25" t="s">
        <v>759</v>
      </c>
      <c r="F542" s="26" t="s">
        <v>27</v>
      </c>
      <c r="G542" s="26" t="s">
        <v>27</v>
      </c>
      <c r="H542" s="26"/>
      <c r="I542" s="26"/>
      <c r="J542" s="26">
        <v>1</v>
      </c>
      <c r="K542" s="26">
        <v>138</v>
      </c>
      <c r="L542" s="26" t="s">
        <v>28</v>
      </c>
      <c r="M542" s="27">
        <v>1341</v>
      </c>
      <c r="N542" s="28"/>
      <c r="O542" s="26" t="s">
        <v>29</v>
      </c>
      <c r="P542" s="29"/>
      <c r="Q542" s="6"/>
      <c r="R542" s="29"/>
      <c r="S542" s="10"/>
      <c r="T542" s="8"/>
    </row>
    <row r="543" spans="1:20" ht="15.75" customHeight="1" x14ac:dyDescent="0.35">
      <c r="A543" s="25" t="s">
        <v>754</v>
      </c>
      <c r="B543" s="25" t="s">
        <v>767</v>
      </c>
      <c r="C543" s="26">
        <v>110166</v>
      </c>
      <c r="D543" s="25" t="s">
        <v>799</v>
      </c>
      <c r="E543" s="25" t="s">
        <v>795</v>
      </c>
      <c r="F543" s="26" t="s">
        <v>27</v>
      </c>
      <c r="G543" s="26" t="s">
        <v>27</v>
      </c>
      <c r="H543" s="26">
        <v>1</v>
      </c>
      <c r="I543" s="26">
        <v>2</v>
      </c>
      <c r="J543" s="26">
        <v>1</v>
      </c>
      <c r="K543" s="26">
        <v>138</v>
      </c>
      <c r="L543" s="26" t="s">
        <v>28</v>
      </c>
      <c r="M543" s="27">
        <v>1351</v>
      </c>
      <c r="N543" s="30">
        <v>264530.17</v>
      </c>
      <c r="O543" s="26" t="s">
        <v>29</v>
      </c>
      <c r="P543" s="29"/>
      <c r="Q543" s="6"/>
      <c r="R543" s="29"/>
      <c r="S543" s="10"/>
      <c r="T543" s="8">
        <v>1</v>
      </c>
    </row>
    <row r="544" spans="1:20" ht="15.75" customHeight="1" x14ac:dyDescent="0.35">
      <c r="A544" s="25" t="s">
        <v>754</v>
      </c>
      <c r="B544" s="25" t="s">
        <v>767</v>
      </c>
      <c r="C544" s="26">
        <v>110175</v>
      </c>
      <c r="D544" s="25" t="s">
        <v>800</v>
      </c>
      <c r="E544" s="25" t="s">
        <v>795</v>
      </c>
      <c r="F544" s="26" t="s">
        <v>27</v>
      </c>
      <c r="G544" s="26" t="s">
        <v>27</v>
      </c>
      <c r="H544" s="26">
        <v>1</v>
      </c>
      <c r="I544" s="26">
        <v>2</v>
      </c>
      <c r="J544" s="26">
        <v>1</v>
      </c>
      <c r="K544" s="26">
        <v>138</v>
      </c>
      <c r="L544" s="26" t="s">
        <v>28</v>
      </c>
      <c r="M544" s="27">
        <v>1363</v>
      </c>
      <c r="N544" s="30">
        <v>259843.51</v>
      </c>
      <c r="O544" s="26" t="s">
        <v>29</v>
      </c>
      <c r="P544" s="29"/>
      <c r="Q544" s="6"/>
      <c r="R544" s="29"/>
      <c r="S544" s="10"/>
      <c r="T544" s="8">
        <v>1</v>
      </c>
    </row>
    <row r="545" spans="1:20" ht="15.75" customHeight="1" x14ac:dyDescent="0.35">
      <c r="A545" s="25" t="s">
        <v>754</v>
      </c>
      <c r="B545" s="25" t="s">
        <v>767</v>
      </c>
      <c r="C545" s="26">
        <v>110177</v>
      </c>
      <c r="D545" s="25" t="s">
        <v>801</v>
      </c>
      <c r="E545" s="25" t="s">
        <v>795</v>
      </c>
      <c r="F545" s="26" t="s">
        <v>27</v>
      </c>
      <c r="G545" s="26" t="s">
        <v>27</v>
      </c>
      <c r="H545" s="26"/>
      <c r="I545" s="26"/>
      <c r="J545" s="26">
        <v>1</v>
      </c>
      <c r="K545" s="26">
        <v>138</v>
      </c>
      <c r="L545" s="26" t="s">
        <v>28</v>
      </c>
      <c r="M545" s="27">
        <v>1368</v>
      </c>
      <c r="N545" s="28"/>
      <c r="O545" s="26" t="s">
        <v>29</v>
      </c>
      <c r="P545" s="29"/>
      <c r="Q545" s="6"/>
      <c r="R545" s="29"/>
      <c r="S545" s="10"/>
      <c r="T545" s="8"/>
    </row>
    <row r="546" spans="1:20" ht="15.75" customHeight="1" x14ac:dyDescent="0.35">
      <c r="A546" s="25" t="s">
        <v>754</v>
      </c>
      <c r="B546" s="25" t="s">
        <v>767</v>
      </c>
      <c r="C546" s="26">
        <v>110183</v>
      </c>
      <c r="D546" s="25" t="s">
        <v>802</v>
      </c>
      <c r="E546" s="25" t="s">
        <v>795</v>
      </c>
      <c r="F546" s="26" t="s">
        <v>27</v>
      </c>
      <c r="G546" s="26" t="s">
        <v>27</v>
      </c>
      <c r="H546" s="26"/>
      <c r="I546" s="26"/>
      <c r="J546" s="26">
        <v>1</v>
      </c>
      <c r="K546" s="26">
        <v>138</v>
      </c>
      <c r="L546" s="26" t="s">
        <v>28</v>
      </c>
      <c r="M546" s="27">
        <v>1373</v>
      </c>
      <c r="N546" s="28"/>
      <c r="O546" s="26" t="s">
        <v>29</v>
      </c>
      <c r="P546" s="29"/>
      <c r="Q546" s="6"/>
      <c r="R546" s="29"/>
      <c r="S546" s="10"/>
      <c r="T546" s="8"/>
    </row>
    <row r="547" spans="1:20" ht="15.75" customHeight="1" x14ac:dyDescent="0.35">
      <c r="A547" s="25" t="s">
        <v>754</v>
      </c>
      <c r="B547" s="25" t="s">
        <v>767</v>
      </c>
      <c r="C547" s="26">
        <v>110187</v>
      </c>
      <c r="D547" s="25" t="s">
        <v>803</v>
      </c>
      <c r="E547" s="25" t="s">
        <v>795</v>
      </c>
      <c r="F547" s="26" t="s">
        <v>27</v>
      </c>
      <c r="G547" s="26" t="s">
        <v>27</v>
      </c>
      <c r="H547" s="26"/>
      <c r="I547" s="26"/>
      <c r="J547" s="26">
        <v>1</v>
      </c>
      <c r="K547" s="26">
        <v>138</v>
      </c>
      <c r="L547" s="26" t="s">
        <v>28</v>
      </c>
      <c r="M547" s="27">
        <v>1374</v>
      </c>
      <c r="N547" s="28"/>
      <c r="O547" s="26" t="s">
        <v>29</v>
      </c>
      <c r="P547" s="29"/>
      <c r="Q547" s="6"/>
      <c r="R547" s="29"/>
      <c r="S547" s="10"/>
      <c r="T547" s="8"/>
    </row>
    <row r="548" spans="1:20" ht="15.75" customHeight="1" x14ac:dyDescent="0.35">
      <c r="A548" s="25" t="s">
        <v>754</v>
      </c>
      <c r="B548" s="25" t="s">
        <v>767</v>
      </c>
      <c r="C548" s="26">
        <v>110191</v>
      </c>
      <c r="D548" s="25" t="s">
        <v>804</v>
      </c>
      <c r="E548" s="25" t="s">
        <v>795</v>
      </c>
      <c r="F548" s="26" t="s">
        <v>27</v>
      </c>
      <c r="G548" s="26" t="s">
        <v>27</v>
      </c>
      <c r="H548" s="26">
        <v>1</v>
      </c>
      <c r="I548" s="26">
        <v>4</v>
      </c>
      <c r="J548" s="26">
        <v>1</v>
      </c>
      <c r="K548" s="26">
        <v>138</v>
      </c>
      <c r="L548" s="26" t="s">
        <v>28</v>
      </c>
      <c r="M548" s="27">
        <v>1378</v>
      </c>
      <c r="N548" s="30">
        <v>373145.16</v>
      </c>
      <c r="O548" s="26" t="s">
        <v>29</v>
      </c>
      <c r="P548" s="29"/>
      <c r="Q548" s="6"/>
      <c r="R548" s="29"/>
      <c r="S548" s="10"/>
      <c r="T548" s="8">
        <v>1</v>
      </c>
    </row>
    <row r="549" spans="1:20" ht="15.75" customHeight="1" x14ac:dyDescent="0.35">
      <c r="A549" s="25" t="s">
        <v>754</v>
      </c>
      <c r="B549" s="25" t="s">
        <v>767</v>
      </c>
      <c r="C549" s="26">
        <v>110192</v>
      </c>
      <c r="D549" s="25" t="s">
        <v>805</v>
      </c>
      <c r="E549" s="25" t="s">
        <v>759</v>
      </c>
      <c r="F549" s="26" t="s">
        <v>27</v>
      </c>
      <c r="G549" s="26" t="s">
        <v>27</v>
      </c>
      <c r="H549" s="26"/>
      <c r="I549" s="26"/>
      <c r="J549" s="26">
        <v>1</v>
      </c>
      <c r="K549" s="26">
        <v>138</v>
      </c>
      <c r="L549" s="26" t="s">
        <v>28</v>
      </c>
      <c r="M549" s="27">
        <v>1376</v>
      </c>
      <c r="N549" s="28"/>
      <c r="O549" s="26" t="s">
        <v>29</v>
      </c>
      <c r="P549" s="29"/>
      <c r="Q549" s="6"/>
      <c r="R549" s="29"/>
      <c r="S549" s="10"/>
      <c r="T549" s="8"/>
    </row>
    <row r="550" spans="1:20" ht="15.75" customHeight="1" x14ac:dyDescent="0.35">
      <c r="A550" s="25" t="s">
        <v>754</v>
      </c>
      <c r="B550" s="25" t="s">
        <v>767</v>
      </c>
      <c r="C550" s="26">
        <v>110193</v>
      </c>
      <c r="D550" s="25" t="s">
        <v>806</v>
      </c>
      <c r="E550" s="25" t="s">
        <v>759</v>
      </c>
      <c r="F550" s="26" t="s">
        <v>27</v>
      </c>
      <c r="G550" s="26" t="s">
        <v>27</v>
      </c>
      <c r="H550" s="26"/>
      <c r="I550" s="26"/>
      <c r="J550" s="26">
        <v>1</v>
      </c>
      <c r="K550" s="26">
        <v>138</v>
      </c>
      <c r="L550" s="26" t="s">
        <v>28</v>
      </c>
      <c r="M550" s="27">
        <v>1379</v>
      </c>
      <c r="N550" s="28"/>
      <c r="O550" s="26" t="s">
        <v>29</v>
      </c>
      <c r="P550" s="29"/>
      <c r="Q550" s="6"/>
      <c r="R550" s="29"/>
      <c r="S550" s="10"/>
      <c r="T550" s="8"/>
    </row>
    <row r="551" spans="1:20" ht="15.75" customHeight="1" x14ac:dyDescent="0.35">
      <c r="A551" s="25" t="s">
        <v>754</v>
      </c>
      <c r="B551" s="25" t="s">
        <v>767</v>
      </c>
      <c r="C551" s="26">
        <v>110213</v>
      </c>
      <c r="D551" s="25" t="s">
        <v>807</v>
      </c>
      <c r="E551" s="25" t="s">
        <v>808</v>
      </c>
      <c r="F551" s="26" t="s">
        <v>27</v>
      </c>
      <c r="G551" s="26" t="s">
        <v>27</v>
      </c>
      <c r="H551" s="26"/>
      <c r="I551" s="26"/>
      <c r="J551" s="26">
        <v>1</v>
      </c>
      <c r="K551" s="26">
        <v>138</v>
      </c>
      <c r="L551" s="26" t="s">
        <v>28</v>
      </c>
      <c r="M551" s="27">
        <v>1357</v>
      </c>
      <c r="N551" s="28"/>
      <c r="O551" s="26" t="s">
        <v>29</v>
      </c>
      <c r="P551" s="29"/>
      <c r="Q551" s="6"/>
      <c r="R551" s="29"/>
      <c r="S551" s="10"/>
      <c r="T551" s="8"/>
    </row>
    <row r="552" spans="1:20" ht="15.75" customHeight="1" x14ac:dyDescent="0.35">
      <c r="A552" s="25" t="s">
        <v>754</v>
      </c>
      <c r="B552" s="25" t="s">
        <v>767</v>
      </c>
      <c r="C552" s="26">
        <v>110228</v>
      </c>
      <c r="D552" s="25" t="s">
        <v>809</v>
      </c>
      <c r="E552" s="25" t="s">
        <v>808</v>
      </c>
      <c r="F552" s="26" t="s">
        <v>27</v>
      </c>
      <c r="G552" s="26" t="s">
        <v>27</v>
      </c>
      <c r="H552" s="26"/>
      <c r="I552" s="26"/>
      <c r="J552" s="26">
        <v>1</v>
      </c>
      <c r="K552" s="26">
        <v>138</v>
      </c>
      <c r="L552" s="26" t="s">
        <v>28</v>
      </c>
      <c r="M552" s="27">
        <v>1325</v>
      </c>
      <c r="N552" s="28"/>
      <c r="O552" s="26" t="s">
        <v>29</v>
      </c>
      <c r="P552" s="29"/>
      <c r="Q552" s="6"/>
      <c r="R552" s="29"/>
      <c r="S552" s="10"/>
      <c r="T552" s="8"/>
    </row>
    <row r="553" spans="1:20" ht="15.75" customHeight="1" x14ac:dyDescent="0.35">
      <c r="A553" s="25" t="s">
        <v>754</v>
      </c>
      <c r="B553" s="25" t="s">
        <v>767</v>
      </c>
      <c r="C553" s="26">
        <v>110230</v>
      </c>
      <c r="D553" s="25" t="s">
        <v>810</v>
      </c>
      <c r="E553" s="25" t="s">
        <v>808</v>
      </c>
      <c r="F553" s="26" t="s">
        <v>27</v>
      </c>
      <c r="G553" s="26" t="s">
        <v>27</v>
      </c>
      <c r="H553" s="26"/>
      <c r="I553" s="26"/>
      <c r="J553" s="26">
        <v>1</v>
      </c>
      <c r="K553" s="26">
        <v>138</v>
      </c>
      <c r="L553" s="26" t="s">
        <v>28</v>
      </c>
      <c r="M553" s="27">
        <v>1329</v>
      </c>
      <c r="N553" s="28"/>
      <c r="O553" s="26" t="s">
        <v>29</v>
      </c>
      <c r="P553" s="29"/>
      <c r="Q553" s="6"/>
      <c r="R553" s="29"/>
      <c r="S553" s="10"/>
      <c r="T553" s="8"/>
    </row>
    <row r="554" spans="1:20" ht="15.75" customHeight="1" x14ac:dyDescent="0.35">
      <c r="A554" s="25" t="s">
        <v>754</v>
      </c>
      <c r="B554" s="25" t="s">
        <v>767</v>
      </c>
      <c r="C554" s="26">
        <v>110233</v>
      </c>
      <c r="D554" s="25" t="s">
        <v>811</v>
      </c>
      <c r="E554" s="25" t="s">
        <v>808</v>
      </c>
      <c r="F554" s="26" t="s">
        <v>27</v>
      </c>
      <c r="G554" s="26" t="s">
        <v>27</v>
      </c>
      <c r="H554" s="26"/>
      <c r="I554" s="26"/>
      <c r="J554" s="26">
        <v>1</v>
      </c>
      <c r="K554" s="26">
        <v>138</v>
      </c>
      <c r="L554" s="26" t="s">
        <v>28</v>
      </c>
      <c r="M554" s="27">
        <v>1343</v>
      </c>
      <c r="N554" s="28"/>
      <c r="O554" s="26" t="s">
        <v>29</v>
      </c>
      <c r="P554" s="29"/>
      <c r="Q554" s="6"/>
      <c r="R554" s="29"/>
      <c r="S554" s="10"/>
      <c r="T554" s="8"/>
    </row>
    <row r="555" spans="1:20" ht="15.75" customHeight="1" x14ac:dyDescent="0.35">
      <c r="A555" s="25" t="s">
        <v>754</v>
      </c>
      <c r="B555" s="25" t="s">
        <v>767</v>
      </c>
      <c r="C555" s="26">
        <v>110236</v>
      </c>
      <c r="D555" s="25" t="s">
        <v>812</v>
      </c>
      <c r="E555" s="25" t="s">
        <v>808</v>
      </c>
      <c r="F555" s="26" t="s">
        <v>27</v>
      </c>
      <c r="G555" s="26" t="s">
        <v>27</v>
      </c>
      <c r="H555" s="26"/>
      <c r="I555" s="26"/>
      <c r="J555" s="26">
        <v>1</v>
      </c>
      <c r="K555" s="26">
        <v>138</v>
      </c>
      <c r="L555" s="26" t="s">
        <v>28</v>
      </c>
      <c r="M555" s="27">
        <v>1355</v>
      </c>
      <c r="N555" s="28"/>
      <c r="O555" s="26" t="s">
        <v>29</v>
      </c>
      <c r="P555" s="29"/>
      <c r="Q555" s="6"/>
      <c r="R555" s="29"/>
      <c r="S555" s="10"/>
      <c r="T555" s="8"/>
    </row>
    <row r="556" spans="1:20" ht="15.75" customHeight="1" x14ac:dyDescent="0.35">
      <c r="A556" s="25" t="s">
        <v>754</v>
      </c>
      <c r="B556" s="25" t="s">
        <v>767</v>
      </c>
      <c r="C556" s="26">
        <v>110243</v>
      </c>
      <c r="D556" s="25" t="s">
        <v>813</v>
      </c>
      <c r="E556" s="25" t="s">
        <v>808</v>
      </c>
      <c r="F556" s="26" t="s">
        <v>27</v>
      </c>
      <c r="G556" s="26" t="s">
        <v>27</v>
      </c>
      <c r="H556" s="26"/>
      <c r="I556" s="26"/>
      <c r="J556" s="26">
        <v>1</v>
      </c>
      <c r="K556" s="26">
        <v>138</v>
      </c>
      <c r="L556" s="26" t="s">
        <v>28</v>
      </c>
      <c r="M556" s="27">
        <v>1370</v>
      </c>
      <c r="N556" s="28"/>
      <c r="O556" s="26" t="s">
        <v>29</v>
      </c>
      <c r="P556" s="29"/>
      <c r="Q556" s="6"/>
      <c r="R556" s="29"/>
      <c r="S556" s="10"/>
      <c r="T556" s="8"/>
    </row>
    <row r="557" spans="1:20" ht="15.75" customHeight="1" x14ac:dyDescent="0.35">
      <c r="A557" s="25" t="s">
        <v>754</v>
      </c>
      <c r="B557" s="25" t="s">
        <v>767</v>
      </c>
      <c r="C557" s="26">
        <v>110248</v>
      </c>
      <c r="D557" s="25" t="s">
        <v>814</v>
      </c>
      <c r="E557" s="25" t="s">
        <v>808</v>
      </c>
      <c r="F557" s="26" t="s">
        <v>27</v>
      </c>
      <c r="G557" s="26" t="s">
        <v>27</v>
      </c>
      <c r="H557" s="26"/>
      <c r="I557" s="26"/>
      <c r="J557" s="26">
        <v>1</v>
      </c>
      <c r="K557" s="26">
        <v>138</v>
      </c>
      <c r="L557" s="26" t="s">
        <v>28</v>
      </c>
      <c r="M557" s="27">
        <v>1380</v>
      </c>
      <c r="N557" s="28"/>
      <c r="O557" s="26" t="s">
        <v>29</v>
      </c>
      <c r="P557" s="29"/>
      <c r="Q557" s="6"/>
      <c r="R557" s="29"/>
      <c r="S557" s="10"/>
      <c r="T557" s="8"/>
    </row>
    <row r="558" spans="1:20" ht="15.75" customHeight="1" x14ac:dyDescent="0.35">
      <c r="A558" s="25" t="s">
        <v>754</v>
      </c>
      <c r="B558" s="25" t="s">
        <v>767</v>
      </c>
      <c r="C558" s="26">
        <v>110264</v>
      </c>
      <c r="D558" s="25" t="s">
        <v>815</v>
      </c>
      <c r="E558" s="25" t="s">
        <v>666</v>
      </c>
      <c r="F558" s="26" t="s">
        <v>27</v>
      </c>
      <c r="G558" s="26" t="s">
        <v>27</v>
      </c>
      <c r="H558" s="26"/>
      <c r="I558" s="26"/>
      <c r="J558" s="26">
        <v>1</v>
      </c>
      <c r="K558" s="26">
        <v>138</v>
      </c>
      <c r="L558" s="26" t="s">
        <v>28</v>
      </c>
      <c r="M558" s="27">
        <v>1354</v>
      </c>
      <c r="N558" s="28"/>
      <c r="O558" s="26" t="s">
        <v>29</v>
      </c>
      <c r="P558" s="29"/>
      <c r="Q558" s="6"/>
      <c r="R558" s="29"/>
      <c r="S558" s="10"/>
      <c r="T558" s="8"/>
    </row>
    <row r="559" spans="1:20" ht="15.75" customHeight="1" x14ac:dyDescent="0.35">
      <c r="A559" s="25" t="s">
        <v>754</v>
      </c>
      <c r="B559" s="25" t="s">
        <v>767</v>
      </c>
      <c r="C559" s="26">
        <v>110280</v>
      </c>
      <c r="D559" s="25" t="s">
        <v>816</v>
      </c>
      <c r="E559" s="25" t="s">
        <v>666</v>
      </c>
      <c r="F559" s="26" t="s">
        <v>27</v>
      </c>
      <c r="G559" s="26" t="s">
        <v>27</v>
      </c>
      <c r="H559" s="26"/>
      <c r="I559" s="26"/>
      <c r="J559" s="26">
        <v>1</v>
      </c>
      <c r="K559" s="26">
        <v>138</v>
      </c>
      <c r="L559" s="26" t="s">
        <v>28</v>
      </c>
      <c r="M559" s="27">
        <v>1337</v>
      </c>
      <c r="N559" s="28"/>
      <c r="O559" s="26" t="s">
        <v>29</v>
      </c>
      <c r="P559" s="29"/>
      <c r="Q559" s="6"/>
      <c r="R559" s="29"/>
      <c r="S559" s="10"/>
      <c r="T559" s="8"/>
    </row>
    <row r="560" spans="1:20" ht="15.75" customHeight="1" x14ac:dyDescent="0.35">
      <c r="A560" s="25" t="s">
        <v>754</v>
      </c>
      <c r="B560" s="25" t="s">
        <v>767</v>
      </c>
      <c r="C560" s="26">
        <v>110281</v>
      </c>
      <c r="D560" s="25" t="s">
        <v>817</v>
      </c>
      <c r="E560" s="25" t="s">
        <v>666</v>
      </c>
      <c r="F560" s="26" t="s">
        <v>27</v>
      </c>
      <c r="G560" s="26" t="s">
        <v>27</v>
      </c>
      <c r="H560" s="26"/>
      <c r="I560" s="26"/>
      <c r="J560" s="26">
        <v>1</v>
      </c>
      <c r="K560" s="26">
        <v>138</v>
      </c>
      <c r="L560" s="26" t="s">
        <v>28</v>
      </c>
      <c r="M560" s="27">
        <v>1338</v>
      </c>
      <c r="N560" s="28"/>
      <c r="O560" s="26" t="s">
        <v>29</v>
      </c>
      <c r="P560" s="29"/>
      <c r="Q560" s="6"/>
      <c r="R560" s="29"/>
      <c r="S560" s="10"/>
      <c r="T560" s="8"/>
    </row>
    <row r="561" spans="1:20" ht="15.75" customHeight="1" x14ac:dyDescent="0.35">
      <c r="A561" s="25" t="s">
        <v>754</v>
      </c>
      <c r="B561" s="25" t="s">
        <v>767</v>
      </c>
      <c r="C561" s="26">
        <v>110296</v>
      </c>
      <c r="D561" s="25" t="s">
        <v>818</v>
      </c>
      <c r="E561" s="25" t="s">
        <v>666</v>
      </c>
      <c r="F561" s="26" t="s">
        <v>27</v>
      </c>
      <c r="G561" s="26" t="s">
        <v>27</v>
      </c>
      <c r="H561" s="26"/>
      <c r="I561" s="26"/>
      <c r="J561" s="26">
        <v>1</v>
      </c>
      <c r="K561" s="26">
        <v>138</v>
      </c>
      <c r="L561" s="26" t="s">
        <v>28</v>
      </c>
      <c r="M561" s="27">
        <v>1324</v>
      </c>
      <c r="N561" s="28"/>
      <c r="O561" s="26" t="s">
        <v>29</v>
      </c>
      <c r="P561" s="29"/>
      <c r="Q561" s="6"/>
      <c r="R561" s="29"/>
      <c r="S561" s="10"/>
      <c r="T561" s="8"/>
    </row>
    <row r="562" spans="1:20" ht="15.75" customHeight="1" x14ac:dyDescent="0.35">
      <c r="A562" s="25" t="s">
        <v>754</v>
      </c>
      <c r="B562" s="25" t="s">
        <v>767</v>
      </c>
      <c r="C562" s="26">
        <v>110300</v>
      </c>
      <c r="D562" s="25" t="s">
        <v>819</v>
      </c>
      <c r="E562" s="25" t="s">
        <v>666</v>
      </c>
      <c r="F562" s="26" t="s">
        <v>27</v>
      </c>
      <c r="G562" s="26" t="s">
        <v>27</v>
      </c>
      <c r="H562" s="26"/>
      <c r="I562" s="26"/>
      <c r="J562" s="26">
        <v>1</v>
      </c>
      <c r="K562" s="26">
        <v>138</v>
      </c>
      <c r="L562" s="26" t="s">
        <v>28</v>
      </c>
      <c r="M562" s="27">
        <v>1350</v>
      </c>
      <c r="N562" s="28"/>
      <c r="O562" s="26" t="s">
        <v>29</v>
      </c>
      <c r="P562" s="29"/>
      <c r="Q562" s="6"/>
      <c r="R562" s="29"/>
      <c r="S562" s="10"/>
      <c r="T562" s="8"/>
    </row>
    <row r="563" spans="1:20" ht="15.75" customHeight="1" x14ac:dyDescent="0.35">
      <c r="A563" s="25" t="s">
        <v>754</v>
      </c>
      <c r="B563" s="25" t="s">
        <v>767</v>
      </c>
      <c r="C563" s="26">
        <v>110311</v>
      </c>
      <c r="D563" s="25" t="s">
        <v>820</v>
      </c>
      <c r="E563" s="25" t="s">
        <v>666</v>
      </c>
      <c r="F563" s="26" t="s">
        <v>27</v>
      </c>
      <c r="G563" s="26" t="s">
        <v>27</v>
      </c>
      <c r="H563" s="26"/>
      <c r="I563" s="26"/>
      <c r="J563" s="26">
        <v>1</v>
      </c>
      <c r="K563" s="26">
        <v>138</v>
      </c>
      <c r="L563" s="26" t="s">
        <v>28</v>
      </c>
      <c r="M563" s="27">
        <v>1362</v>
      </c>
      <c r="N563" s="28"/>
      <c r="O563" s="26" t="s">
        <v>29</v>
      </c>
      <c r="P563" s="29"/>
      <c r="Q563" s="6"/>
      <c r="R563" s="29"/>
      <c r="S563" s="10"/>
      <c r="T563" s="8"/>
    </row>
    <row r="564" spans="1:20" ht="15.75" customHeight="1" x14ac:dyDescent="0.35">
      <c r="A564" s="25" t="s">
        <v>754</v>
      </c>
      <c r="B564" s="25" t="s">
        <v>767</v>
      </c>
      <c r="C564" s="26">
        <v>110313</v>
      </c>
      <c r="D564" s="25" t="s">
        <v>821</v>
      </c>
      <c r="E564" s="25" t="s">
        <v>666</v>
      </c>
      <c r="F564" s="26" t="s">
        <v>27</v>
      </c>
      <c r="G564" s="26" t="s">
        <v>27</v>
      </c>
      <c r="H564" s="26"/>
      <c r="I564" s="26"/>
      <c r="J564" s="26">
        <v>1</v>
      </c>
      <c r="K564" s="26">
        <v>138</v>
      </c>
      <c r="L564" s="26" t="s">
        <v>28</v>
      </c>
      <c r="M564" s="27">
        <v>1366</v>
      </c>
      <c r="N564" s="28"/>
      <c r="O564" s="26" t="s">
        <v>29</v>
      </c>
      <c r="P564" s="29"/>
      <c r="Q564" s="6"/>
      <c r="R564" s="29"/>
      <c r="S564" s="10"/>
      <c r="T564" s="8"/>
    </row>
    <row r="565" spans="1:20" ht="15.75" customHeight="1" x14ac:dyDescent="0.35">
      <c r="A565" s="25" t="s">
        <v>754</v>
      </c>
      <c r="B565" s="25" t="s">
        <v>767</v>
      </c>
      <c r="C565" s="26">
        <v>110316</v>
      </c>
      <c r="D565" s="25" t="s">
        <v>822</v>
      </c>
      <c r="E565" s="25" t="s">
        <v>666</v>
      </c>
      <c r="F565" s="26" t="s">
        <v>27</v>
      </c>
      <c r="G565" s="26" t="s">
        <v>27</v>
      </c>
      <c r="H565" s="26">
        <v>1</v>
      </c>
      <c r="I565" s="26">
        <v>4</v>
      </c>
      <c r="J565" s="26">
        <v>1</v>
      </c>
      <c r="K565" s="26">
        <v>138</v>
      </c>
      <c r="L565" s="26" t="s">
        <v>28</v>
      </c>
      <c r="M565" s="27">
        <v>1381</v>
      </c>
      <c r="N565" s="30">
        <v>361588.04</v>
      </c>
      <c r="O565" s="26" t="s">
        <v>29</v>
      </c>
      <c r="P565" s="29"/>
      <c r="Q565" s="6"/>
      <c r="R565" s="29"/>
      <c r="S565" s="10"/>
      <c r="T565" s="8">
        <v>1</v>
      </c>
    </row>
    <row r="566" spans="1:20" ht="15.75" customHeight="1" x14ac:dyDescent="0.35">
      <c r="A566" s="25" t="s">
        <v>754</v>
      </c>
      <c r="B566" s="25" t="s">
        <v>767</v>
      </c>
      <c r="C566" s="26">
        <v>169501</v>
      </c>
      <c r="D566" s="25" t="s">
        <v>823</v>
      </c>
      <c r="E566" s="25" t="s">
        <v>778</v>
      </c>
      <c r="F566" s="26" t="s">
        <v>27</v>
      </c>
      <c r="G566" s="26" t="s">
        <v>27</v>
      </c>
      <c r="H566" s="26"/>
      <c r="I566" s="26"/>
      <c r="J566" s="26">
        <v>1</v>
      </c>
      <c r="K566" s="26">
        <v>138</v>
      </c>
      <c r="L566" s="26" t="s">
        <v>28</v>
      </c>
      <c r="M566" s="27">
        <v>1327</v>
      </c>
      <c r="N566" s="28"/>
      <c r="O566" s="26" t="s">
        <v>29</v>
      </c>
      <c r="P566" s="29"/>
      <c r="Q566" s="6"/>
      <c r="R566" s="29"/>
      <c r="S566" s="10"/>
      <c r="T566" s="8"/>
    </row>
    <row r="567" spans="1:20" ht="15.75" customHeight="1" x14ac:dyDescent="0.35">
      <c r="A567" s="25" t="s">
        <v>754</v>
      </c>
      <c r="B567" s="25" t="s">
        <v>767</v>
      </c>
      <c r="C567" s="26">
        <v>169502</v>
      </c>
      <c r="D567" s="25" t="s">
        <v>824</v>
      </c>
      <c r="E567" s="25" t="s">
        <v>759</v>
      </c>
      <c r="F567" s="26" t="s">
        <v>27</v>
      </c>
      <c r="G567" s="26" t="s">
        <v>27</v>
      </c>
      <c r="H567" s="26"/>
      <c r="I567" s="26"/>
      <c r="J567" s="26">
        <v>1</v>
      </c>
      <c r="K567" s="26">
        <v>138</v>
      </c>
      <c r="L567" s="26" t="s">
        <v>28</v>
      </c>
      <c r="M567" s="27">
        <v>1371</v>
      </c>
      <c r="N567" s="28"/>
      <c r="O567" s="26" t="s">
        <v>29</v>
      </c>
      <c r="P567" s="29"/>
      <c r="Q567" s="6"/>
      <c r="R567" s="29"/>
      <c r="S567" s="10"/>
      <c r="T567" s="8"/>
    </row>
    <row r="568" spans="1:20" ht="15.75" customHeight="1" x14ac:dyDescent="0.35">
      <c r="A568" s="25" t="s">
        <v>754</v>
      </c>
      <c r="B568" s="25" t="s">
        <v>767</v>
      </c>
      <c r="C568" s="26">
        <v>169505</v>
      </c>
      <c r="D568" s="25" t="s">
        <v>825</v>
      </c>
      <c r="E568" s="25" t="s">
        <v>666</v>
      </c>
      <c r="F568" s="26" t="s">
        <v>27</v>
      </c>
      <c r="G568" s="26" t="s">
        <v>27</v>
      </c>
      <c r="H568" s="26"/>
      <c r="I568" s="26"/>
      <c r="J568" s="26">
        <v>1</v>
      </c>
      <c r="K568" s="26">
        <v>138</v>
      </c>
      <c r="L568" s="26" t="s">
        <v>28</v>
      </c>
      <c r="M568" s="27">
        <v>1369</v>
      </c>
      <c r="N568" s="28"/>
      <c r="O568" s="26" t="s">
        <v>29</v>
      </c>
      <c r="P568" s="29"/>
      <c r="Q568" s="6"/>
      <c r="R568" s="29"/>
      <c r="S568" s="10"/>
      <c r="T568" s="8"/>
    </row>
    <row r="569" spans="1:20" ht="15.75" customHeight="1" x14ac:dyDescent="0.35">
      <c r="A569" s="25" t="s">
        <v>754</v>
      </c>
      <c r="B569" s="25" t="s">
        <v>767</v>
      </c>
      <c r="C569" s="26">
        <v>169508</v>
      </c>
      <c r="D569" s="25" t="s">
        <v>826</v>
      </c>
      <c r="E569" s="25" t="s">
        <v>795</v>
      </c>
      <c r="F569" s="26" t="s">
        <v>27</v>
      </c>
      <c r="G569" s="26" t="s">
        <v>27</v>
      </c>
      <c r="H569" s="26"/>
      <c r="I569" s="26"/>
      <c r="J569" s="26">
        <v>1</v>
      </c>
      <c r="K569" s="26">
        <v>138</v>
      </c>
      <c r="L569" s="26" t="s">
        <v>28</v>
      </c>
      <c r="M569" s="27">
        <v>1333</v>
      </c>
      <c r="N569" s="28"/>
      <c r="O569" s="26" t="s">
        <v>29</v>
      </c>
      <c r="P569" s="29"/>
      <c r="Q569" s="6"/>
      <c r="R569" s="29"/>
      <c r="S569" s="10"/>
      <c r="T569" s="8"/>
    </row>
    <row r="570" spans="1:20" ht="15.75" customHeight="1" x14ac:dyDescent="0.35">
      <c r="A570" s="25" t="s">
        <v>754</v>
      </c>
      <c r="B570" s="25" t="s">
        <v>767</v>
      </c>
      <c r="C570" s="26">
        <v>169512</v>
      </c>
      <c r="D570" s="25" t="s">
        <v>827</v>
      </c>
      <c r="E570" s="25" t="s">
        <v>795</v>
      </c>
      <c r="F570" s="26" t="s">
        <v>27</v>
      </c>
      <c r="G570" s="26" t="s">
        <v>27</v>
      </c>
      <c r="H570" s="26"/>
      <c r="I570" s="26"/>
      <c r="J570" s="26">
        <v>1</v>
      </c>
      <c r="K570" s="26">
        <v>138</v>
      </c>
      <c r="L570" s="26" t="s">
        <v>28</v>
      </c>
      <c r="M570" s="27">
        <v>1364</v>
      </c>
      <c r="N570" s="28"/>
      <c r="O570" s="26" t="s">
        <v>29</v>
      </c>
      <c r="P570" s="29"/>
      <c r="Q570" s="6"/>
      <c r="R570" s="29"/>
      <c r="S570" s="10"/>
      <c r="T570" s="8"/>
    </row>
    <row r="571" spans="1:20" ht="15.75" customHeight="1" x14ac:dyDescent="0.35">
      <c r="A571" s="25" t="s">
        <v>754</v>
      </c>
      <c r="B571" s="25" t="s">
        <v>767</v>
      </c>
      <c r="C571" s="26">
        <v>169519</v>
      </c>
      <c r="D571" s="25" t="s">
        <v>828</v>
      </c>
      <c r="E571" s="25" t="s">
        <v>784</v>
      </c>
      <c r="F571" s="26" t="s">
        <v>27</v>
      </c>
      <c r="G571" s="26" t="s">
        <v>27</v>
      </c>
      <c r="H571" s="26"/>
      <c r="I571" s="26"/>
      <c r="J571" s="26">
        <v>1</v>
      </c>
      <c r="K571" s="26">
        <v>138</v>
      </c>
      <c r="L571" s="26" t="s">
        <v>28</v>
      </c>
      <c r="M571" s="27">
        <v>1377</v>
      </c>
      <c r="N571" s="28"/>
      <c r="O571" s="26" t="s">
        <v>29</v>
      </c>
      <c r="P571" s="29"/>
      <c r="Q571" s="6"/>
      <c r="R571" s="29"/>
      <c r="S571" s="10"/>
      <c r="T571" s="8"/>
    </row>
    <row r="572" spans="1:20" ht="15.75" customHeight="1" x14ac:dyDescent="0.35">
      <c r="A572" s="25" t="s">
        <v>754</v>
      </c>
      <c r="B572" s="25" t="s">
        <v>767</v>
      </c>
      <c r="C572" s="26">
        <v>169520</v>
      </c>
      <c r="D572" s="25" t="s">
        <v>829</v>
      </c>
      <c r="E572" s="25" t="s">
        <v>666</v>
      </c>
      <c r="F572" s="26" t="s">
        <v>27</v>
      </c>
      <c r="G572" s="26" t="s">
        <v>27</v>
      </c>
      <c r="H572" s="26"/>
      <c r="I572" s="26"/>
      <c r="J572" s="26">
        <v>1</v>
      </c>
      <c r="K572" s="26">
        <v>138</v>
      </c>
      <c r="L572" s="26" t="s">
        <v>28</v>
      </c>
      <c r="M572" s="27">
        <v>1360</v>
      </c>
      <c r="N572" s="28"/>
      <c r="O572" s="26" t="s">
        <v>29</v>
      </c>
      <c r="P572" s="29"/>
      <c r="Q572" s="6"/>
      <c r="R572" s="29"/>
      <c r="S572" s="10"/>
      <c r="T572" s="8"/>
    </row>
    <row r="573" spans="1:20" ht="15.75" customHeight="1" x14ac:dyDescent="0.35">
      <c r="A573" s="25" t="s">
        <v>754</v>
      </c>
      <c r="B573" s="25" t="s">
        <v>767</v>
      </c>
      <c r="C573" s="26">
        <v>169521</v>
      </c>
      <c r="D573" s="25" t="s">
        <v>830</v>
      </c>
      <c r="E573" s="25" t="s">
        <v>778</v>
      </c>
      <c r="F573" s="26" t="s">
        <v>27</v>
      </c>
      <c r="G573" s="26" t="s">
        <v>27</v>
      </c>
      <c r="H573" s="26"/>
      <c r="I573" s="26"/>
      <c r="J573" s="26">
        <v>1</v>
      </c>
      <c r="K573" s="26">
        <v>138</v>
      </c>
      <c r="L573" s="26" t="s">
        <v>28</v>
      </c>
      <c r="M573" s="27">
        <v>1375</v>
      </c>
      <c r="N573" s="28"/>
      <c r="O573" s="26" t="s">
        <v>29</v>
      </c>
      <c r="P573" s="29"/>
      <c r="Q573" s="6"/>
      <c r="R573" s="29"/>
      <c r="S573" s="10"/>
      <c r="T573" s="8"/>
    </row>
    <row r="574" spans="1:20" ht="15.75" customHeight="1" x14ac:dyDescent="0.35">
      <c r="A574" s="25" t="s">
        <v>754</v>
      </c>
      <c r="B574" s="25" t="s">
        <v>767</v>
      </c>
      <c r="C574" s="26">
        <v>169522</v>
      </c>
      <c r="D574" s="25" t="s">
        <v>831</v>
      </c>
      <c r="E574" s="25" t="s">
        <v>832</v>
      </c>
      <c r="F574" s="26" t="s">
        <v>27</v>
      </c>
      <c r="G574" s="26" t="s">
        <v>27</v>
      </c>
      <c r="H574" s="26"/>
      <c r="I574" s="26"/>
      <c r="J574" s="26">
        <v>1</v>
      </c>
      <c r="K574" s="26">
        <v>138</v>
      </c>
      <c r="L574" s="26" t="s">
        <v>28</v>
      </c>
      <c r="M574" s="27">
        <v>1334</v>
      </c>
      <c r="N574" s="28"/>
      <c r="O574" s="26" t="s">
        <v>29</v>
      </c>
      <c r="P574" s="29"/>
      <c r="Q574" s="6"/>
      <c r="R574" s="29"/>
      <c r="S574" s="10"/>
      <c r="T574" s="8"/>
    </row>
    <row r="575" spans="1:20" ht="15.75" customHeight="1" x14ac:dyDescent="0.35">
      <c r="A575" s="25" t="s">
        <v>754</v>
      </c>
      <c r="B575" s="25" t="s">
        <v>767</v>
      </c>
      <c r="C575" s="26">
        <v>169523</v>
      </c>
      <c r="D575" s="25" t="s">
        <v>833</v>
      </c>
      <c r="E575" s="25" t="s">
        <v>666</v>
      </c>
      <c r="F575" s="26" t="s">
        <v>27</v>
      </c>
      <c r="G575" s="26" t="s">
        <v>27</v>
      </c>
      <c r="H575" s="26"/>
      <c r="I575" s="26"/>
      <c r="J575" s="26">
        <v>1</v>
      </c>
      <c r="K575" s="26">
        <v>138</v>
      </c>
      <c r="L575" s="26" t="s">
        <v>28</v>
      </c>
      <c r="M575" s="27">
        <v>1365</v>
      </c>
      <c r="N575" s="28"/>
      <c r="O575" s="26" t="s">
        <v>29</v>
      </c>
      <c r="P575" s="29"/>
      <c r="Q575" s="6"/>
      <c r="R575" s="29"/>
      <c r="S575" s="10"/>
      <c r="T575" s="8"/>
    </row>
    <row r="576" spans="1:20" ht="15.75" customHeight="1" x14ac:dyDescent="0.35">
      <c r="A576" s="25" t="s">
        <v>754</v>
      </c>
      <c r="B576" s="25" t="s">
        <v>767</v>
      </c>
      <c r="C576" s="26">
        <v>169524</v>
      </c>
      <c r="D576" s="25" t="s">
        <v>834</v>
      </c>
      <c r="E576" s="25" t="s">
        <v>666</v>
      </c>
      <c r="F576" s="26" t="s">
        <v>27</v>
      </c>
      <c r="G576" s="26" t="s">
        <v>27</v>
      </c>
      <c r="H576" s="26"/>
      <c r="I576" s="26"/>
      <c r="J576" s="26">
        <v>1</v>
      </c>
      <c r="K576" s="26">
        <v>138</v>
      </c>
      <c r="L576" s="26" t="s">
        <v>28</v>
      </c>
      <c r="M576" s="27">
        <v>1359</v>
      </c>
      <c r="N576" s="28"/>
      <c r="O576" s="26" t="s">
        <v>29</v>
      </c>
      <c r="P576" s="29"/>
      <c r="Q576" s="6"/>
      <c r="R576" s="29"/>
      <c r="S576" s="10"/>
      <c r="T576" s="8"/>
    </row>
    <row r="577" spans="1:20" ht="15.75" customHeight="1" x14ac:dyDescent="0.35">
      <c r="A577" s="25" t="s">
        <v>754</v>
      </c>
      <c r="B577" s="25" t="s">
        <v>767</v>
      </c>
      <c r="C577" s="26">
        <v>308902</v>
      </c>
      <c r="D577" s="25" t="s">
        <v>835</v>
      </c>
      <c r="E577" s="25" t="s">
        <v>769</v>
      </c>
      <c r="F577" s="26" t="s">
        <v>27</v>
      </c>
      <c r="G577" s="26" t="s">
        <v>27</v>
      </c>
      <c r="H577" s="26"/>
      <c r="I577" s="26"/>
      <c r="J577" s="26">
        <v>1</v>
      </c>
      <c r="K577" s="26">
        <v>138</v>
      </c>
      <c r="L577" s="26" t="s">
        <v>28</v>
      </c>
      <c r="M577" s="27">
        <v>1321</v>
      </c>
      <c r="N577" s="28"/>
      <c r="O577" s="26" t="s">
        <v>29</v>
      </c>
      <c r="P577" s="29"/>
      <c r="Q577" s="6"/>
      <c r="R577" s="29"/>
      <c r="S577" s="10"/>
      <c r="T577" s="8"/>
    </row>
    <row r="578" spans="1:20" ht="15.75" customHeight="1" x14ac:dyDescent="0.35">
      <c r="A578" s="25" t="s">
        <v>754</v>
      </c>
      <c r="B578" s="25" t="s">
        <v>836</v>
      </c>
      <c r="C578" s="26">
        <v>110356</v>
      </c>
      <c r="D578" s="25" t="s">
        <v>837</v>
      </c>
      <c r="E578" s="25" t="s">
        <v>838</v>
      </c>
      <c r="F578" s="26" t="s">
        <v>90</v>
      </c>
      <c r="G578" s="26" t="s">
        <v>90</v>
      </c>
      <c r="H578" s="26"/>
      <c r="I578" s="26"/>
      <c r="J578" s="26">
        <v>1</v>
      </c>
      <c r="K578" s="26">
        <v>138</v>
      </c>
      <c r="L578" s="26" t="s">
        <v>28</v>
      </c>
      <c r="M578" s="27">
        <v>1400</v>
      </c>
      <c r="N578" s="28"/>
      <c r="O578" s="26" t="s">
        <v>29</v>
      </c>
      <c r="P578" s="29"/>
      <c r="Q578" s="6"/>
      <c r="R578" s="29"/>
      <c r="S578" s="10"/>
      <c r="T578" s="8"/>
    </row>
    <row r="579" spans="1:20" ht="15.75" customHeight="1" x14ac:dyDescent="0.35">
      <c r="A579" s="25" t="s">
        <v>754</v>
      </c>
      <c r="B579" s="25" t="s">
        <v>836</v>
      </c>
      <c r="C579" s="26">
        <v>110417</v>
      </c>
      <c r="D579" s="25" t="s">
        <v>839</v>
      </c>
      <c r="E579" s="25" t="s">
        <v>840</v>
      </c>
      <c r="F579" s="26" t="s">
        <v>90</v>
      </c>
      <c r="G579" s="26" t="s">
        <v>90</v>
      </c>
      <c r="H579" s="26"/>
      <c r="I579" s="26"/>
      <c r="J579" s="26">
        <v>1</v>
      </c>
      <c r="K579" s="26">
        <v>138</v>
      </c>
      <c r="L579" s="26" t="s">
        <v>28</v>
      </c>
      <c r="M579" s="27">
        <v>1399</v>
      </c>
      <c r="N579" s="28"/>
      <c r="O579" s="26" t="s">
        <v>29</v>
      </c>
      <c r="P579" s="29"/>
      <c r="Q579" s="6"/>
      <c r="R579" s="29"/>
      <c r="S579" s="10"/>
      <c r="T579" s="8"/>
    </row>
    <row r="580" spans="1:20" ht="15.75" customHeight="1" x14ac:dyDescent="0.35">
      <c r="A580" s="25" t="s">
        <v>754</v>
      </c>
      <c r="B580" s="25" t="s">
        <v>836</v>
      </c>
      <c r="C580" s="26">
        <v>110421</v>
      </c>
      <c r="D580" s="25" t="s">
        <v>841</v>
      </c>
      <c r="E580" s="25" t="s">
        <v>840</v>
      </c>
      <c r="F580" s="26" t="s">
        <v>90</v>
      </c>
      <c r="G580" s="26" t="s">
        <v>90</v>
      </c>
      <c r="H580" s="26"/>
      <c r="I580" s="26"/>
      <c r="J580" s="26">
        <v>1</v>
      </c>
      <c r="K580" s="26">
        <v>138</v>
      </c>
      <c r="L580" s="26" t="s">
        <v>28</v>
      </c>
      <c r="M580" s="27">
        <v>1403</v>
      </c>
      <c r="N580" s="28"/>
      <c r="O580" s="26" t="s">
        <v>29</v>
      </c>
      <c r="P580" s="29"/>
      <c r="Q580" s="6"/>
      <c r="R580" s="29"/>
      <c r="S580" s="10"/>
      <c r="T580" s="8"/>
    </row>
    <row r="581" spans="1:20" ht="15.75" customHeight="1" x14ac:dyDescent="0.35">
      <c r="A581" s="25" t="s">
        <v>754</v>
      </c>
      <c r="B581" s="25" t="s">
        <v>836</v>
      </c>
      <c r="C581" s="26">
        <v>110422</v>
      </c>
      <c r="D581" s="25" t="s">
        <v>842</v>
      </c>
      <c r="E581" s="25" t="s">
        <v>840</v>
      </c>
      <c r="F581" s="26" t="s">
        <v>90</v>
      </c>
      <c r="G581" s="26" t="s">
        <v>90</v>
      </c>
      <c r="H581" s="26"/>
      <c r="I581" s="26"/>
      <c r="J581" s="26">
        <v>1</v>
      </c>
      <c r="K581" s="26">
        <v>138</v>
      </c>
      <c r="L581" s="26" t="s">
        <v>28</v>
      </c>
      <c r="M581" s="27">
        <v>1405</v>
      </c>
      <c r="N581" s="28"/>
      <c r="O581" s="26" t="s">
        <v>29</v>
      </c>
      <c r="P581" s="29"/>
      <c r="Q581" s="6"/>
      <c r="R581" s="29"/>
      <c r="S581" s="10"/>
      <c r="T581" s="8"/>
    </row>
    <row r="582" spans="1:20" ht="15.75" customHeight="1" x14ac:dyDescent="0.35">
      <c r="A582" s="25" t="s">
        <v>754</v>
      </c>
      <c r="B582" s="25" t="s">
        <v>836</v>
      </c>
      <c r="C582" s="26">
        <v>110425</v>
      </c>
      <c r="D582" s="25" t="s">
        <v>843</v>
      </c>
      <c r="E582" s="25" t="s">
        <v>840</v>
      </c>
      <c r="F582" s="26" t="s">
        <v>90</v>
      </c>
      <c r="G582" s="26" t="s">
        <v>90</v>
      </c>
      <c r="H582" s="26"/>
      <c r="I582" s="26"/>
      <c r="J582" s="26">
        <v>1</v>
      </c>
      <c r="K582" s="26">
        <v>138</v>
      </c>
      <c r="L582" s="26" t="s">
        <v>28</v>
      </c>
      <c r="M582" s="27">
        <v>1408</v>
      </c>
      <c r="N582" s="28"/>
      <c r="O582" s="26" t="s">
        <v>29</v>
      </c>
      <c r="P582" s="29"/>
      <c r="Q582" s="6"/>
      <c r="R582" s="29"/>
      <c r="S582" s="10"/>
      <c r="T582" s="8"/>
    </row>
    <row r="583" spans="1:20" ht="15.75" customHeight="1" x14ac:dyDescent="0.35">
      <c r="A583" s="25" t="s">
        <v>754</v>
      </c>
      <c r="B583" s="25" t="s">
        <v>836</v>
      </c>
      <c r="C583" s="26">
        <v>110427</v>
      </c>
      <c r="D583" s="25" t="s">
        <v>71</v>
      </c>
      <c r="E583" s="25" t="s">
        <v>840</v>
      </c>
      <c r="F583" s="26" t="s">
        <v>90</v>
      </c>
      <c r="G583" s="26" t="s">
        <v>90</v>
      </c>
      <c r="H583" s="26"/>
      <c r="I583" s="26"/>
      <c r="J583" s="26">
        <v>1</v>
      </c>
      <c r="K583" s="26">
        <v>138</v>
      </c>
      <c r="L583" s="26" t="s">
        <v>28</v>
      </c>
      <c r="M583" s="27">
        <v>1410</v>
      </c>
      <c r="N583" s="28"/>
      <c r="O583" s="26" t="s">
        <v>29</v>
      </c>
      <c r="P583" s="29"/>
      <c r="Q583" s="6"/>
      <c r="R583" s="29"/>
      <c r="S583" s="10"/>
      <c r="T583" s="8"/>
    </row>
    <row r="584" spans="1:20" ht="15.75" customHeight="1" x14ac:dyDescent="0.35">
      <c r="A584" s="25" t="s">
        <v>754</v>
      </c>
      <c r="B584" s="25" t="s">
        <v>836</v>
      </c>
      <c r="C584" s="26">
        <v>110453</v>
      </c>
      <c r="D584" s="25" t="s">
        <v>844</v>
      </c>
      <c r="E584" s="25" t="s">
        <v>845</v>
      </c>
      <c r="F584" s="26" t="s">
        <v>90</v>
      </c>
      <c r="G584" s="26" t="s">
        <v>90</v>
      </c>
      <c r="H584" s="26"/>
      <c r="I584" s="26"/>
      <c r="J584" s="26">
        <v>1</v>
      </c>
      <c r="K584" s="26">
        <v>138</v>
      </c>
      <c r="L584" s="26" t="s">
        <v>28</v>
      </c>
      <c r="M584" s="27">
        <v>1406</v>
      </c>
      <c r="N584" s="28"/>
      <c r="O584" s="26" t="s">
        <v>29</v>
      </c>
      <c r="P584" s="29"/>
      <c r="Q584" s="6"/>
      <c r="R584" s="29"/>
      <c r="S584" s="10"/>
      <c r="T584" s="8"/>
    </row>
    <row r="585" spans="1:20" ht="15.75" customHeight="1" x14ac:dyDescent="0.35">
      <c r="A585" s="25" t="s">
        <v>754</v>
      </c>
      <c r="B585" s="25" t="s">
        <v>836</v>
      </c>
      <c r="C585" s="26">
        <v>110467</v>
      </c>
      <c r="D585" s="25" t="s">
        <v>846</v>
      </c>
      <c r="E585" s="25" t="s">
        <v>847</v>
      </c>
      <c r="F585" s="26" t="s">
        <v>90</v>
      </c>
      <c r="G585" s="26" t="s">
        <v>90</v>
      </c>
      <c r="H585" s="26"/>
      <c r="I585" s="26"/>
      <c r="J585" s="26">
        <v>1</v>
      </c>
      <c r="K585" s="26">
        <v>138</v>
      </c>
      <c r="L585" s="26" t="s">
        <v>28</v>
      </c>
      <c r="M585" s="27">
        <v>1401</v>
      </c>
      <c r="N585" s="28"/>
      <c r="O585" s="26" t="s">
        <v>29</v>
      </c>
      <c r="P585" s="29"/>
      <c r="Q585" s="6"/>
      <c r="R585" s="29"/>
      <c r="S585" s="10"/>
      <c r="T585" s="8"/>
    </row>
    <row r="586" spans="1:20" ht="15.75" customHeight="1" x14ac:dyDescent="0.35">
      <c r="A586" s="25" t="s">
        <v>754</v>
      </c>
      <c r="B586" s="25" t="s">
        <v>836</v>
      </c>
      <c r="C586" s="26">
        <v>110473</v>
      </c>
      <c r="D586" s="25" t="s">
        <v>848</v>
      </c>
      <c r="E586" s="25" t="s">
        <v>847</v>
      </c>
      <c r="F586" s="26" t="s">
        <v>90</v>
      </c>
      <c r="G586" s="26" t="s">
        <v>90</v>
      </c>
      <c r="H586" s="26"/>
      <c r="I586" s="26"/>
      <c r="J586" s="26">
        <v>1</v>
      </c>
      <c r="K586" s="26">
        <v>138</v>
      </c>
      <c r="L586" s="26" t="s">
        <v>28</v>
      </c>
      <c r="M586" s="27">
        <v>1409</v>
      </c>
      <c r="N586" s="28"/>
      <c r="O586" s="26" t="s">
        <v>29</v>
      </c>
      <c r="P586" s="29"/>
      <c r="Q586" s="6"/>
      <c r="R586" s="29"/>
      <c r="S586" s="10"/>
      <c r="T586" s="8"/>
    </row>
    <row r="587" spans="1:20" ht="15.75" customHeight="1" x14ac:dyDescent="0.35">
      <c r="A587" s="25" t="s">
        <v>754</v>
      </c>
      <c r="B587" s="25" t="s">
        <v>836</v>
      </c>
      <c r="C587" s="26">
        <v>110542</v>
      </c>
      <c r="D587" s="25" t="s">
        <v>849</v>
      </c>
      <c r="E587" s="25" t="s">
        <v>850</v>
      </c>
      <c r="F587" s="26" t="s">
        <v>215</v>
      </c>
      <c r="G587" s="26" t="s">
        <v>215</v>
      </c>
      <c r="H587" s="26"/>
      <c r="I587" s="26"/>
      <c r="J587" s="26">
        <v>1</v>
      </c>
      <c r="K587" s="26">
        <v>138</v>
      </c>
      <c r="L587" s="26" t="s">
        <v>28</v>
      </c>
      <c r="M587" s="27">
        <v>1388</v>
      </c>
      <c r="N587" s="28"/>
      <c r="O587" s="26" t="s">
        <v>29</v>
      </c>
      <c r="P587" s="29"/>
      <c r="Q587" s="6"/>
      <c r="R587" s="29"/>
      <c r="S587" s="10"/>
      <c r="T587" s="8"/>
    </row>
    <row r="588" spans="1:20" ht="15.75" customHeight="1" x14ac:dyDescent="0.35">
      <c r="A588" s="25" t="s">
        <v>754</v>
      </c>
      <c r="B588" s="25" t="s">
        <v>836</v>
      </c>
      <c r="C588" s="26">
        <v>110580</v>
      </c>
      <c r="D588" s="25" t="s">
        <v>851</v>
      </c>
      <c r="E588" s="25" t="s">
        <v>852</v>
      </c>
      <c r="F588" s="26" t="s">
        <v>90</v>
      </c>
      <c r="G588" s="26" t="s">
        <v>90</v>
      </c>
      <c r="H588" s="26"/>
      <c r="I588" s="26"/>
      <c r="J588" s="26">
        <v>1</v>
      </c>
      <c r="K588" s="26">
        <v>138</v>
      </c>
      <c r="L588" s="26" t="s">
        <v>28</v>
      </c>
      <c r="M588" s="27">
        <v>1407</v>
      </c>
      <c r="N588" s="28"/>
      <c r="O588" s="26" t="s">
        <v>29</v>
      </c>
      <c r="P588" s="29"/>
      <c r="Q588" s="6"/>
      <c r="R588" s="29"/>
      <c r="S588" s="10"/>
      <c r="T588" s="8"/>
    </row>
    <row r="589" spans="1:20" ht="15.75" customHeight="1" x14ac:dyDescent="0.35">
      <c r="A589" s="25" t="s">
        <v>754</v>
      </c>
      <c r="B589" s="25" t="s">
        <v>836</v>
      </c>
      <c r="C589" s="26">
        <v>110587</v>
      </c>
      <c r="D589" s="25" t="s">
        <v>853</v>
      </c>
      <c r="E589" s="25" t="s">
        <v>854</v>
      </c>
      <c r="F589" s="26" t="s">
        <v>215</v>
      </c>
      <c r="G589" s="26" t="s">
        <v>215</v>
      </c>
      <c r="H589" s="26"/>
      <c r="I589" s="26"/>
      <c r="J589" s="26">
        <v>1</v>
      </c>
      <c r="K589" s="26">
        <v>138</v>
      </c>
      <c r="L589" s="26" t="s">
        <v>28</v>
      </c>
      <c r="M589" s="27">
        <v>1384</v>
      </c>
      <c r="N589" s="28"/>
      <c r="O589" s="26" t="s">
        <v>29</v>
      </c>
      <c r="P589" s="29"/>
      <c r="Q589" s="6"/>
      <c r="R589" s="29"/>
      <c r="S589" s="10"/>
      <c r="T589" s="8"/>
    </row>
    <row r="590" spans="1:20" ht="15.75" customHeight="1" x14ac:dyDescent="0.35">
      <c r="A590" s="25" t="s">
        <v>754</v>
      </c>
      <c r="B590" s="25" t="s">
        <v>836</v>
      </c>
      <c r="C590" s="26">
        <v>110608</v>
      </c>
      <c r="D590" s="25" t="s">
        <v>855</v>
      </c>
      <c r="E590" s="25" t="s">
        <v>856</v>
      </c>
      <c r="F590" s="26" t="s">
        <v>215</v>
      </c>
      <c r="G590" s="26" t="s">
        <v>215</v>
      </c>
      <c r="H590" s="26"/>
      <c r="I590" s="26"/>
      <c r="J590" s="26">
        <v>1</v>
      </c>
      <c r="K590" s="26">
        <v>138</v>
      </c>
      <c r="L590" s="26" t="s">
        <v>28</v>
      </c>
      <c r="M590" s="27">
        <v>1383</v>
      </c>
      <c r="N590" s="28"/>
      <c r="O590" s="26" t="s">
        <v>29</v>
      </c>
      <c r="P590" s="29"/>
      <c r="Q590" s="6"/>
      <c r="R590" s="29"/>
      <c r="S590" s="10"/>
      <c r="T590" s="8"/>
    </row>
    <row r="591" spans="1:20" ht="15.75" customHeight="1" x14ac:dyDescent="0.35">
      <c r="A591" s="25" t="s">
        <v>754</v>
      </c>
      <c r="B591" s="25" t="s">
        <v>836</v>
      </c>
      <c r="C591" s="26">
        <v>110615</v>
      </c>
      <c r="D591" s="25" t="s">
        <v>857</v>
      </c>
      <c r="E591" s="25" t="s">
        <v>856</v>
      </c>
      <c r="F591" s="26" t="s">
        <v>215</v>
      </c>
      <c r="G591" s="26" t="s">
        <v>215</v>
      </c>
      <c r="H591" s="26"/>
      <c r="I591" s="26"/>
      <c r="J591" s="26">
        <v>1</v>
      </c>
      <c r="K591" s="26">
        <v>138</v>
      </c>
      <c r="L591" s="26" t="s">
        <v>28</v>
      </c>
      <c r="M591" s="27">
        <v>1389</v>
      </c>
      <c r="N591" s="28"/>
      <c r="O591" s="26" t="s">
        <v>29</v>
      </c>
      <c r="P591" s="29"/>
      <c r="Q591" s="6"/>
      <c r="R591" s="29"/>
      <c r="S591" s="10"/>
      <c r="T591" s="8"/>
    </row>
    <row r="592" spans="1:20" ht="15.75" customHeight="1" x14ac:dyDescent="0.35">
      <c r="A592" s="25" t="s">
        <v>754</v>
      </c>
      <c r="B592" s="25" t="s">
        <v>836</v>
      </c>
      <c r="C592" s="26">
        <v>110648</v>
      </c>
      <c r="D592" s="25" t="s">
        <v>858</v>
      </c>
      <c r="E592" s="25" t="s">
        <v>564</v>
      </c>
      <c r="F592" s="26" t="s">
        <v>90</v>
      </c>
      <c r="G592" s="26" t="s">
        <v>90</v>
      </c>
      <c r="H592" s="26"/>
      <c r="I592" s="26"/>
      <c r="J592" s="26">
        <v>1</v>
      </c>
      <c r="K592" s="26">
        <v>138</v>
      </c>
      <c r="L592" s="26" t="s">
        <v>28</v>
      </c>
      <c r="M592" s="27">
        <v>1411</v>
      </c>
      <c r="N592" s="28"/>
      <c r="O592" s="26" t="s">
        <v>29</v>
      </c>
      <c r="P592" s="29"/>
      <c r="Q592" s="6"/>
      <c r="R592" s="29"/>
      <c r="S592" s="10"/>
      <c r="T592" s="8"/>
    </row>
    <row r="593" spans="1:20" ht="15.75" customHeight="1" x14ac:dyDescent="0.35">
      <c r="A593" s="25" t="s">
        <v>754</v>
      </c>
      <c r="B593" s="25" t="s">
        <v>836</v>
      </c>
      <c r="C593" s="26">
        <v>110702</v>
      </c>
      <c r="D593" s="25" t="s">
        <v>859</v>
      </c>
      <c r="E593" s="25" t="s">
        <v>860</v>
      </c>
      <c r="F593" s="26" t="s">
        <v>215</v>
      </c>
      <c r="G593" s="26" t="s">
        <v>215</v>
      </c>
      <c r="H593" s="26"/>
      <c r="I593" s="26"/>
      <c r="J593" s="26">
        <v>1</v>
      </c>
      <c r="K593" s="26">
        <v>138</v>
      </c>
      <c r="L593" s="26" t="s">
        <v>28</v>
      </c>
      <c r="M593" s="27">
        <v>1390</v>
      </c>
      <c r="N593" s="28"/>
      <c r="O593" s="26" t="s">
        <v>29</v>
      </c>
      <c r="P593" s="29"/>
      <c r="Q593" s="6"/>
      <c r="R593" s="29"/>
      <c r="S593" s="10"/>
      <c r="T593" s="8"/>
    </row>
    <row r="594" spans="1:20" ht="15.75" customHeight="1" x14ac:dyDescent="0.35">
      <c r="A594" s="25" t="s">
        <v>754</v>
      </c>
      <c r="B594" s="25" t="s">
        <v>836</v>
      </c>
      <c r="C594" s="26">
        <v>110705</v>
      </c>
      <c r="D594" s="25" t="s">
        <v>861</v>
      </c>
      <c r="E594" s="25" t="s">
        <v>860</v>
      </c>
      <c r="F594" s="26" t="s">
        <v>215</v>
      </c>
      <c r="G594" s="26" t="s">
        <v>215</v>
      </c>
      <c r="H594" s="26"/>
      <c r="I594" s="26"/>
      <c r="J594" s="26">
        <v>1</v>
      </c>
      <c r="K594" s="26">
        <v>138</v>
      </c>
      <c r="L594" s="26" t="s">
        <v>28</v>
      </c>
      <c r="M594" s="27">
        <v>1391</v>
      </c>
      <c r="N594" s="28"/>
      <c r="O594" s="26" t="s">
        <v>29</v>
      </c>
      <c r="P594" s="29"/>
      <c r="Q594" s="6"/>
      <c r="R594" s="29"/>
      <c r="S594" s="10"/>
      <c r="T594" s="8"/>
    </row>
    <row r="595" spans="1:20" ht="15.75" customHeight="1" x14ac:dyDescent="0.35">
      <c r="A595" s="25" t="s">
        <v>754</v>
      </c>
      <c r="B595" s="25" t="s">
        <v>836</v>
      </c>
      <c r="C595" s="26">
        <v>110709</v>
      </c>
      <c r="D595" s="25" t="s">
        <v>862</v>
      </c>
      <c r="E595" s="25" t="s">
        <v>860</v>
      </c>
      <c r="F595" s="26" t="s">
        <v>215</v>
      </c>
      <c r="G595" s="26" t="s">
        <v>215</v>
      </c>
      <c r="H595" s="26"/>
      <c r="I595" s="26"/>
      <c r="J595" s="26">
        <v>1</v>
      </c>
      <c r="K595" s="26">
        <v>138</v>
      </c>
      <c r="L595" s="26" t="s">
        <v>28</v>
      </c>
      <c r="M595" s="27">
        <v>1395</v>
      </c>
      <c r="N595" s="28"/>
      <c r="O595" s="26" t="s">
        <v>29</v>
      </c>
      <c r="P595" s="29"/>
      <c r="Q595" s="6"/>
      <c r="R595" s="29"/>
      <c r="S595" s="10"/>
      <c r="T595" s="8"/>
    </row>
    <row r="596" spans="1:20" ht="15.75" customHeight="1" x14ac:dyDescent="0.35">
      <c r="A596" s="25" t="s">
        <v>754</v>
      </c>
      <c r="B596" s="25" t="s">
        <v>836</v>
      </c>
      <c r="C596" s="26">
        <v>170010</v>
      </c>
      <c r="D596" s="25" t="s">
        <v>863</v>
      </c>
      <c r="E596" s="25" t="s">
        <v>864</v>
      </c>
      <c r="F596" s="26" t="s">
        <v>215</v>
      </c>
      <c r="G596" s="26" t="s">
        <v>215</v>
      </c>
      <c r="H596" s="26"/>
      <c r="I596" s="26"/>
      <c r="J596" s="26">
        <v>1</v>
      </c>
      <c r="K596" s="26">
        <v>138</v>
      </c>
      <c r="L596" s="26" t="s">
        <v>28</v>
      </c>
      <c r="M596" s="27">
        <v>1394</v>
      </c>
      <c r="N596" s="28"/>
      <c r="O596" s="26" t="s">
        <v>29</v>
      </c>
      <c r="P596" s="29"/>
      <c r="Q596" s="6"/>
      <c r="R596" s="29"/>
      <c r="S596" s="10"/>
      <c r="T596" s="8"/>
    </row>
    <row r="597" spans="1:20" ht="15.75" customHeight="1" x14ac:dyDescent="0.35">
      <c r="A597" s="25" t="s">
        <v>754</v>
      </c>
      <c r="B597" s="25" t="s">
        <v>836</v>
      </c>
      <c r="C597" s="26">
        <v>170012</v>
      </c>
      <c r="D597" s="25" t="s">
        <v>865</v>
      </c>
      <c r="E597" s="25" t="s">
        <v>864</v>
      </c>
      <c r="F597" s="26" t="s">
        <v>215</v>
      </c>
      <c r="G597" s="26" t="s">
        <v>215</v>
      </c>
      <c r="H597" s="26"/>
      <c r="I597" s="26"/>
      <c r="J597" s="26">
        <v>1</v>
      </c>
      <c r="K597" s="26">
        <v>138</v>
      </c>
      <c r="L597" s="26" t="s">
        <v>28</v>
      </c>
      <c r="M597" s="27">
        <v>1382</v>
      </c>
      <c r="N597" s="28"/>
      <c r="O597" s="26" t="s">
        <v>29</v>
      </c>
      <c r="P597" s="29"/>
      <c r="Q597" s="6"/>
      <c r="R597" s="29"/>
      <c r="S597" s="10"/>
      <c r="T597" s="8"/>
    </row>
    <row r="598" spans="1:20" ht="15.75" customHeight="1" x14ac:dyDescent="0.35">
      <c r="A598" s="25" t="s">
        <v>754</v>
      </c>
      <c r="B598" s="25" t="s">
        <v>836</v>
      </c>
      <c r="C598" s="26">
        <v>170013</v>
      </c>
      <c r="D598" s="25" t="s">
        <v>866</v>
      </c>
      <c r="E598" s="25" t="s">
        <v>850</v>
      </c>
      <c r="F598" s="26" t="s">
        <v>215</v>
      </c>
      <c r="G598" s="26" t="s">
        <v>215</v>
      </c>
      <c r="H598" s="26"/>
      <c r="I598" s="26"/>
      <c r="J598" s="26">
        <v>1</v>
      </c>
      <c r="K598" s="26">
        <v>138</v>
      </c>
      <c r="L598" s="26" t="s">
        <v>28</v>
      </c>
      <c r="M598" s="27">
        <v>1385</v>
      </c>
      <c r="N598" s="28"/>
      <c r="O598" s="26" t="s">
        <v>29</v>
      </c>
      <c r="P598" s="29"/>
      <c r="Q598" s="6"/>
      <c r="R598" s="29"/>
      <c r="S598" s="10"/>
      <c r="T598" s="8"/>
    </row>
    <row r="599" spans="1:20" ht="15.75" customHeight="1" x14ac:dyDescent="0.35">
      <c r="A599" s="25" t="s">
        <v>754</v>
      </c>
      <c r="B599" s="25" t="s">
        <v>836</v>
      </c>
      <c r="C599" s="26">
        <v>170020</v>
      </c>
      <c r="D599" s="25" t="s">
        <v>867</v>
      </c>
      <c r="E599" s="25" t="s">
        <v>838</v>
      </c>
      <c r="F599" s="26" t="s">
        <v>90</v>
      </c>
      <c r="G599" s="26" t="s">
        <v>90</v>
      </c>
      <c r="H599" s="26"/>
      <c r="I599" s="26"/>
      <c r="J599" s="26">
        <v>1</v>
      </c>
      <c r="K599" s="26">
        <v>138</v>
      </c>
      <c r="L599" s="26" t="s">
        <v>28</v>
      </c>
      <c r="M599" s="27">
        <v>1402</v>
      </c>
      <c r="N599" s="28"/>
      <c r="O599" s="26" t="s">
        <v>29</v>
      </c>
      <c r="P599" s="29"/>
      <c r="Q599" s="6"/>
      <c r="R599" s="29"/>
      <c r="S599" s="10"/>
      <c r="T599" s="8"/>
    </row>
    <row r="600" spans="1:20" ht="15.75" customHeight="1" x14ac:dyDescent="0.35">
      <c r="A600" s="25" t="s">
        <v>754</v>
      </c>
      <c r="B600" s="25" t="s">
        <v>836</v>
      </c>
      <c r="C600" s="26">
        <v>170027</v>
      </c>
      <c r="D600" s="25" t="s">
        <v>868</v>
      </c>
      <c r="E600" s="25" t="s">
        <v>856</v>
      </c>
      <c r="F600" s="26" t="s">
        <v>215</v>
      </c>
      <c r="G600" s="26" t="s">
        <v>215</v>
      </c>
      <c r="H600" s="26"/>
      <c r="I600" s="26"/>
      <c r="J600" s="26">
        <v>1</v>
      </c>
      <c r="K600" s="26">
        <v>138</v>
      </c>
      <c r="L600" s="26" t="s">
        <v>28</v>
      </c>
      <c r="M600" s="27">
        <v>1387</v>
      </c>
      <c r="N600" s="28"/>
      <c r="O600" s="26" t="s">
        <v>29</v>
      </c>
      <c r="P600" s="29"/>
      <c r="Q600" s="6"/>
      <c r="R600" s="29"/>
      <c r="S600" s="10"/>
      <c r="T600" s="8"/>
    </row>
    <row r="601" spans="1:20" ht="15.75" customHeight="1" x14ac:dyDescent="0.35">
      <c r="A601" s="25" t="s">
        <v>754</v>
      </c>
      <c r="B601" s="25" t="s">
        <v>836</v>
      </c>
      <c r="C601" s="26">
        <v>170029</v>
      </c>
      <c r="D601" s="25" t="s">
        <v>869</v>
      </c>
      <c r="E601" s="25" t="s">
        <v>856</v>
      </c>
      <c r="F601" s="26" t="s">
        <v>215</v>
      </c>
      <c r="G601" s="26" t="s">
        <v>215</v>
      </c>
      <c r="H601" s="26"/>
      <c r="I601" s="26"/>
      <c r="J601" s="26">
        <v>1</v>
      </c>
      <c r="K601" s="26">
        <v>138</v>
      </c>
      <c r="L601" s="26" t="s">
        <v>28</v>
      </c>
      <c r="M601" s="27">
        <v>1393</v>
      </c>
      <c r="N601" s="28"/>
      <c r="O601" s="26" t="s">
        <v>29</v>
      </c>
      <c r="P601" s="29"/>
      <c r="Q601" s="6"/>
      <c r="R601" s="29"/>
      <c r="S601" s="10"/>
      <c r="T601" s="8"/>
    </row>
    <row r="602" spans="1:20" ht="15.75" customHeight="1" x14ac:dyDescent="0.35">
      <c r="A602" s="25" t="s">
        <v>754</v>
      </c>
      <c r="B602" s="25" t="s">
        <v>836</v>
      </c>
      <c r="C602" s="26">
        <v>170030</v>
      </c>
      <c r="D602" s="25" t="s">
        <v>870</v>
      </c>
      <c r="E602" s="25" t="s">
        <v>850</v>
      </c>
      <c r="F602" s="26" t="s">
        <v>215</v>
      </c>
      <c r="G602" s="26" t="s">
        <v>215</v>
      </c>
      <c r="H602" s="26"/>
      <c r="I602" s="26"/>
      <c r="J602" s="26">
        <v>1</v>
      </c>
      <c r="K602" s="26">
        <v>138</v>
      </c>
      <c r="L602" s="26" t="s">
        <v>28</v>
      </c>
      <c r="M602" s="27">
        <v>1392</v>
      </c>
      <c r="N602" s="28"/>
      <c r="O602" s="26" t="s">
        <v>29</v>
      </c>
      <c r="P602" s="29"/>
      <c r="Q602" s="6"/>
      <c r="R602" s="29"/>
      <c r="S602" s="10"/>
      <c r="T602" s="8"/>
    </row>
    <row r="603" spans="1:20" ht="15.75" customHeight="1" x14ac:dyDescent="0.35">
      <c r="A603" s="25" t="s">
        <v>754</v>
      </c>
      <c r="B603" s="25" t="s">
        <v>836</v>
      </c>
      <c r="C603" s="26">
        <v>170031</v>
      </c>
      <c r="D603" s="25" t="s">
        <v>871</v>
      </c>
      <c r="E603" s="25" t="s">
        <v>860</v>
      </c>
      <c r="F603" s="26" t="s">
        <v>215</v>
      </c>
      <c r="G603" s="26" t="s">
        <v>215</v>
      </c>
      <c r="H603" s="26"/>
      <c r="I603" s="26"/>
      <c r="J603" s="26">
        <v>1</v>
      </c>
      <c r="K603" s="26">
        <v>138</v>
      </c>
      <c r="L603" s="26" t="s">
        <v>28</v>
      </c>
      <c r="M603" s="27">
        <v>1386</v>
      </c>
      <c r="N603" s="28"/>
      <c r="O603" s="26" t="s">
        <v>29</v>
      </c>
      <c r="P603" s="29"/>
      <c r="Q603" s="6"/>
      <c r="R603" s="29"/>
      <c r="S603" s="10"/>
      <c r="T603" s="8"/>
    </row>
    <row r="604" spans="1:20" ht="15.75" customHeight="1" x14ac:dyDescent="0.35">
      <c r="A604" s="25" t="s">
        <v>754</v>
      </c>
      <c r="B604" s="25" t="s">
        <v>836</v>
      </c>
      <c r="C604" s="26">
        <v>170034</v>
      </c>
      <c r="D604" s="25" t="s">
        <v>872</v>
      </c>
      <c r="E604" s="25" t="s">
        <v>840</v>
      </c>
      <c r="F604" s="26" t="s">
        <v>90</v>
      </c>
      <c r="G604" s="26" t="s">
        <v>90</v>
      </c>
      <c r="H604" s="26"/>
      <c r="I604" s="26"/>
      <c r="J604" s="26">
        <v>1</v>
      </c>
      <c r="K604" s="26">
        <v>138</v>
      </c>
      <c r="L604" s="26" t="s">
        <v>28</v>
      </c>
      <c r="M604" s="27">
        <v>1396</v>
      </c>
      <c r="N604" s="28"/>
      <c r="O604" s="26" t="s">
        <v>29</v>
      </c>
      <c r="P604" s="29"/>
      <c r="Q604" s="6"/>
      <c r="R604" s="29"/>
      <c r="S604" s="10"/>
      <c r="T604" s="8"/>
    </row>
    <row r="605" spans="1:20" ht="15.75" customHeight="1" x14ac:dyDescent="0.35">
      <c r="A605" s="25" t="s">
        <v>754</v>
      </c>
      <c r="B605" s="25" t="s">
        <v>836</v>
      </c>
      <c r="C605" s="26">
        <v>170035</v>
      </c>
      <c r="D605" s="25" t="s">
        <v>873</v>
      </c>
      <c r="E605" s="25" t="s">
        <v>840</v>
      </c>
      <c r="F605" s="26" t="s">
        <v>90</v>
      </c>
      <c r="G605" s="26" t="s">
        <v>90</v>
      </c>
      <c r="H605" s="26"/>
      <c r="I605" s="26"/>
      <c r="J605" s="26">
        <v>1</v>
      </c>
      <c r="K605" s="26">
        <v>138</v>
      </c>
      <c r="L605" s="26" t="s">
        <v>28</v>
      </c>
      <c r="M605" s="27">
        <v>1397</v>
      </c>
      <c r="N605" s="28"/>
      <c r="O605" s="26" t="s">
        <v>29</v>
      </c>
      <c r="P605" s="29"/>
      <c r="Q605" s="6"/>
      <c r="R605" s="29"/>
      <c r="S605" s="10"/>
      <c r="T605" s="8"/>
    </row>
    <row r="606" spans="1:20" ht="15.75" customHeight="1" x14ac:dyDescent="0.35">
      <c r="A606" s="25" t="s">
        <v>754</v>
      </c>
      <c r="B606" s="25" t="s">
        <v>836</v>
      </c>
      <c r="C606" s="26">
        <v>301639</v>
      </c>
      <c r="D606" s="25" t="s">
        <v>874</v>
      </c>
      <c r="E606" s="25" t="s">
        <v>564</v>
      </c>
      <c r="F606" s="26" t="s">
        <v>90</v>
      </c>
      <c r="G606" s="26" t="s">
        <v>90</v>
      </c>
      <c r="H606" s="26"/>
      <c r="I606" s="26"/>
      <c r="J606" s="26">
        <v>1</v>
      </c>
      <c r="K606" s="26">
        <v>138</v>
      </c>
      <c r="L606" s="26" t="s">
        <v>28</v>
      </c>
      <c r="M606" s="27">
        <v>1404</v>
      </c>
      <c r="N606" s="28"/>
      <c r="O606" s="26" t="s">
        <v>29</v>
      </c>
      <c r="P606" s="29"/>
      <c r="Q606" s="6"/>
      <c r="R606" s="29"/>
      <c r="S606" s="10"/>
      <c r="T606" s="8"/>
    </row>
    <row r="607" spans="1:20" ht="15.75" customHeight="1" x14ac:dyDescent="0.35">
      <c r="A607" s="25" t="s">
        <v>754</v>
      </c>
      <c r="B607" s="25" t="s">
        <v>836</v>
      </c>
      <c r="C607" s="26">
        <v>309034</v>
      </c>
      <c r="D607" s="25" t="s">
        <v>875</v>
      </c>
      <c r="E607" s="25" t="s">
        <v>840</v>
      </c>
      <c r="F607" s="26" t="s">
        <v>90</v>
      </c>
      <c r="G607" s="26" t="s">
        <v>90</v>
      </c>
      <c r="H607" s="26"/>
      <c r="I607" s="26"/>
      <c r="J607" s="26">
        <v>1</v>
      </c>
      <c r="K607" s="26">
        <v>138</v>
      </c>
      <c r="L607" s="26" t="s">
        <v>28</v>
      </c>
      <c r="M607" s="27">
        <v>1398</v>
      </c>
      <c r="N607" s="28"/>
      <c r="O607" s="26" t="s">
        <v>29</v>
      </c>
      <c r="P607" s="29"/>
      <c r="Q607" s="6"/>
      <c r="R607" s="29"/>
      <c r="S607" s="10"/>
      <c r="T607" s="8"/>
    </row>
    <row r="608" spans="1:20" ht="15.75" customHeight="1" x14ac:dyDescent="0.35">
      <c r="A608" s="25" t="s">
        <v>754</v>
      </c>
      <c r="B608" s="25" t="s">
        <v>876</v>
      </c>
      <c r="C608" s="26">
        <v>110713</v>
      </c>
      <c r="D608" s="25" t="s">
        <v>877</v>
      </c>
      <c r="E608" s="25" t="s">
        <v>878</v>
      </c>
      <c r="F608" s="26" t="s">
        <v>90</v>
      </c>
      <c r="G608" s="26" t="s">
        <v>90</v>
      </c>
      <c r="H608" s="26"/>
      <c r="I608" s="26"/>
      <c r="J608" s="26">
        <v>1</v>
      </c>
      <c r="K608" s="26">
        <v>138</v>
      </c>
      <c r="L608" s="26" t="s">
        <v>28</v>
      </c>
      <c r="M608" s="27">
        <v>1466</v>
      </c>
      <c r="N608" s="28"/>
      <c r="O608" s="26" t="s">
        <v>29</v>
      </c>
      <c r="P608" s="29"/>
      <c r="Q608" s="6"/>
      <c r="R608" s="29"/>
      <c r="S608" s="10"/>
      <c r="T608" s="8"/>
    </row>
    <row r="609" spans="1:20" ht="15.75" customHeight="1" x14ac:dyDescent="0.35">
      <c r="A609" s="25" t="s">
        <v>754</v>
      </c>
      <c r="B609" s="25" t="s">
        <v>876</v>
      </c>
      <c r="C609" s="26">
        <v>110717</v>
      </c>
      <c r="D609" s="25" t="s">
        <v>879</v>
      </c>
      <c r="E609" s="25" t="s">
        <v>878</v>
      </c>
      <c r="F609" s="26" t="s">
        <v>90</v>
      </c>
      <c r="G609" s="26" t="s">
        <v>90</v>
      </c>
      <c r="H609" s="26"/>
      <c r="I609" s="26"/>
      <c r="J609" s="26">
        <v>1</v>
      </c>
      <c r="K609" s="26">
        <v>138</v>
      </c>
      <c r="L609" s="26" t="s">
        <v>28</v>
      </c>
      <c r="M609" s="27">
        <v>1472</v>
      </c>
      <c r="N609" s="28"/>
      <c r="O609" s="26" t="s">
        <v>29</v>
      </c>
      <c r="P609" s="29"/>
      <c r="Q609" s="6"/>
      <c r="R609" s="29"/>
      <c r="S609" s="10"/>
      <c r="T609" s="8"/>
    </row>
    <row r="610" spans="1:20" ht="15.75" customHeight="1" x14ac:dyDescent="0.35">
      <c r="A610" s="25" t="s">
        <v>754</v>
      </c>
      <c r="B610" s="25" t="s">
        <v>876</v>
      </c>
      <c r="C610" s="26">
        <v>110721</v>
      </c>
      <c r="D610" s="25" t="s">
        <v>880</v>
      </c>
      <c r="E610" s="25" t="s">
        <v>878</v>
      </c>
      <c r="F610" s="26" t="s">
        <v>90</v>
      </c>
      <c r="G610" s="26" t="s">
        <v>90</v>
      </c>
      <c r="H610" s="26"/>
      <c r="I610" s="26"/>
      <c r="J610" s="26">
        <v>1</v>
      </c>
      <c r="K610" s="26">
        <v>138</v>
      </c>
      <c r="L610" s="26" t="s">
        <v>28</v>
      </c>
      <c r="M610" s="27">
        <v>1490</v>
      </c>
      <c r="N610" s="28"/>
      <c r="O610" s="26" t="s">
        <v>29</v>
      </c>
      <c r="P610" s="29"/>
      <c r="Q610" s="6"/>
      <c r="R610" s="29"/>
      <c r="S610" s="10"/>
      <c r="T610" s="8"/>
    </row>
    <row r="611" spans="1:20" ht="15.75" customHeight="1" x14ac:dyDescent="0.35">
      <c r="A611" s="25" t="s">
        <v>754</v>
      </c>
      <c r="B611" s="25" t="s">
        <v>876</v>
      </c>
      <c r="C611" s="26">
        <v>110722</v>
      </c>
      <c r="D611" s="25" t="s">
        <v>881</v>
      </c>
      <c r="E611" s="25" t="s">
        <v>878</v>
      </c>
      <c r="F611" s="26" t="s">
        <v>90</v>
      </c>
      <c r="G611" s="26" t="s">
        <v>90</v>
      </c>
      <c r="H611" s="26"/>
      <c r="I611" s="26"/>
      <c r="J611" s="26">
        <v>1</v>
      </c>
      <c r="K611" s="26">
        <v>138</v>
      </c>
      <c r="L611" s="26" t="s">
        <v>28</v>
      </c>
      <c r="M611" s="27">
        <v>1486</v>
      </c>
      <c r="N611" s="28"/>
      <c r="O611" s="26" t="s">
        <v>29</v>
      </c>
      <c r="P611" s="29"/>
      <c r="Q611" s="6"/>
      <c r="R611" s="29"/>
      <c r="S611" s="10"/>
      <c r="T611" s="8"/>
    </row>
    <row r="612" spans="1:20" ht="15.75" customHeight="1" x14ac:dyDescent="0.35">
      <c r="A612" s="25" t="s">
        <v>754</v>
      </c>
      <c r="B612" s="25" t="s">
        <v>876</v>
      </c>
      <c r="C612" s="26">
        <v>110723</v>
      </c>
      <c r="D612" s="25" t="s">
        <v>882</v>
      </c>
      <c r="E612" s="25" t="s">
        <v>878</v>
      </c>
      <c r="F612" s="26" t="s">
        <v>90</v>
      </c>
      <c r="G612" s="26" t="s">
        <v>90</v>
      </c>
      <c r="H612" s="26"/>
      <c r="I612" s="26"/>
      <c r="J612" s="26">
        <v>1</v>
      </c>
      <c r="K612" s="26">
        <v>138</v>
      </c>
      <c r="L612" s="26" t="s">
        <v>28</v>
      </c>
      <c r="M612" s="27">
        <v>1495</v>
      </c>
      <c r="N612" s="28"/>
      <c r="O612" s="26" t="s">
        <v>29</v>
      </c>
      <c r="P612" s="29"/>
      <c r="Q612" s="6"/>
      <c r="R612" s="29"/>
      <c r="S612" s="10"/>
      <c r="T612" s="8"/>
    </row>
    <row r="613" spans="1:20" ht="15.75" customHeight="1" x14ac:dyDescent="0.35">
      <c r="A613" s="25" t="s">
        <v>754</v>
      </c>
      <c r="B613" s="25" t="s">
        <v>876</v>
      </c>
      <c r="C613" s="26">
        <v>110735</v>
      </c>
      <c r="D613" s="25" t="s">
        <v>883</v>
      </c>
      <c r="E613" s="25" t="s">
        <v>878</v>
      </c>
      <c r="F613" s="26" t="s">
        <v>90</v>
      </c>
      <c r="G613" s="26" t="s">
        <v>90</v>
      </c>
      <c r="H613" s="26"/>
      <c r="I613" s="26"/>
      <c r="J613" s="26">
        <v>1</v>
      </c>
      <c r="K613" s="26">
        <v>138</v>
      </c>
      <c r="L613" s="26" t="s">
        <v>28</v>
      </c>
      <c r="M613" s="27">
        <v>1548</v>
      </c>
      <c r="N613" s="28"/>
      <c r="O613" s="26" t="s">
        <v>29</v>
      </c>
      <c r="P613" s="29"/>
      <c r="Q613" s="6"/>
      <c r="R613" s="29"/>
      <c r="S613" s="10"/>
      <c r="T613" s="8"/>
    </row>
    <row r="614" spans="1:20" ht="15.75" customHeight="1" x14ac:dyDescent="0.35">
      <c r="A614" s="25" t="s">
        <v>754</v>
      </c>
      <c r="B614" s="25" t="s">
        <v>876</v>
      </c>
      <c r="C614" s="26">
        <v>110739</v>
      </c>
      <c r="D614" s="25" t="s">
        <v>884</v>
      </c>
      <c r="E614" s="25" t="s">
        <v>878</v>
      </c>
      <c r="F614" s="26" t="s">
        <v>90</v>
      </c>
      <c r="G614" s="26" t="s">
        <v>90</v>
      </c>
      <c r="H614" s="26"/>
      <c r="I614" s="26"/>
      <c r="J614" s="26">
        <v>1</v>
      </c>
      <c r="K614" s="26">
        <v>138</v>
      </c>
      <c r="L614" s="26" t="s">
        <v>28</v>
      </c>
      <c r="M614" s="27">
        <v>1560</v>
      </c>
      <c r="N614" s="28"/>
      <c r="O614" s="26" t="s">
        <v>29</v>
      </c>
      <c r="P614" s="29"/>
      <c r="Q614" s="6"/>
      <c r="R614" s="29"/>
      <c r="S614" s="10"/>
      <c r="T614" s="8"/>
    </row>
    <row r="615" spans="1:20" ht="15.75" customHeight="1" x14ac:dyDescent="0.35">
      <c r="A615" s="25" t="s">
        <v>754</v>
      </c>
      <c r="B615" s="25" t="s">
        <v>876</v>
      </c>
      <c r="C615" s="26">
        <v>110746</v>
      </c>
      <c r="D615" s="25" t="s">
        <v>885</v>
      </c>
      <c r="E615" s="25" t="s">
        <v>886</v>
      </c>
      <c r="F615" s="26" t="s">
        <v>215</v>
      </c>
      <c r="G615" s="26" t="s">
        <v>215</v>
      </c>
      <c r="H615" s="26"/>
      <c r="I615" s="26"/>
      <c r="J615" s="26">
        <v>1</v>
      </c>
      <c r="K615" s="26">
        <v>138</v>
      </c>
      <c r="L615" s="26" t="s">
        <v>28</v>
      </c>
      <c r="M615" s="27">
        <v>1462</v>
      </c>
      <c r="N615" s="28"/>
      <c r="O615" s="26" t="s">
        <v>29</v>
      </c>
      <c r="P615" s="29"/>
      <c r="Q615" s="6"/>
      <c r="R615" s="29"/>
      <c r="S615" s="10"/>
      <c r="T615" s="8"/>
    </row>
    <row r="616" spans="1:20" ht="15.75" customHeight="1" x14ac:dyDescent="0.35">
      <c r="A616" s="25" t="s">
        <v>754</v>
      </c>
      <c r="B616" s="25" t="s">
        <v>876</v>
      </c>
      <c r="C616" s="26">
        <v>110747</v>
      </c>
      <c r="D616" s="25" t="s">
        <v>887</v>
      </c>
      <c r="E616" s="25" t="s">
        <v>886</v>
      </c>
      <c r="F616" s="26" t="s">
        <v>215</v>
      </c>
      <c r="G616" s="26" t="s">
        <v>215</v>
      </c>
      <c r="H616" s="26"/>
      <c r="I616" s="26"/>
      <c r="J616" s="26">
        <v>1</v>
      </c>
      <c r="K616" s="26">
        <v>138</v>
      </c>
      <c r="L616" s="26" t="s">
        <v>28</v>
      </c>
      <c r="M616" s="27">
        <v>1464</v>
      </c>
      <c r="N616" s="28"/>
      <c r="O616" s="26" t="s">
        <v>29</v>
      </c>
      <c r="P616" s="29"/>
      <c r="Q616" s="6"/>
      <c r="R616" s="29"/>
      <c r="S616" s="10"/>
      <c r="T616" s="8"/>
    </row>
    <row r="617" spans="1:20" ht="15.75" customHeight="1" x14ac:dyDescent="0.35">
      <c r="A617" s="25" t="s">
        <v>754</v>
      </c>
      <c r="B617" s="25" t="s">
        <v>876</v>
      </c>
      <c r="C617" s="26">
        <v>110748</v>
      </c>
      <c r="D617" s="25" t="s">
        <v>888</v>
      </c>
      <c r="E617" s="25" t="s">
        <v>889</v>
      </c>
      <c r="F617" s="26" t="s">
        <v>215</v>
      </c>
      <c r="G617" s="26" t="s">
        <v>215</v>
      </c>
      <c r="H617" s="26"/>
      <c r="I617" s="26"/>
      <c r="J617" s="26">
        <v>1</v>
      </c>
      <c r="K617" s="26">
        <v>138</v>
      </c>
      <c r="L617" s="26" t="s">
        <v>28</v>
      </c>
      <c r="M617" s="27">
        <v>1413</v>
      </c>
      <c r="N617" s="28"/>
      <c r="O617" s="26" t="s">
        <v>29</v>
      </c>
      <c r="P617" s="29"/>
      <c r="Q617" s="6"/>
      <c r="R617" s="29"/>
      <c r="S617" s="10"/>
      <c r="T617" s="8"/>
    </row>
    <row r="618" spans="1:20" ht="15.75" customHeight="1" x14ac:dyDescent="0.35">
      <c r="A618" s="25" t="s">
        <v>754</v>
      </c>
      <c r="B618" s="25" t="s">
        <v>876</v>
      </c>
      <c r="C618" s="26">
        <v>110755</v>
      </c>
      <c r="D618" s="25" t="s">
        <v>890</v>
      </c>
      <c r="E618" s="25" t="s">
        <v>891</v>
      </c>
      <c r="F618" s="26" t="s">
        <v>215</v>
      </c>
      <c r="G618" s="26" t="s">
        <v>215</v>
      </c>
      <c r="H618" s="26"/>
      <c r="I618" s="26"/>
      <c r="J618" s="26">
        <v>1</v>
      </c>
      <c r="K618" s="26">
        <v>138</v>
      </c>
      <c r="L618" s="26" t="s">
        <v>28</v>
      </c>
      <c r="M618" s="27">
        <v>1419</v>
      </c>
      <c r="N618" s="28"/>
      <c r="O618" s="26" t="s">
        <v>29</v>
      </c>
      <c r="P618" s="29"/>
      <c r="Q618" s="6"/>
      <c r="R618" s="29"/>
      <c r="S618" s="10"/>
      <c r="T618" s="8"/>
    </row>
    <row r="619" spans="1:20" ht="15.75" customHeight="1" x14ac:dyDescent="0.35">
      <c r="A619" s="25" t="s">
        <v>754</v>
      </c>
      <c r="B619" s="25" t="s">
        <v>876</v>
      </c>
      <c r="C619" s="26">
        <v>110764</v>
      </c>
      <c r="D619" s="25" t="s">
        <v>892</v>
      </c>
      <c r="E619" s="25" t="s">
        <v>891</v>
      </c>
      <c r="F619" s="26" t="s">
        <v>215</v>
      </c>
      <c r="G619" s="26" t="s">
        <v>215</v>
      </c>
      <c r="H619" s="26"/>
      <c r="I619" s="26"/>
      <c r="J619" s="26">
        <v>1</v>
      </c>
      <c r="K619" s="26">
        <v>138</v>
      </c>
      <c r="L619" s="26" t="s">
        <v>28</v>
      </c>
      <c r="M619" s="27">
        <v>1432</v>
      </c>
      <c r="N619" s="28"/>
      <c r="O619" s="26" t="s">
        <v>29</v>
      </c>
      <c r="P619" s="29"/>
      <c r="Q619" s="6"/>
      <c r="R619" s="29"/>
      <c r="S619" s="10"/>
      <c r="T619" s="8"/>
    </row>
    <row r="620" spans="1:20" ht="15.75" customHeight="1" x14ac:dyDescent="0.35">
      <c r="A620" s="25" t="s">
        <v>754</v>
      </c>
      <c r="B620" s="25" t="s">
        <v>876</v>
      </c>
      <c r="C620" s="26">
        <v>110771</v>
      </c>
      <c r="D620" s="25" t="s">
        <v>893</v>
      </c>
      <c r="E620" s="25" t="s">
        <v>891</v>
      </c>
      <c r="F620" s="26" t="s">
        <v>215</v>
      </c>
      <c r="G620" s="26" t="s">
        <v>215</v>
      </c>
      <c r="H620" s="26"/>
      <c r="I620" s="26"/>
      <c r="J620" s="26">
        <v>1</v>
      </c>
      <c r="K620" s="26">
        <v>138</v>
      </c>
      <c r="L620" s="26" t="s">
        <v>28</v>
      </c>
      <c r="M620" s="27">
        <v>1438</v>
      </c>
      <c r="N620" s="28"/>
      <c r="O620" s="26" t="s">
        <v>29</v>
      </c>
      <c r="P620" s="29"/>
      <c r="Q620" s="6"/>
      <c r="R620" s="29"/>
      <c r="S620" s="10"/>
      <c r="T620" s="8"/>
    </row>
    <row r="621" spans="1:20" ht="15.75" customHeight="1" x14ac:dyDescent="0.35">
      <c r="A621" s="25" t="s">
        <v>754</v>
      </c>
      <c r="B621" s="25" t="s">
        <v>876</v>
      </c>
      <c r="C621" s="26">
        <v>110774</v>
      </c>
      <c r="D621" s="25" t="s">
        <v>894</v>
      </c>
      <c r="E621" s="25" t="s">
        <v>889</v>
      </c>
      <c r="F621" s="26" t="s">
        <v>215</v>
      </c>
      <c r="G621" s="26" t="s">
        <v>215</v>
      </c>
      <c r="H621" s="26"/>
      <c r="I621" s="26"/>
      <c r="J621" s="26">
        <v>1</v>
      </c>
      <c r="K621" s="26">
        <v>138</v>
      </c>
      <c r="L621" s="26" t="s">
        <v>28</v>
      </c>
      <c r="M621" s="27">
        <v>1441</v>
      </c>
      <c r="N621" s="28"/>
      <c r="O621" s="26" t="s">
        <v>29</v>
      </c>
      <c r="P621" s="29"/>
      <c r="Q621" s="6"/>
      <c r="R621" s="29"/>
      <c r="S621" s="10"/>
      <c r="T621" s="8"/>
    </row>
    <row r="622" spans="1:20" ht="15.75" customHeight="1" x14ac:dyDescent="0.35">
      <c r="A622" s="25" t="s">
        <v>754</v>
      </c>
      <c r="B622" s="25" t="s">
        <v>876</v>
      </c>
      <c r="C622" s="26">
        <v>110780</v>
      </c>
      <c r="D622" s="25" t="s">
        <v>895</v>
      </c>
      <c r="E622" s="25" t="s">
        <v>891</v>
      </c>
      <c r="F622" s="26" t="s">
        <v>215</v>
      </c>
      <c r="G622" s="26" t="s">
        <v>215</v>
      </c>
      <c r="H622" s="26"/>
      <c r="I622" s="26"/>
      <c r="J622" s="26">
        <v>1</v>
      </c>
      <c r="K622" s="26">
        <v>138</v>
      </c>
      <c r="L622" s="26" t="s">
        <v>28</v>
      </c>
      <c r="M622" s="27">
        <v>1453</v>
      </c>
      <c r="N622" s="28"/>
      <c r="O622" s="26" t="s">
        <v>29</v>
      </c>
      <c r="P622" s="29"/>
      <c r="Q622" s="6"/>
      <c r="R622" s="29"/>
      <c r="S622" s="10"/>
      <c r="T622" s="8"/>
    </row>
    <row r="623" spans="1:20" ht="15.75" customHeight="1" x14ac:dyDescent="0.35">
      <c r="A623" s="25" t="s">
        <v>754</v>
      </c>
      <c r="B623" s="25" t="s">
        <v>876</v>
      </c>
      <c r="C623" s="26">
        <v>110783</v>
      </c>
      <c r="D623" s="25" t="s">
        <v>896</v>
      </c>
      <c r="E623" s="25" t="s">
        <v>889</v>
      </c>
      <c r="F623" s="26" t="s">
        <v>215</v>
      </c>
      <c r="G623" s="26" t="s">
        <v>215</v>
      </c>
      <c r="H623" s="26"/>
      <c r="I623" s="26"/>
      <c r="J623" s="26">
        <v>1</v>
      </c>
      <c r="K623" s="26">
        <v>138</v>
      </c>
      <c r="L623" s="26" t="s">
        <v>28</v>
      </c>
      <c r="M623" s="27">
        <v>1457</v>
      </c>
      <c r="N623" s="28"/>
      <c r="O623" s="26" t="s">
        <v>29</v>
      </c>
      <c r="P623" s="29"/>
      <c r="Q623" s="6"/>
      <c r="R623" s="29"/>
      <c r="S623" s="10"/>
      <c r="T623" s="8"/>
    </row>
    <row r="624" spans="1:20" ht="15.75" customHeight="1" x14ac:dyDescent="0.35">
      <c r="A624" s="25" t="s">
        <v>754</v>
      </c>
      <c r="B624" s="25" t="s">
        <v>876</v>
      </c>
      <c r="C624" s="26">
        <v>110787</v>
      </c>
      <c r="D624" s="25" t="s">
        <v>897</v>
      </c>
      <c r="E624" s="25" t="s">
        <v>891</v>
      </c>
      <c r="F624" s="26" t="s">
        <v>215</v>
      </c>
      <c r="G624" s="26" t="s">
        <v>215</v>
      </c>
      <c r="H624" s="26"/>
      <c r="I624" s="26"/>
      <c r="J624" s="26">
        <v>1</v>
      </c>
      <c r="K624" s="26">
        <v>138</v>
      </c>
      <c r="L624" s="26" t="s">
        <v>28</v>
      </c>
      <c r="M624" s="27">
        <v>1459</v>
      </c>
      <c r="N624" s="28"/>
      <c r="O624" s="26" t="s">
        <v>29</v>
      </c>
      <c r="P624" s="29"/>
      <c r="Q624" s="6"/>
      <c r="R624" s="29"/>
      <c r="S624" s="10"/>
      <c r="T624" s="8"/>
    </row>
    <row r="625" spans="1:20" ht="15.75" customHeight="1" x14ac:dyDescent="0.35">
      <c r="A625" s="25" t="s">
        <v>754</v>
      </c>
      <c r="B625" s="25" t="s">
        <v>876</v>
      </c>
      <c r="C625" s="26">
        <v>110788</v>
      </c>
      <c r="D625" s="25" t="s">
        <v>898</v>
      </c>
      <c r="E625" s="25" t="s">
        <v>889</v>
      </c>
      <c r="F625" s="26" t="s">
        <v>215</v>
      </c>
      <c r="G625" s="26" t="s">
        <v>215</v>
      </c>
      <c r="H625" s="26"/>
      <c r="I625" s="26"/>
      <c r="J625" s="26">
        <v>1</v>
      </c>
      <c r="K625" s="26">
        <v>138</v>
      </c>
      <c r="L625" s="26" t="s">
        <v>28</v>
      </c>
      <c r="M625" s="27">
        <v>1460</v>
      </c>
      <c r="N625" s="28"/>
      <c r="O625" s="26" t="s">
        <v>29</v>
      </c>
      <c r="P625" s="29"/>
      <c r="Q625" s="6"/>
      <c r="R625" s="29"/>
      <c r="S625" s="10"/>
      <c r="T625" s="8"/>
    </row>
    <row r="626" spans="1:20" ht="15.75" customHeight="1" x14ac:dyDescent="0.35">
      <c r="A626" s="25" t="s">
        <v>754</v>
      </c>
      <c r="B626" s="25" t="s">
        <v>876</v>
      </c>
      <c r="C626" s="26">
        <v>110791</v>
      </c>
      <c r="D626" s="25" t="s">
        <v>899</v>
      </c>
      <c r="E626" s="25" t="s">
        <v>900</v>
      </c>
      <c r="F626" s="26" t="s">
        <v>90</v>
      </c>
      <c r="G626" s="26" t="s">
        <v>90</v>
      </c>
      <c r="H626" s="26"/>
      <c r="I626" s="26"/>
      <c r="J626" s="26">
        <v>1</v>
      </c>
      <c r="K626" s="26">
        <v>138</v>
      </c>
      <c r="L626" s="26" t="s">
        <v>28</v>
      </c>
      <c r="M626" s="27">
        <v>1465</v>
      </c>
      <c r="N626" s="28"/>
      <c r="O626" s="26" t="s">
        <v>29</v>
      </c>
      <c r="P626" s="29"/>
      <c r="Q626" s="6"/>
      <c r="R626" s="29"/>
      <c r="S626" s="10"/>
      <c r="T626" s="8"/>
    </row>
    <row r="627" spans="1:20" ht="15.75" customHeight="1" x14ac:dyDescent="0.35">
      <c r="A627" s="25" t="s">
        <v>754</v>
      </c>
      <c r="B627" s="25" t="s">
        <v>876</v>
      </c>
      <c r="C627" s="26">
        <v>110794</v>
      </c>
      <c r="D627" s="25" t="s">
        <v>901</v>
      </c>
      <c r="E627" s="25" t="s">
        <v>900</v>
      </c>
      <c r="F627" s="26" t="s">
        <v>90</v>
      </c>
      <c r="G627" s="26" t="s">
        <v>90</v>
      </c>
      <c r="H627" s="26"/>
      <c r="I627" s="26"/>
      <c r="J627" s="26">
        <v>1</v>
      </c>
      <c r="K627" s="26">
        <v>138</v>
      </c>
      <c r="L627" s="26" t="s">
        <v>28</v>
      </c>
      <c r="M627" s="27">
        <v>1470</v>
      </c>
      <c r="N627" s="28"/>
      <c r="O627" s="26" t="s">
        <v>29</v>
      </c>
      <c r="P627" s="29"/>
      <c r="Q627" s="6"/>
      <c r="R627" s="29"/>
      <c r="S627" s="10"/>
      <c r="T627" s="8"/>
    </row>
    <row r="628" spans="1:20" ht="15.75" customHeight="1" x14ac:dyDescent="0.35">
      <c r="A628" s="25" t="s">
        <v>754</v>
      </c>
      <c r="B628" s="25" t="s">
        <v>876</v>
      </c>
      <c r="C628" s="26">
        <v>110796</v>
      </c>
      <c r="D628" s="25" t="s">
        <v>902</v>
      </c>
      <c r="E628" s="25" t="s">
        <v>900</v>
      </c>
      <c r="F628" s="26" t="s">
        <v>90</v>
      </c>
      <c r="G628" s="26" t="s">
        <v>90</v>
      </c>
      <c r="H628" s="26"/>
      <c r="I628" s="26"/>
      <c r="J628" s="26">
        <v>1</v>
      </c>
      <c r="K628" s="26">
        <v>138</v>
      </c>
      <c r="L628" s="26" t="s">
        <v>28</v>
      </c>
      <c r="M628" s="27">
        <v>1480</v>
      </c>
      <c r="N628" s="28"/>
      <c r="O628" s="26" t="s">
        <v>29</v>
      </c>
      <c r="P628" s="29"/>
      <c r="Q628" s="6"/>
      <c r="R628" s="29"/>
      <c r="S628" s="10"/>
      <c r="T628" s="8"/>
    </row>
    <row r="629" spans="1:20" ht="15.75" customHeight="1" x14ac:dyDescent="0.35">
      <c r="A629" s="25" t="s">
        <v>754</v>
      </c>
      <c r="B629" s="25" t="s">
        <v>876</v>
      </c>
      <c r="C629" s="26">
        <v>110797</v>
      </c>
      <c r="D629" s="25" t="s">
        <v>903</v>
      </c>
      <c r="E629" s="25" t="s">
        <v>900</v>
      </c>
      <c r="F629" s="26" t="s">
        <v>90</v>
      </c>
      <c r="G629" s="26" t="s">
        <v>90</v>
      </c>
      <c r="H629" s="26"/>
      <c r="I629" s="26"/>
      <c r="J629" s="26">
        <v>1</v>
      </c>
      <c r="K629" s="26">
        <v>138</v>
      </c>
      <c r="L629" s="26" t="s">
        <v>28</v>
      </c>
      <c r="M629" s="27">
        <v>1482</v>
      </c>
      <c r="N629" s="28"/>
      <c r="O629" s="26" t="s">
        <v>29</v>
      </c>
      <c r="P629" s="29"/>
      <c r="Q629" s="6"/>
      <c r="R629" s="29"/>
      <c r="S629" s="10"/>
      <c r="T629" s="8"/>
    </row>
    <row r="630" spans="1:20" ht="15.75" customHeight="1" x14ac:dyDescent="0.35">
      <c r="A630" s="25" t="s">
        <v>754</v>
      </c>
      <c r="B630" s="25" t="s">
        <v>876</v>
      </c>
      <c r="C630" s="26">
        <v>110799</v>
      </c>
      <c r="D630" s="25" t="s">
        <v>904</v>
      </c>
      <c r="E630" s="25" t="s">
        <v>900</v>
      </c>
      <c r="F630" s="26" t="s">
        <v>90</v>
      </c>
      <c r="G630" s="26" t="s">
        <v>90</v>
      </c>
      <c r="H630" s="26"/>
      <c r="I630" s="26"/>
      <c r="J630" s="26">
        <v>1</v>
      </c>
      <c r="K630" s="26">
        <v>138</v>
      </c>
      <c r="L630" s="26" t="s">
        <v>28</v>
      </c>
      <c r="M630" s="27">
        <v>1493</v>
      </c>
      <c r="N630" s="28"/>
      <c r="O630" s="26" t="s">
        <v>29</v>
      </c>
      <c r="P630" s="29"/>
      <c r="Q630" s="6"/>
      <c r="R630" s="29"/>
      <c r="S630" s="10"/>
      <c r="T630" s="8"/>
    </row>
    <row r="631" spans="1:20" ht="15.75" customHeight="1" x14ac:dyDescent="0.35">
      <c r="A631" s="25" t="s">
        <v>754</v>
      </c>
      <c r="B631" s="25" t="s">
        <v>876</v>
      </c>
      <c r="C631" s="26">
        <v>110800</v>
      </c>
      <c r="D631" s="25" t="s">
        <v>905</v>
      </c>
      <c r="E631" s="25" t="s">
        <v>900</v>
      </c>
      <c r="F631" s="26" t="s">
        <v>90</v>
      </c>
      <c r="G631" s="26" t="s">
        <v>90</v>
      </c>
      <c r="H631" s="26"/>
      <c r="I631" s="26"/>
      <c r="J631" s="26">
        <v>1</v>
      </c>
      <c r="K631" s="26">
        <v>138</v>
      </c>
      <c r="L631" s="26" t="s">
        <v>28</v>
      </c>
      <c r="M631" s="27">
        <v>1497</v>
      </c>
      <c r="N631" s="28"/>
      <c r="O631" s="26" t="s">
        <v>29</v>
      </c>
      <c r="P631" s="29"/>
      <c r="Q631" s="6"/>
      <c r="R631" s="29"/>
      <c r="S631" s="10"/>
      <c r="T631" s="8"/>
    </row>
    <row r="632" spans="1:20" ht="15.75" customHeight="1" x14ac:dyDescent="0.35">
      <c r="A632" s="25" t="s">
        <v>754</v>
      </c>
      <c r="B632" s="25" t="s">
        <v>876</v>
      </c>
      <c r="C632" s="26">
        <v>110801</v>
      </c>
      <c r="D632" s="25" t="s">
        <v>906</v>
      </c>
      <c r="E632" s="25" t="s">
        <v>900</v>
      </c>
      <c r="F632" s="26" t="s">
        <v>90</v>
      </c>
      <c r="G632" s="26" t="s">
        <v>90</v>
      </c>
      <c r="H632" s="26"/>
      <c r="I632" s="26"/>
      <c r="J632" s="26">
        <v>1</v>
      </c>
      <c r="K632" s="26">
        <v>138</v>
      </c>
      <c r="L632" s="26" t="s">
        <v>28</v>
      </c>
      <c r="M632" s="27">
        <v>1501</v>
      </c>
      <c r="N632" s="28"/>
      <c r="O632" s="26" t="s">
        <v>29</v>
      </c>
      <c r="P632" s="29"/>
      <c r="Q632" s="6"/>
      <c r="R632" s="29"/>
      <c r="S632" s="10"/>
      <c r="T632" s="8"/>
    </row>
    <row r="633" spans="1:20" ht="15.75" customHeight="1" x14ac:dyDescent="0.35">
      <c r="A633" s="25" t="s">
        <v>754</v>
      </c>
      <c r="B633" s="25" t="s">
        <v>876</v>
      </c>
      <c r="C633" s="26">
        <v>110802</v>
      </c>
      <c r="D633" s="25" t="s">
        <v>907</v>
      </c>
      <c r="E633" s="25" t="s">
        <v>900</v>
      </c>
      <c r="F633" s="26" t="s">
        <v>90</v>
      </c>
      <c r="G633" s="26" t="s">
        <v>90</v>
      </c>
      <c r="H633" s="26"/>
      <c r="I633" s="26"/>
      <c r="J633" s="26">
        <v>1</v>
      </c>
      <c r="K633" s="26">
        <v>138</v>
      </c>
      <c r="L633" s="26" t="s">
        <v>28</v>
      </c>
      <c r="M633" s="27">
        <v>1503</v>
      </c>
      <c r="N633" s="28"/>
      <c r="O633" s="26" t="s">
        <v>29</v>
      </c>
      <c r="P633" s="29"/>
      <c r="Q633" s="6"/>
      <c r="R633" s="29"/>
      <c r="S633" s="10"/>
      <c r="T633" s="8"/>
    </row>
    <row r="634" spans="1:20" ht="15.75" customHeight="1" x14ac:dyDescent="0.35">
      <c r="A634" s="25" t="s">
        <v>754</v>
      </c>
      <c r="B634" s="25" t="s">
        <v>876</v>
      </c>
      <c r="C634" s="26">
        <v>110803</v>
      </c>
      <c r="D634" s="25" t="s">
        <v>908</v>
      </c>
      <c r="E634" s="25" t="s">
        <v>900</v>
      </c>
      <c r="F634" s="26" t="s">
        <v>90</v>
      </c>
      <c r="G634" s="26" t="s">
        <v>90</v>
      </c>
      <c r="H634" s="26"/>
      <c r="I634" s="26"/>
      <c r="J634" s="26">
        <v>1</v>
      </c>
      <c r="K634" s="26">
        <v>138</v>
      </c>
      <c r="L634" s="26" t="s">
        <v>28</v>
      </c>
      <c r="M634" s="27">
        <v>1504</v>
      </c>
      <c r="N634" s="28"/>
      <c r="O634" s="26" t="s">
        <v>29</v>
      </c>
      <c r="P634" s="29"/>
      <c r="Q634" s="6"/>
      <c r="R634" s="29"/>
      <c r="S634" s="10"/>
      <c r="T634" s="8"/>
    </row>
    <row r="635" spans="1:20" ht="15.75" customHeight="1" x14ac:dyDescent="0.35">
      <c r="A635" s="25" t="s">
        <v>754</v>
      </c>
      <c r="B635" s="25" t="s">
        <v>876</v>
      </c>
      <c r="C635" s="26">
        <v>110805</v>
      </c>
      <c r="D635" s="25" t="s">
        <v>909</v>
      </c>
      <c r="E635" s="25" t="s">
        <v>900</v>
      </c>
      <c r="F635" s="26" t="s">
        <v>90</v>
      </c>
      <c r="G635" s="26" t="s">
        <v>90</v>
      </c>
      <c r="H635" s="26"/>
      <c r="I635" s="26"/>
      <c r="J635" s="26">
        <v>1</v>
      </c>
      <c r="K635" s="26">
        <v>138</v>
      </c>
      <c r="L635" s="26" t="s">
        <v>28</v>
      </c>
      <c r="M635" s="27">
        <v>1506</v>
      </c>
      <c r="N635" s="28"/>
      <c r="O635" s="26" t="s">
        <v>29</v>
      </c>
      <c r="P635" s="29"/>
      <c r="Q635" s="6"/>
      <c r="R635" s="29"/>
      <c r="S635" s="10"/>
      <c r="T635" s="8"/>
    </row>
    <row r="636" spans="1:20" ht="15.75" customHeight="1" x14ac:dyDescent="0.35">
      <c r="A636" s="25" t="s">
        <v>754</v>
      </c>
      <c r="B636" s="25" t="s">
        <v>876</v>
      </c>
      <c r="C636" s="26">
        <v>110807</v>
      </c>
      <c r="D636" s="25" t="s">
        <v>910</v>
      </c>
      <c r="E636" s="25" t="s">
        <v>900</v>
      </c>
      <c r="F636" s="26" t="s">
        <v>90</v>
      </c>
      <c r="G636" s="26" t="s">
        <v>90</v>
      </c>
      <c r="H636" s="26"/>
      <c r="I636" s="26"/>
      <c r="J636" s="26">
        <v>1</v>
      </c>
      <c r="K636" s="26">
        <v>138</v>
      </c>
      <c r="L636" s="26" t="s">
        <v>28</v>
      </c>
      <c r="M636" s="27">
        <v>1511</v>
      </c>
      <c r="N636" s="28"/>
      <c r="O636" s="26" t="s">
        <v>29</v>
      </c>
      <c r="P636" s="29"/>
      <c r="Q636" s="6"/>
      <c r="R636" s="29"/>
      <c r="S636" s="10"/>
      <c r="T636" s="8"/>
    </row>
    <row r="637" spans="1:20" ht="15.75" customHeight="1" x14ac:dyDescent="0.35">
      <c r="A637" s="25" t="s">
        <v>754</v>
      </c>
      <c r="B637" s="25" t="s">
        <v>876</v>
      </c>
      <c r="C637" s="26">
        <v>110809</v>
      </c>
      <c r="D637" s="25" t="s">
        <v>911</v>
      </c>
      <c r="E637" s="25" t="s">
        <v>900</v>
      </c>
      <c r="F637" s="26" t="s">
        <v>90</v>
      </c>
      <c r="G637" s="26" t="s">
        <v>90</v>
      </c>
      <c r="H637" s="26"/>
      <c r="I637" s="26"/>
      <c r="J637" s="26">
        <v>1</v>
      </c>
      <c r="K637" s="26">
        <v>138</v>
      </c>
      <c r="L637" s="26" t="s">
        <v>28</v>
      </c>
      <c r="M637" s="27">
        <v>1515</v>
      </c>
      <c r="N637" s="28"/>
      <c r="O637" s="26" t="s">
        <v>29</v>
      </c>
      <c r="P637" s="29"/>
      <c r="Q637" s="6"/>
      <c r="R637" s="29"/>
      <c r="S637" s="10"/>
      <c r="T637" s="8"/>
    </row>
    <row r="638" spans="1:20" ht="15.75" customHeight="1" x14ac:dyDescent="0.35">
      <c r="A638" s="25" t="s">
        <v>754</v>
      </c>
      <c r="B638" s="25" t="s">
        <v>876</v>
      </c>
      <c r="C638" s="26">
        <v>110810</v>
      </c>
      <c r="D638" s="25" t="s">
        <v>912</v>
      </c>
      <c r="E638" s="25" t="s">
        <v>900</v>
      </c>
      <c r="F638" s="26" t="s">
        <v>90</v>
      </c>
      <c r="G638" s="26" t="s">
        <v>90</v>
      </c>
      <c r="H638" s="26"/>
      <c r="I638" s="26"/>
      <c r="J638" s="26">
        <v>1</v>
      </c>
      <c r="K638" s="26">
        <v>138</v>
      </c>
      <c r="L638" s="26" t="s">
        <v>28</v>
      </c>
      <c r="M638" s="27">
        <v>1512</v>
      </c>
      <c r="N638" s="28"/>
      <c r="O638" s="26" t="s">
        <v>29</v>
      </c>
      <c r="P638" s="29"/>
      <c r="Q638" s="6"/>
      <c r="R638" s="29"/>
      <c r="S638" s="10"/>
      <c r="T638" s="8"/>
    </row>
    <row r="639" spans="1:20" ht="15.75" customHeight="1" x14ac:dyDescent="0.35">
      <c r="A639" s="25" t="s">
        <v>754</v>
      </c>
      <c r="B639" s="25" t="s">
        <v>876</v>
      </c>
      <c r="C639" s="26">
        <v>110812</v>
      </c>
      <c r="D639" s="25" t="s">
        <v>913</v>
      </c>
      <c r="E639" s="25" t="s">
        <v>900</v>
      </c>
      <c r="F639" s="26" t="s">
        <v>90</v>
      </c>
      <c r="G639" s="26" t="s">
        <v>90</v>
      </c>
      <c r="H639" s="26"/>
      <c r="I639" s="26"/>
      <c r="J639" s="26">
        <v>1</v>
      </c>
      <c r="K639" s="26">
        <v>138</v>
      </c>
      <c r="L639" s="26" t="s">
        <v>28</v>
      </c>
      <c r="M639" s="27">
        <v>1518</v>
      </c>
      <c r="N639" s="28"/>
      <c r="O639" s="26" t="s">
        <v>29</v>
      </c>
      <c r="P639" s="29"/>
      <c r="Q639" s="6"/>
      <c r="R639" s="29"/>
      <c r="S639" s="10"/>
      <c r="T639" s="8"/>
    </row>
    <row r="640" spans="1:20" ht="15.75" customHeight="1" x14ac:dyDescent="0.35">
      <c r="A640" s="25" t="s">
        <v>754</v>
      </c>
      <c r="B640" s="25" t="s">
        <v>876</v>
      </c>
      <c r="C640" s="26">
        <v>110813</v>
      </c>
      <c r="D640" s="25" t="s">
        <v>914</v>
      </c>
      <c r="E640" s="25" t="s">
        <v>900</v>
      </c>
      <c r="F640" s="26" t="s">
        <v>90</v>
      </c>
      <c r="G640" s="26" t="s">
        <v>90</v>
      </c>
      <c r="H640" s="26"/>
      <c r="I640" s="26"/>
      <c r="J640" s="26">
        <v>1</v>
      </c>
      <c r="K640" s="26">
        <v>138</v>
      </c>
      <c r="L640" s="26" t="s">
        <v>28</v>
      </c>
      <c r="M640" s="27">
        <v>1524</v>
      </c>
      <c r="N640" s="28"/>
      <c r="O640" s="26" t="s">
        <v>29</v>
      </c>
      <c r="P640" s="29"/>
      <c r="Q640" s="6"/>
      <c r="R640" s="29"/>
      <c r="S640" s="10"/>
      <c r="T640" s="8"/>
    </row>
    <row r="641" spans="1:20" ht="15.75" customHeight="1" x14ac:dyDescent="0.35">
      <c r="A641" s="25" t="s">
        <v>754</v>
      </c>
      <c r="B641" s="25" t="s">
        <v>876</v>
      </c>
      <c r="C641" s="26">
        <v>110815</v>
      </c>
      <c r="D641" s="25" t="s">
        <v>915</v>
      </c>
      <c r="E641" s="25" t="s">
        <v>900</v>
      </c>
      <c r="F641" s="26" t="s">
        <v>90</v>
      </c>
      <c r="G641" s="26" t="s">
        <v>90</v>
      </c>
      <c r="H641" s="26"/>
      <c r="I641" s="26"/>
      <c r="J641" s="26">
        <v>1</v>
      </c>
      <c r="K641" s="26">
        <v>138</v>
      </c>
      <c r="L641" s="26" t="s">
        <v>28</v>
      </c>
      <c r="M641" s="27">
        <v>1525</v>
      </c>
      <c r="N641" s="28"/>
      <c r="O641" s="26" t="s">
        <v>29</v>
      </c>
      <c r="P641" s="29"/>
      <c r="Q641" s="6"/>
      <c r="R641" s="29"/>
      <c r="S641" s="10"/>
      <c r="T641" s="8"/>
    </row>
    <row r="642" spans="1:20" ht="15.75" customHeight="1" x14ac:dyDescent="0.35">
      <c r="A642" s="25" t="s">
        <v>754</v>
      </c>
      <c r="B642" s="25" t="s">
        <v>876</v>
      </c>
      <c r="C642" s="26">
        <v>110816</v>
      </c>
      <c r="D642" s="25" t="s">
        <v>916</v>
      </c>
      <c r="E642" s="25" t="s">
        <v>900</v>
      </c>
      <c r="F642" s="26" t="s">
        <v>90</v>
      </c>
      <c r="G642" s="26" t="s">
        <v>90</v>
      </c>
      <c r="H642" s="26"/>
      <c r="I642" s="26"/>
      <c r="J642" s="26">
        <v>1</v>
      </c>
      <c r="K642" s="26">
        <v>138</v>
      </c>
      <c r="L642" s="26" t="s">
        <v>28</v>
      </c>
      <c r="M642" s="27">
        <v>1527</v>
      </c>
      <c r="N642" s="28"/>
      <c r="O642" s="26" t="s">
        <v>29</v>
      </c>
      <c r="P642" s="29"/>
      <c r="Q642" s="6"/>
      <c r="R642" s="29"/>
      <c r="S642" s="10"/>
      <c r="T642" s="8"/>
    </row>
    <row r="643" spans="1:20" ht="15.75" customHeight="1" x14ac:dyDescent="0.35">
      <c r="A643" s="25" t="s">
        <v>754</v>
      </c>
      <c r="B643" s="25" t="s">
        <v>876</v>
      </c>
      <c r="C643" s="26">
        <v>110818</v>
      </c>
      <c r="D643" s="25" t="s">
        <v>917</v>
      </c>
      <c r="E643" s="25" t="s">
        <v>900</v>
      </c>
      <c r="F643" s="26" t="s">
        <v>90</v>
      </c>
      <c r="G643" s="26" t="s">
        <v>90</v>
      </c>
      <c r="H643" s="26"/>
      <c r="I643" s="26"/>
      <c r="J643" s="26">
        <v>1</v>
      </c>
      <c r="K643" s="26">
        <v>138</v>
      </c>
      <c r="L643" s="26" t="s">
        <v>28</v>
      </c>
      <c r="M643" s="27">
        <v>1542</v>
      </c>
      <c r="N643" s="28"/>
      <c r="O643" s="26" t="s">
        <v>29</v>
      </c>
      <c r="P643" s="29"/>
      <c r="Q643" s="6"/>
      <c r="R643" s="29"/>
      <c r="S643" s="10"/>
      <c r="T643" s="8"/>
    </row>
    <row r="644" spans="1:20" ht="15.75" customHeight="1" x14ac:dyDescent="0.35">
      <c r="A644" s="25" t="s">
        <v>754</v>
      </c>
      <c r="B644" s="25" t="s">
        <v>876</v>
      </c>
      <c r="C644" s="26">
        <v>110819</v>
      </c>
      <c r="D644" s="25" t="s">
        <v>918</v>
      </c>
      <c r="E644" s="25" t="s">
        <v>900</v>
      </c>
      <c r="F644" s="26" t="s">
        <v>90</v>
      </c>
      <c r="G644" s="26" t="s">
        <v>90</v>
      </c>
      <c r="H644" s="26"/>
      <c r="I644" s="26"/>
      <c r="J644" s="26">
        <v>1</v>
      </c>
      <c r="K644" s="26">
        <v>138</v>
      </c>
      <c r="L644" s="26" t="s">
        <v>28</v>
      </c>
      <c r="M644" s="27">
        <v>1543</v>
      </c>
      <c r="N644" s="28"/>
      <c r="O644" s="26" t="s">
        <v>29</v>
      </c>
      <c r="P644" s="29"/>
      <c r="Q644" s="6"/>
      <c r="R644" s="29"/>
      <c r="S644" s="10"/>
      <c r="T644" s="8"/>
    </row>
    <row r="645" spans="1:20" ht="15.75" customHeight="1" x14ac:dyDescent="0.35">
      <c r="A645" s="25" t="s">
        <v>754</v>
      </c>
      <c r="B645" s="25" t="s">
        <v>876</v>
      </c>
      <c r="C645" s="26">
        <v>110822</v>
      </c>
      <c r="D645" s="25" t="s">
        <v>919</v>
      </c>
      <c r="E645" s="25" t="s">
        <v>900</v>
      </c>
      <c r="F645" s="26" t="s">
        <v>90</v>
      </c>
      <c r="G645" s="26" t="s">
        <v>90</v>
      </c>
      <c r="H645" s="26"/>
      <c r="I645" s="26"/>
      <c r="J645" s="26">
        <v>1</v>
      </c>
      <c r="K645" s="26">
        <v>138</v>
      </c>
      <c r="L645" s="26" t="s">
        <v>28</v>
      </c>
      <c r="M645" s="27">
        <v>1556</v>
      </c>
      <c r="N645" s="28"/>
      <c r="O645" s="26" t="s">
        <v>29</v>
      </c>
      <c r="P645" s="29"/>
      <c r="Q645" s="6"/>
      <c r="R645" s="29"/>
      <c r="S645" s="10"/>
      <c r="T645" s="8"/>
    </row>
    <row r="646" spans="1:20" ht="15.75" customHeight="1" x14ac:dyDescent="0.35">
      <c r="A646" s="25" t="s">
        <v>754</v>
      </c>
      <c r="B646" s="25" t="s">
        <v>876</v>
      </c>
      <c r="C646" s="26">
        <v>110823</v>
      </c>
      <c r="D646" s="25" t="s">
        <v>920</v>
      </c>
      <c r="E646" s="25" t="s">
        <v>900</v>
      </c>
      <c r="F646" s="26" t="s">
        <v>90</v>
      </c>
      <c r="G646" s="26" t="s">
        <v>90</v>
      </c>
      <c r="H646" s="26"/>
      <c r="I646" s="26"/>
      <c r="J646" s="26">
        <v>1</v>
      </c>
      <c r="K646" s="26">
        <v>138</v>
      </c>
      <c r="L646" s="26" t="s">
        <v>28</v>
      </c>
      <c r="M646" s="27">
        <v>1559</v>
      </c>
      <c r="N646" s="28"/>
      <c r="O646" s="26" t="s">
        <v>29</v>
      </c>
      <c r="P646" s="29"/>
      <c r="Q646" s="6"/>
      <c r="R646" s="29"/>
      <c r="S646" s="10"/>
      <c r="T646" s="8"/>
    </row>
    <row r="647" spans="1:20" ht="15.75" customHeight="1" x14ac:dyDescent="0.35">
      <c r="A647" s="25" t="s">
        <v>754</v>
      </c>
      <c r="B647" s="25" t="s">
        <v>876</v>
      </c>
      <c r="C647" s="26">
        <v>110824</v>
      </c>
      <c r="D647" s="25" t="s">
        <v>921</v>
      </c>
      <c r="E647" s="25" t="s">
        <v>922</v>
      </c>
      <c r="F647" s="26" t="s">
        <v>90</v>
      </c>
      <c r="G647" s="26" t="s">
        <v>90</v>
      </c>
      <c r="H647" s="26"/>
      <c r="I647" s="26"/>
      <c r="J647" s="26">
        <v>1</v>
      </c>
      <c r="K647" s="26">
        <v>138</v>
      </c>
      <c r="L647" s="26" t="s">
        <v>28</v>
      </c>
      <c r="M647" s="27">
        <v>1473</v>
      </c>
      <c r="N647" s="28"/>
      <c r="O647" s="26" t="s">
        <v>29</v>
      </c>
      <c r="P647" s="29"/>
      <c r="Q647" s="6"/>
      <c r="R647" s="29"/>
      <c r="S647" s="10"/>
      <c r="T647" s="8"/>
    </row>
    <row r="648" spans="1:20" ht="15.75" customHeight="1" x14ac:dyDescent="0.35">
      <c r="A648" s="25" t="s">
        <v>754</v>
      </c>
      <c r="B648" s="25" t="s">
        <v>876</v>
      </c>
      <c r="C648" s="26">
        <v>110830</v>
      </c>
      <c r="D648" s="25" t="s">
        <v>923</v>
      </c>
      <c r="E648" s="25" t="s">
        <v>922</v>
      </c>
      <c r="F648" s="26" t="s">
        <v>90</v>
      </c>
      <c r="G648" s="26" t="s">
        <v>90</v>
      </c>
      <c r="H648" s="26"/>
      <c r="I648" s="26"/>
      <c r="J648" s="26">
        <v>1</v>
      </c>
      <c r="K648" s="26">
        <v>138</v>
      </c>
      <c r="L648" s="26" t="s">
        <v>28</v>
      </c>
      <c r="M648" s="27">
        <v>1492</v>
      </c>
      <c r="N648" s="28"/>
      <c r="O648" s="26" t="s">
        <v>29</v>
      </c>
      <c r="P648" s="29"/>
      <c r="Q648" s="6"/>
      <c r="R648" s="29"/>
      <c r="S648" s="10"/>
      <c r="T648" s="8"/>
    </row>
    <row r="649" spans="1:20" ht="15.75" customHeight="1" x14ac:dyDescent="0.35">
      <c r="A649" s="25" t="s">
        <v>754</v>
      </c>
      <c r="B649" s="25" t="s">
        <v>876</v>
      </c>
      <c r="C649" s="26">
        <v>110831</v>
      </c>
      <c r="D649" s="25" t="s">
        <v>924</v>
      </c>
      <c r="E649" s="25" t="s">
        <v>922</v>
      </c>
      <c r="F649" s="26" t="s">
        <v>90</v>
      </c>
      <c r="G649" s="26" t="s">
        <v>90</v>
      </c>
      <c r="H649" s="26"/>
      <c r="I649" s="26"/>
      <c r="J649" s="26">
        <v>1</v>
      </c>
      <c r="K649" s="26">
        <v>138</v>
      </c>
      <c r="L649" s="26" t="s">
        <v>28</v>
      </c>
      <c r="M649" s="27">
        <v>1496</v>
      </c>
      <c r="N649" s="28"/>
      <c r="O649" s="26" t="s">
        <v>29</v>
      </c>
      <c r="P649" s="29"/>
      <c r="Q649" s="6"/>
      <c r="R649" s="29"/>
      <c r="S649" s="10"/>
      <c r="T649" s="8"/>
    </row>
    <row r="650" spans="1:20" ht="15.75" customHeight="1" x14ac:dyDescent="0.35">
      <c r="A650" s="25" t="s">
        <v>754</v>
      </c>
      <c r="B650" s="25" t="s">
        <v>876</v>
      </c>
      <c r="C650" s="26">
        <v>110834</v>
      </c>
      <c r="D650" s="25" t="s">
        <v>925</v>
      </c>
      <c r="E650" s="25" t="s">
        <v>922</v>
      </c>
      <c r="F650" s="26" t="s">
        <v>90</v>
      </c>
      <c r="G650" s="26" t="s">
        <v>90</v>
      </c>
      <c r="H650" s="26"/>
      <c r="I650" s="26"/>
      <c r="J650" s="26">
        <v>1</v>
      </c>
      <c r="K650" s="26">
        <v>138</v>
      </c>
      <c r="L650" s="26" t="s">
        <v>28</v>
      </c>
      <c r="M650" s="27">
        <v>1500</v>
      </c>
      <c r="N650" s="28"/>
      <c r="O650" s="26" t="s">
        <v>29</v>
      </c>
      <c r="P650" s="29"/>
      <c r="Q650" s="6"/>
      <c r="R650" s="29"/>
      <c r="S650" s="10"/>
      <c r="T650" s="8"/>
    </row>
    <row r="651" spans="1:20" ht="15.75" customHeight="1" x14ac:dyDescent="0.35">
      <c r="A651" s="25" t="s">
        <v>754</v>
      </c>
      <c r="B651" s="25" t="s">
        <v>876</v>
      </c>
      <c r="C651" s="26">
        <v>110839</v>
      </c>
      <c r="D651" s="25" t="s">
        <v>926</v>
      </c>
      <c r="E651" s="25" t="s">
        <v>922</v>
      </c>
      <c r="F651" s="26" t="s">
        <v>90</v>
      </c>
      <c r="G651" s="26" t="s">
        <v>90</v>
      </c>
      <c r="H651" s="26"/>
      <c r="I651" s="26"/>
      <c r="J651" s="26">
        <v>1</v>
      </c>
      <c r="K651" s="26">
        <v>138</v>
      </c>
      <c r="L651" s="26" t="s">
        <v>28</v>
      </c>
      <c r="M651" s="27">
        <v>1521</v>
      </c>
      <c r="N651" s="28"/>
      <c r="O651" s="26" t="s">
        <v>29</v>
      </c>
      <c r="P651" s="29"/>
      <c r="Q651" s="6"/>
      <c r="R651" s="29"/>
      <c r="S651" s="10"/>
      <c r="T651" s="8"/>
    </row>
    <row r="652" spans="1:20" ht="15.75" customHeight="1" x14ac:dyDescent="0.35">
      <c r="A652" s="25" t="s">
        <v>754</v>
      </c>
      <c r="B652" s="25" t="s">
        <v>876</v>
      </c>
      <c r="C652" s="26">
        <v>110843</v>
      </c>
      <c r="D652" s="25" t="s">
        <v>927</v>
      </c>
      <c r="E652" s="25" t="s">
        <v>922</v>
      </c>
      <c r="F652" s="26" t="s">
        <v>90</v>
      </c>
      <c r="G652" s="26" t="s">
        <v>90</v>
      </c>
      <c r="H652" s="26"/>
      <c r="I652" s="26"/>
      <c r="J652" s="26">
        <v>1</v>
      </c>
      <c r="K652" s="26">
        <v>138</v>
      </c>
      <c r="L652" s="26" t="s">
        <v>28</v>
      </c>
      <c r="M652" s="27">
        <v>1529</v>
      </c>
      <c r="N652" s="28"/>
      <c r="O652" s="26" t="s">
        <v>29</v>
      </c>
      <c r="P652" s="29"/>
      <c r="Q652" s="6"/>
      <c r="R652" s="29"/>
      <c r="S652" s="10"/>
      <c r="T652" s="8"/>
    </row>
    <row r="653" spans="1:20" ht="15.75" customHeight="1" x14ac:dyDescent="0.35">
      <c r="A653" s="25" t="s">
        <v>754</v>
      </c>
      <c r="B653" s="25" t="s">
        <v>876</v>
      </c>
      <c r="C653" s="26">
        <v>110847</v>
      </c>
      <c r="D653" s="25" t="s">
        <v>928</v>
      </c>
      <c r="E653" s="25" t="s">
        <v>922</v>
      </c>
      <c r="F653" s="26" t="s">
        <v>90</v>
      </c>
      <c r="G653" s="26" t="s">
        <v>90</v>
      </c>
      <c r="H653" s="26"/>
      <c r="I653" s="26"/>
      <c r="J653" s="26">
        <v>1</v>
      </c>
      <c r="K653" s="26">
        <v>138</v>
      </c>
      <c r="L653" s="26" t="s">
        <v>28</v>
      </c>
      <c r="M653" s="27">
        <v>1537</v>
      </c>
      <c r="N653" s="28"/>
      <c r="O653" s="26" t="s">
        <v>29</v>
      </c>
      <c r="P653" s="29"/>
      <c r="Q653" s="6"/>
      <c r="R653" s="29"/>
      <c r="S653" s="10"/>
      <c r="T653" s="8"/>
    </row>
    <row r="654" spans="1:20" ht="15.75" customHeight="1" x14ac:dyDescent="0.35">
      <c r="A654" s="25" t="s">
        <v>754</v>
      </c>
      <c r="B654" s="25" t="s">
        <v>876</v>
      </c>
      <c r="C654" s="26">
        <v>110849</v>
      </c>
      <c r="D654" s="25" t="s">
        <v>929</v>
      </c>
      <c r="E654" s="25" t="s">
        <v>922</v>
      </c>
      <c r="F654" s="26" t="s">
        <v>90</v>
      </c>
      <c r="G654" s="26" t="s">
        <v>90</v>
      </c>
      <c r="H654" s="26"/>
      <c r="I654" s="26"/>
      <c r="J654" s="26">
        <v>1</v>
      </c>
      <c r="K654" s="26">
        <v>138</v>
      </c>
      <c r="L654" s="26" t="s">
        <v>28</v>
      </c>
      <c r="M654" s="27">
        <v>1538</v>
      </c>
      <c r="N654" s="28"/>
      <c r="O654" s="26" t="s">
        <v>29</v>
      </c>
      <c r="P654" s="29"/>
      <c r="Q654" s="6"/>
      <c r="R654" s="29"/>
      <c r="S654" s="10"/>
      <c r="T654" s="8"/>
    </row>
    <row r="655" spans="1:20" ht="15.75" customHeight="1" x14ac:dyDescent="0.35">
      <c r="A655" s="25" t="s">
        <v>754</v>
      </c>
      <c r="B655" s="25" t="s">
        <v>876</v>
      </c>
      <c r="C655" s="26">
        <v>110850</v>
      </c>
      <c r="D655" s="25" t="s">
        <v>930</v>
      </c>
      <c r="E655" s="25" t="s">
        <v>922</v>
      </c>
      <c r="F655" s="26" t="s">
        <v>90</v>
      </c>
      <c r="G655" s="26" t="s">
        <v>90</v>
      </c>
      <c r="H655" s="26"/>
      <c r="I655" s="26"/>
      <c r="J655" s="26">
        <v>1</v>
      </c>
      <c r="K655" s="26">
        <v>138</v>
      </c>
      <c r="L655" s="26" t="s">
        <v>28</v>
      </c>
      <c r="M655" s="27">
        <v>1540</v>
      </c>
      <c r="N655" s="28"/>
      <c r="O655" s="26" t="s">
        <v>29</v>
      </c>
      <c r="P655" s="29"/>
      <c r="Q655" s="6"/>
      <c r="R655" s="29"/>
      <c r="S655" s="10"/>
      <c r="T655" s="8"/>
    </row>
    <row r="656" spans="1:20" ht="15.75" customHeight="1" x14ac:dyDescent="0.35">
      <c r="A656" s="25" t="s">
        <v>754</v>
      </c>
      <c r="B656" s="25" t="s">
        <v>876</v>
      </c>
      <c r="C656" s="26">
        <v>110852</v>
      </c>
      <c r="D656" s="25" t="s">
        <v>931</v>
      </c>
      <c r="E656" s="25" t="s">
        <v>922</v>
      </c>
      <c r="F656" s="26" t="s">
        <v>90</v>
      </c>
      <c r="G656" s="26" t="s">
        <v>90</v>
      </c>
      <c r="H656" s="26"/>
      <c r="I656" s="26"/>
      <c r="J656" s="26">
        <v>1</v>
      </c>
      <c r="K656" s="26">
        <v>138</v>
      </c>
      <c r="L656" s="26" t="s">
        <v>28</v>
      </c>
      <c r="M656" s="27">
        <v>1541</v>
      </c>
      <c r="N656" s="28"/>
      <c r="O656" s="26" t="s">
        <v>29</v>
      </c>
      <c r="P656" s="29"/>
      <c r="Q656" s="6"/>
      <c r="R656" s="29"/>
      <c r="S656" s="10"/>
      <c r="T656" s="8"/>
    </row>
    <row r="657" spans="1:20" ht="15.75" customHeight="1" x14ac:dyDescent="0.35">
      <c r="A657" s="25" t="s">
        <v>754</v>
      </c>
      <c r="B657" s="25" t="s">
        <v>876</v>
      </c>
      <c r="C657" s="26">
        <v>110853</v>
      </c>
      <c r="D657" s="25" t="s">
        <v>932</v>
      </c>
      <c r="E657" s="25" t="s">
        <v>922</v>
      </c>
      <c r="F657" s="26" t="s">
        <v>90</v>
      </c>
      <c r="G657" s="26" t="s">
        <v>90</v>
      </c>
      <c r="H657" s="26"/>
      <c r="I657" s="26"/>
      <c r="J657" s="26">
        <v>1</v>
      </c>
      <c r="K657" s="26">
        <v>138</v>
      </c>
      <c r="L657" s="26" t="s">
        <v>28</v>
      </c>
      <c r="M657" s="27">
        <v>1546</v>
      </c>
      <c r="N657" s="28"/>
      <c r="O657" s="26" t="s">
        <v>29</v>
      </c>
      <c r="P657" s="29"/>
      <c r="Q657" s="6"/>
      <c r="R657" s="29"/>
      <c r="S657" s="10"/>
      <c r="T657" s="8"/>
    </row>
    <row r="658" spans="1:20" ht="15.75" customHeight="1" x14ac:dyDescent="0.35">
      <c r="A658" s="25" t="s">
        <v>754</v>
      </c>
      <c r="B658" s="25" t="s">
        <v>876</v>
      </c>
      <c r="C658" s="26">
        <v>110855</v>
      </c>
      <c r="D658" s="25" t="s">
        <v>933</v>
      </c>
      <c r="E658" s="25" t="s">
        <v>922</v>
      </c>
      <c r="F658" s="26" t="s">
        <v>90</v>
      </c>
      <c r="G658" s="26" t="s">
        <v>90</v>
      </c>
      <c r="H658" s="26"/>
      <c r="I658" s="26"/>
      <c r="J658" s="26">
        <v>1</v>
      </c>
      <c r="K658" s="26">
        <v>138</v>
      </c>
      <c r="L658" s="26" t="s">
        <v>28</v>
      </c>
      <c r="M658" s="27">
        <v>1551</v>
      </c>
      <c r="N658" s="28"/>
      <c r="O658" s="26" t="s">
        <v>29</v>
      </c>
      <c r="P658" s="29"/>
      <c r="Q658" s="6"/>
      <c r="R658" s="29"/>
      <c r="S658" s="10"/>
      <c r="T658" s="8"/>
    </row>
    <row r="659" spans="1:20" ht="15.75" customHeight="1" x14ac:dyDescent="0.35">
      <c r="A659" s="25" t="s">
        <v>754</v>
      </c>
      <c r="B659" s="25" t="s">
        <v>876</v>
      </c>
      <c r="C659" s="26">
        <v>110858</v>
      </c>
      <c r="D659" s="25" t="s">
        <v>934</v>
      </c>
      <c r="E659" s="25" t="s">
        <v>922</v>
      </c>
      <c r="F659" s="26" t="s">
        <v>90</v>
      </c>
      <c r="G659" s="26" t="s">
        <v>90</v>
      </c>
      <c r="H659" s="26"/>
      <c r="I659" s="26"/>
      <c r="J659" s="26">
        <v>1</v>
      </c>
      <c r="K659" s="26">
        <v>138</v>
      </c>
      <c r="L659" s="26" t="s">
        <v>28</v>
      </c>
      <c r="M659" s="27">
        <v>1553</v>
      </c>
      <c r="N659" s="28"/>
      <c r="O659" s="26" t="s">
        <v>29</v>
      </c>
      <c r="P659" s="29"/>
      <c r="Q659" s="6"/>
      <c r="R659" s="29"/>
      <c r="S659" s="10"/>
      <c r="T659" s="8"/>
    </row>
    <row r="660" spans="1:20" ht="15.75" customHeight="1" x14ac:dyDescent="0.35">
      <c r="A660" s="25" t="s">
        <v>754</v>
      </c>
      <c r="B660" s="25" t="s">
        <v>876</v>
      </c>
      <c r="C660" s="26">
        <v>110865</v>
      </c>
      <c r="D660" s="25" t="s">
        <v>935</v>
      </c>
      <c r="E660" s="25" t="s">
        <v>936</v>
      </c>
      <c r="F660" s="26" t="s">
        <v>90</v>
      </c>
      <c r="G660" s="26" t="s">
        <v>90</v>
      </c>
      <c r="H660" s="26"/>
      <c r="I660" s="26"/>
      <c r="J660" s="26">
        <v>1</v>
      </c>
      <c r="K660" s="26">
        <v>138</v>
      </c>
      <c r="L660" s="26" t="s">
        <v>28</v>
      </c>
      <c r="M660" s="27">
        <v>1474</v>
      </c>
      <c r="N660" s="28"/>
      <c r="O660" s="26" t="s">
        <v>29</v>
      </c>
      <c r="P660" s="29"/>
      <c r="Q660" s="6"/>
      <c r="R660" s="29"/>
      <c r="S660" s="10"/>
      <c r="T660" s="8"/>
    </row>
    <row r="661" spans="1:20" ht="15.75" customHeight="1" x14ac:dyDescent="0.35">
      <c r="A661" s="25" t="s">
        <v>754</v>
      </c>
      <c r="B661" s="25" t="s">
        <v>876</v>
      </c>
      <c r="C661" s="26">
        <v>110871</v>
      </c>
      <c r="D661" s="25" t="s">
        <v>937</v>
      </c>
      <c r="E661" s="25" t="s">
        <v>936</v>
      </c>
      <c r="F661" s="26" t="s">
        <v>90</v>
      </c>
      <c r="G661" s="26" t="s">
        <v>90</v>
      </c>
      <c r="H661" s="26"/>
      <c r="I661" s="26"/>
      <c r="J661" s="26">
        <v>1</v>
      </c>
      <c r="K661" s="26">
        <v>138</v>
      </c>
      <c r="L661" s="26" t="s">
        <v>28</v>
      </c>
      <c r="M661" s="27">
        <v>1481</v>
      </c>
      <c r="N661" s="28"/>
      <c r="O661" s="26" t="s">
        <v>29</v>
      </c>
      <c r="P661" s="29"/>
      <c r="Q661" s="6"/>
      <c r="R661" s="29"/>
      <c r="S661" s="10"/>
      <c r="T661" s="8"/>
    </row>
    <row r="662" spans="1:20" ht="15.75" customHeight="1" x14ac:dyDescent="0.35">
      <c r="A662" s="25" t="s">
        <v>754</v>
      </c>
      <c r="B662" s="25" t="s">
        <v>876</v>
      </c>
      <c r="C662" s="26">
        <v>110884</v>
      </c>
      <c r="D662" s="25" t="s">
        <v>938</v>
      </c>
      <c r="E662" s="25" t="s">
        <v>936</v>
      </c>
      <c r="F662" s="26" t="s">
        <v>90</v>
      </c>
      <c r="G662" s="26" t="s">
        <v>90</v>
      </c>
      <c r="H662" s="26">
        <v>1</v>
      </c>
      <c r="I662" s="26">
        <v>1</v>
      </c>
      <c r="J662" s="26">
        <v>1</v>
      </c>
      <c r="K662" s="26">
        <v>138</v>
      </c>
      <c r="L662" s="26" t="s">
        <v>28</v>
      </c>
      <c r="M662" s="27">
        <v>1516</v>
      </c>
      <c r="N662" s="28">
        <v>168715.21</v>
      </c>
      <c r="O662" s="26" t="s">
        <v>29</v>
      </c>
      <c r="P662" s="29"/>
      <c r="Q662" s="6"/>
      <c r="R662" s="29"/>
      <c r="S662" s="10"/>
      <c r="T662" s="8">
        <v>1</v>
      </c>
    </row>
    <row r="663" spans="1:20" ht="15.75" customHeight="1" x14ac:dyDescent="0.35">
      <c r="A663" s="25" t="s">
        <v>754</v>
      </c>
      <c r="B663" s="25" t="s">
        <v>876</v>
      </c>
      <c r="C663" s="26">
        <v>110885</v>
      </c>
      <c r="D663" s="25" t="s">
        <v>939</v>
      </c>
      <c r="E663" s="25" t="s">
        <v>936</v>
      </c>
      <c r="F663" s="26" t="s">
        <v>90</v>
      </c>
      <c r="G663" s="26" t="s">
        <v>90</v>
      </c>
      <c r="H663" s="26"/>
      <c r="I663" s="26"/>
      <c r="J663" s="26">
        <v>1</v>
      </c>
      <c r="K663" s="26">
        <v>138</v>
      </c>
      <c r="L663" s="26" t="s">
        <v>28</v>
      </c>
      <c r="M663" s="27">
        <v>1522</v>
      </c>
      <c r="N663" s="28"/>
      <c r="O663" s="26" t="s">
        <v>29</v>
      </c>
      <c r="P663" s="29"/>
      <c r="Q663" s="6"/>
      <c r="R663" s="29"/>
      <c r="S663" s="10"/>
      <c r="T663" s="8"/>
    </row>
    <row r="664" spans="1:20" ht="15.75" customHeight="1" x14ac:dyDescent="0.35">
      <c r="A664" s="25" t="s">
        <v>754</v>
      </c>
      <c r="B664" s="25" t="s">
        <v>876</v>
      </c>
      <c r="C664" s="26">
        <v>110889</v>
      </c>
      <c r="D664" s="25" t="s">
        <v>940</v>
      </c>
      <c r="E664" s="25" t="s">
        <v>936</v>
      </c>
      <c r="F664" s="26" t="s">
        <v>90</v>
      </c>
      <c r="G664" s="26" t="s">
        <v>90</v>
      </c>
      <c r="H664" s="26"/>
      <c r="I664" s="26"/>
      <c r="J664" s="26">
        <v>1</v>
      </c>
      <c r="K664" s="26">
        <v>138</v>
      </c>
      <c r="L664" s="26" t="s">
        <v>28</v>
      </c>
      <c r="M664" s="27">
        <v>1535</v>
      </c>
      <c r="N664" s="28"/>
      <c r="O664" s="26" t="s">
        <v>29</v>
      </c>
      <c r="P664" s="29"/>
      <c r="Q664" s="6"/>
      <c r="R664" s="29"/>
      <c r="S664" s="10"/>
      <c r="T664" s="8"/>
    </row>
    <row r="665" spans="1:20" ht="15.75" customHeight="1" x14ac:dyDescent="0.35">
      <c r="A665" s="25" t="s">
        <v>754</v>
      </c>
      <c r="B665" s="25" t="s">
        <v>876</v>
      </c>
      <c r="C665" s="26">
        <v>110892</v>
      </c>
      <c r="D665" s="25" t="s">
        <v>941</v>
      </c>
      <c r="E665" s="25" t="s">
        <v>936</v>
      </c>
      <c r="F665" s="26" t="s">
        <v>90</v>
      </c>
      <c r="G665" s="26" t="s">
        <v>90</v>
      </c>
      <c r="H665" s="26">
        <v>1</v>
      </c>
      <c r="I665" s="26">
        <v>1</v>
      </c>
      <c r="J665" s="26">
        <v>1</v>
      </c>
      <c r="K665" s="26">
        <v>138</v>
      </c>
      <c r="L665" s="26" t="s">
        <v>28</v>
      </c>
      <c r="M665" s="27">
        <v>1539</v>
      </c>
      <c r="N665" s="28">
        <v>196968.33</v>
      </c>
      <c r="O665" s="26" t="s">
        <v>29</v>
      </c>
      <c r="P665" s="29"/>
      <c r="Q665" s="6"/>
      <c r="R665" s="29"/>
      <c r="S665" s="10"/>
      <c r="T665" s="8">
        <v>1</v>
      </c>
    </row>
    <row r="666" spans="1:20" ht="15.75" customHeight="1" x14ac:dyDescent="0.35">
      <c r="A666" s="25" t="s">
        <v>754</v>
      </c>
      <c r="B666" s="25" t="s">
        <v>876</v>
      </c>
      <c r="C666" s="26">
        <v>110900</v>
      </c>
      <c r="D666" s="25" t="s">
        <v>942</v>
      </c>
      <c r="E666" s="25" t="s">
        <v>943</v>
      </c>
      <c r="F666" s="26" t="s">
        <v>90</v>
      </c>
      <c r="G666" s="26" t="s">
        <v>90</v>
      </c>
      <c r="H666" s="26"/>
      <c r="I666" s="26"/>
      <c r="J666" s="26">
        <v>1</v>
      </c>
      <c r="K666" s="26">
        <v>138</v>
      </c>
      <c r="L666" s="26" t="s">
        <v>28</v>
      </c>
      <c r="M666" s="27">
        <v>1494</v>
      </c>
      <c r="N666" s="28"/>
      <c r="O666" s="26" t="s">
        <v>29</v>
      </c>
      <c r="P666" s="29"/>
      <c r="Q666" s="6"/>
      <c r="R666" s="29"/>
      <c r="S666" s="10"/>
      <c r="T666" s="8"/>
    </row>
    <row r="667" spans="1:20" ht="15.75" customHeight="1" x14ac:dyDescent="0.35">
      <c r="A667" s="25" t="s">
        <v>754</v>
      </c>
      <c r="B667" s="25" t="s">
        <v>876</v>
      </c>
      <c r="C667" s="26">
        <v>110902</v>
      </c>
      <c r="D667" s="25" t="s">
        <v>944</v>
      </c>
      <c r="E667" s="25" t="s">
        <v>943</v>
      </c>
      <c r="F667" s="26" t="s">
        <v>90</v>
      </c>
      <c r="G667" s="26" t="s">
        <v>90</v>
      </c>
      <c r="H667" s="26"/>
      <c r="I667" s="26"/>
      <c r="J667" s="26">
        <v>1</v>
      </c>
      <c r="K667" s="26">
        <v>138</v>
      </c>
      <c r="L667" s="26" t="s">
        <v>28</v>
      </c>
      <c r="M667" s="27">
        <v>1498</v>
      </c>
      <c r="N667" s="28"/>
      <c r="O667" s="26" t="s">
        <v>29</v>
      </c>
      <c r="P667" s="29"/>
      <c r="Q667" s="6"/>
      <c r="R667" s="29"/>
      <c r="S667" s="10"/>
      <c r="T667" s="8"/>
    </row>
    <row r="668" spans="1:20" ht="15.75" customHeight="1" x14ac:dyDescent="0.35">
      <c r="A668" s="25" t="s">
        <v>754</v>
      </c>
      <c r="B668" s="25" t="s">
        <v>876</v>
      </c>
      <c r="C668" s="26">
        <v>110906</v>
      </c>
      <c r="D668" s="25" t="s">
        <v>945</v>
      </c>
      <c r="E668" s="25" t="s">
        <v>943</v>
      </c>
      <c r="F668" s="26" t="s">
        <v>90</v>
      </c>
      <c r="G668" s="26" t="s">
        <v>90</v>
      </c>
      <c r="H668" s="26"/>
      <c r="I668" s="26"/>
      <c r="J668" s="26">
        <v>1</v>
      </c>
      <c r="K668" s="26">
        <v>138</v>
      </c>
      <c r="L668" s="26" t="s">
        <v>28</v>
      </c>
      <c r="M668" s="27">
        <v>1505</v>
      </c>
      <c r="N668" s="28"/>
      <c r="O668" s="26" t="s">
        <v>29</v>
      </c>
      <c r="P668" s="29"/>
      <c r="Q668" s="6"/>
      <c r="R668" s="29"/>
      <c r="S668" s="10"/>
      <c r="T668" s="8"/>
    </row>
    <row r="669" spans="1:20" ht="15.75" customHeight="1" x14ac:dyDescent="0.35">
      <c r="A669" s="25" t="s">
        <v>754</v>
      </c>
      <c r="B669" s="25" t="s">
        <v>876</v>
      </c>
      <c r="C669" s="26">
        <v>110908</v>
      </c>
      <c r="D669" s="25" t="s">
        <v>946</v>
      </c>
      <c r="E669" s="25" t="s">
        <v>943</v>
      </c>
      <c r="F669" s="26" t="s">
        <v>90</v>
      </c>
      <c r="G669" s="26" t="s">
        <v>90</v>
      </c>
      <c r="H669" s="26"/>
      <c r="I669" s="26"/>
      <c r="J669" s="26">
        <v>1</v>
      </c>
      <c r="K669" s="26">
        <v>138</v>
      </c>
      <c r="L669" s="26" t="s">
        <v>28</v>
      </c>
      <c r="M669" s="27">
        <v>1508</v>
      </c>
      <c r="N669" s="28"/>
      <c r="O669" s="26" t="s">
        <v>29</v>
      </c>
      <c r="P669" s="29"/>
      <c r="Q669" s="6"/>
      <c r="R669" s="29"/>
      <c r="S669" s="10"/>
      <c r="T669" s="8"/>
    </row>
    <row r="670" spans="1:20" ht="15.75" customHeight="1" x14ac:dyDescent="0.35">
      <c r="A670" s="25" t="s">
        <v>754</v>
      </c>
      <c r="B670" s="25" t="s">
        <v>876</v>
      </c>
      <c r="C670" s="26">
        <v>110909</v>
      </c>
      <c r="D670" s="25" t="s">
        <v>947</v>
      </c>
      <c r="E670" s="25" t="s">
        <v>943</v>
      </c>
      <c r="F670" s="26" t="s">
        <v>90</v>
      </c>
      <c r="G670" s="26" t="s">
        <v>90</v>
      </c>
      <c r="H670" s="26"/>
      <c r="I670" s="26"/>
      <c r="J670" s="26">
        <v>1</v>
      </c>
      <c r="K670" s="26">
        <v>138</v>
      </c>
      <c r="L670" s="26" t="s">
        <v>28</v>
      </c>
      <c r="M670" s="27">
        <v>1520</v>
      </c>
      <c r="N670" s="28"/>
      <c r="O670" s="26" t="s">
        <v>29</v>
      </c>
      <c r="P670" s="29"/>
      <c r="Q670" s="6"/>
      <c r="R670" s="29"/>
      <c r="S670" s="10"/>
      <c r="T670" s="8"/>
    </row>
    <row r="671" spans="1:20" ht="15.75" customHeight="1" x14ac:dyDescent="0.35">
      <c r="A671" s="25" t="s">
        <v>754</v>
      </c>
      <c r="B671" s="25" t="s">
        <v>876</v>
      </c>
      <c r="C671" s="26">
        <v>110910</v>
      </c>
      <c r="D671" s="25" t="s">
        <v>948</v>
      </c>
      <c r="E671" s="25" t="s">
        <v>943</v>
      </c>
      <c r="F671" s="26" t="s">
        <v>90</v>
      </c>
      <c r="G671" s="26" t="s">
        <v>90</v>
      </c>
      <c r="H671" s="26"/>
      <c r="I671" s="26"/>
      <c r="J671" s="26">
        <v>1</v>
      </c>
      <c r="K671" s="26">
        <v>138</v>
      </c>
      <c r="L671" s="26" t="s">
        <v>28</v>
      </c>
      <c r="M671" s="27">
        <v>1523</v>
      </c>
      <c r="N671" s="28"/>
      <c r="O671" s="26" t="s">
        <v>29</v>
      </c>
      <c r="P671" s="29"/>
      <c r="Q671" s="6"/>
      <c r="R671" s="29"/>
      <c r="S671" s="10"/>
      <c r="T671" s="8"/>
    </row>
    <row r="672" spans="1:20" ht="15.75" customHeight="1" x14ac:dyDescent="0.35">
      <c r="A672" s="25" t="s">
        <v>754</v>
      </c>
      <c r="B672" s="25" t="s">
        <v>876</v>
      </c>
      <c r="C672" s="26">
        <v>110913</v>
      </c>
      <c r="D672" s="25" t="s">
        <v>949</v>
      </c>
      <c r="E672" s="25" t="s">
        <v>943</v>
      </c>
      <c r="F672" s="26" t="s">
        <v>90</v>
      </c>
      <c r="G672" s="26" t="s">
        <v>90</v>
      </c>
      <c r="H672" s="26"/>
      <c r="I672" s="26"/>
      <c r="J672" s="26">
        <v>1</v>
      </c>
      <c r="K672" s="26">
        <v>138</v>
      </c>
      <c r="L672" s="26" t="s">
        <v>28</v>
      </c>
      <c r="M672" s="27">
        <v>1528</v>
      </c>
      <c r="N672" s="28"/>
      <c r="O672" s="26" t="s">
        <v>29</v>
      </c>
      <c r="P672" s="29"/>
      <c r="Q672" s="6"/>
      <c r="R672" s="29"/>
      <c r="S672" s="10"/>
      <c r="T672" s="8"/>
    </row>
    <row r="673" spans="1:20" ht="15.75" customHeight="1" x14ac:dyDescent="0.35">
      <c r="A673" s="25" t="s">
        <v>754</v>
      </c>
      <c r="B673" s="25" t="s">
        <v>876</v>
      </c>
      <c r="C673" s="26">
        <v>110915</v>
      </c>
      <c r="D673" s="25" t="s">
        <v>950</v>
      </c>
      <c r="E673" s="25" t="s">
        <v>943</v>
      </c>
      <c r="F673" s="26" t="s">
        <v>90</v>
      </c>
      <c r="G673" s="26" t="s">
        <v>90</v>
      </c>
      <c r="H673" s="26"/>
      <c r="I673" s="26"/>
      <c r="J673" s="26">
        <v>1</v>
      </c>
      <c r="K673" s="26">
        <v>138</v>
      </c>
      <c r="L673" s="26" t="s">
        <v>28</v>
      </c>
      <c r="M673" s="27">
        <v>1530</v>
      </c>
      <c r="N673" s="28"/>
      <c r="O673" s="26" t="s">
        <v>29</v>
      </c>
      <c r="P673" s="29"/>
      <c r="Q673" s="6"/>
      <c r="R673" s="29"/>
      <c r="S673" s="10"/>
      <c r="T673" s="8"/>
    </row>
    <row r="674" spans="1:20" ht="15.75" customHeight="1" x14ac:dyDescent="0.35">
      <c r="A674" s="25" t="s">
        <v>754</v>
      </c>
      <c r="B674" s="25" t="s">
        <v>876</v>
      </c>
      <c r="C674" s="26">
        <v>110918</v>
      </c>
      <c r="D674" s="25" t="s">
        <v>951</v>
      </c>
      <c r="E674" s="25" t="s">
        <v>943</v>
      </c>
      <c r="F674" s="26" t="s">
        <v>90</v>
      </c>
      <c r="G674" s="26" t="s">
        <v>90</v>
      </c>
      <c r="H674" s="26"/>
      <c r="I674" s="26"/>
      <c r="J674" s="26">
        <v>1</v>
      </c>
      <c r="K674" s="26">
        <v>138</v>
      </c>
      <c r="L674" s="26" t="s">
        <v>28</v>
      </c>
      <c r="M674" s="27">
        <v>1549</v>
      </c>
      <c r="N674" s="28"/>
      <c r="O674" s="26" t="s">
        <v>29</v>
      </c>
      <c r="P674" s="29"/>
      <c r="Q674" s="6"/>
      <c r="R674" s="29"/>
      <c r="S674" s="10"/>
      <c r="T674" s="8"/>
    </row>
    <row r="675" spans="1:20" ht="15.75" customHeight="1" x14ac:dyDescent="0.35">
      <c r="A675" s="25" t="s">
        <v>754</v>
      </c>
      <c r="B675" s="25" t="s">
        <v>876</v>
      </c>
      <c r="C675" s="26">
        <v>110920</v>
      </c>
      <c r="D675" s="25" t="s">
        <v>952</v>
      </c>
      <c r="E675" s="25" t="s">
        <v>953</v>
      </c>
      <c r="F675" s="26" t="s">
        <v>215</v>
      </c>
      <c r="G675" s="26" t="s">
        <v>215</v>
      </c>
      <c r="H675" s="26">
        <v>1</v>
      </c>
      <c r="I675" s="26">
        <v>4</v>
      </c>
      <c r="J675" s="26">
        <v>1</v>
      </c>
      <c r="K675" s="26">
        <v>138</v>
      </c>
      <c r="L675" s="26" t="s">
        <v>28</v>
      </c>
      <c r="M675" s="27">
        <v>1412</v>
      </c>
      <c r="N675" s="28">
        <v>415435.9</v>
      </c>
      <c r="O675" s="26" t="s">
        <v>29</v>
      </c>
      <c r="P675" s="29"/>
      <c r="Q675" s="6"/>
      <c r="R675" s="29"/>
      <c r="S675" s="10"/>
      <c r="T675" s="8">
        <v>1</v>
      </c>
    </row>
    <row r="676" spans="1:20" ht="15.75" customHeight="1" x14ac:dyDescent="0.35">
      <c r="A676" s="25" t="s">
        <v>754</v>
      </c>
      <c r="B676" s="25" t="s">
        <v>876</v>
      </c>
      <c r="C676" s="26">
        <v>110930</v>
      </c>
      <c r="D676" s="25" t="s">
        <v>954</v>
      </c>
      <c r="E676" s="25" t="s">
        <v>953</v>
      </c>
      <c r="F676" s="26" t="s">
        <v>215</v>
      </c>
      <c r="G676" s="26" t="s">
        <v>215</v>
      </c>
      <c r="H676" s="26">
        <v>1</v>
      </c>
      <c r="I676" s="26">
        <v>4</v>
      </c>
      <c r="J676" s="26">
        <v>1</v>
      </c>
      <c r="K676" s="26">
        <v>138</v>
      </c>
      <c r="L676" s="26" t="s">
        <v>28</v>
      </c>
      <c r="M676" s="27">
        <v>1423</v>
      </c>
      <c r="N676" s="28">
        <v>363584.49</v>
      </c>
      <c r="O676" s="26" t="s">
        <v>29</v>
      </c>
      <c r="P676" s="29"/>
      <c r="Q676" s="6"/>
      <c r="R676" s="29"/>
      <c r="S676" s="10"/>
      <c r="T676" s="8">
        <v>1</v>
      </c>
    </row>
    <row r="677" spans="1:20" ht="15.75" customHeight="1" x14ac:dyDescent="0.35">
      <c r="A677" s="25" t="s">
        <v>754</v>
      </c>
      <c r="B677" s="25" t="s">
        <v>876</v>
      </c>
      <c r="C677" s="26">
        <v>110933</v>
      </c>
      <c r="D677" s="25" t="s">
        <v>955</v>
      </c>
      <c r="E677" s="25" t="s">
        <v>953</v>
      </c>
      <c r="F677" s="26" t="s">
        <v>215</v>
      </c>
      <c r="G677" s="26" t="s">
        <v>215</v>
      </c>
      <c r="H677" s="26">
        <v>1</v>
      </c>
      <c r="I677" s="26">
        <v>4</v>
      </c>
      <c r="J677" s="26">
        <v>1</v>
      </c>
      <c r="K677" s="26">
        <v>138</v>
      </c>
      <c r="L677" s="26" t="s">
        <v>28</v>
      </c>
      <c r="M677" s="27">
        <v>1427</v>
      </c>
      <c r="N677" s="28">
        <v>395639.45</v>
      </c>
      <c r="O677" s="26" t="s">
        <v>29</v>
      </c>
      <c r="P677" s="29"/>
      <c r="Q677" s="6"/>
      <c r="R677" s="29"/>
      <c r="S677" s="10"/>
      <c r="T677" s="8">
        <v>1</v>
      </c>
    </row>
    <row r="678" spans="1:20" ht="15.75" customHeight="1" x14ac:dyDescent="0.35">
      <c r="A678" s="25" t="s">
        <v>754</v>
      </c>
      <c r="B678" s="25" t="s">
        <v>876</v>
      </c>
      <c r="C678" s="26">
        <v>110935</v>
      </c>
      <c r="D678" s="25" t="s">
        <v>956</v>
      </c>
      <c r="E678" s="25" t="s">
        <v>953</v>
      </c>
      <c r="F678" s="26" t="s">
        <v>215</v>
      </c>
      <c r="G678" s="26" t="s">
        <v>215</v>
      </c>
      <c r="H678" s="26"/>
      <c r="I678" s="26"/>
      <c r="J678" s="26">
        <v>1</v>
      </c>
      <c r="K678" s="26">
        <v>138</v>
      </c>
      <c r="L678" s="26" t="s">
        <v>28</v>
      </c>
      <c r="M678" s="27">
        <v>1430</v>
      </c>
      <c r="N678" s="28"/>
      <c r="O678" s="26" t="s">
        <v>29</v>
      </c>
      <c r="P678" s="29"/>
      <c r="Q678" s="6"/>
      <c r="R678" s="29"/>
      <c r="S678" s="10"/>
      <c r="T678" s="8"/>
    </row>
    <row r="679" spans="1:20" ht="15.75" customHeight="1" x14ac:dyDescent="0.35">
      <c r="A679" s="25" t="s">
        <v>754</v>
      </c>
      <c r="B679" s="25" t="s">
        <v>876</v>
      </c>
      <c r="C679" s="26">
        <v>110942</v>
      </c>
      <c r="D679" s="25" t="s">
        <v>957</v>
      </c>
      <c r="E679" s="25" t="s">
        <v>953</v>
      </c>
      <c r="F679" s="26" t="s">
        <v>215</v>
      </c>
      <c r="G679" s="26" t="s">
        <v>215</v>
      </c>
      <c r="H679" s="26">
        <v>1</v>
      </c>
      <c r="I679" s="26">
        <v>5</v>
      </c>
      <c r="J679" s="26">
        <v>1</v>
      </c>
      <c r="K679" s="26">
        <v>138</v>
      </c>
      <c r="L679" s="26" t="s">
        <v>28</v>
      </c>
      <c r="M679" s="27">
        <v>1435</v>
      </c>
      <c r="N679" s="28">
        <v>476354.92</v>
      </c>
      <c r="O679" s="26" t="s">
        <v>29</v>
      </c>
      <c r="P679" s="29"/>
      <c r="Q679" s="6"/>
      <c r="R679" s="29"/>
      <c r="S679" s="10"/>
      <c r="T679" s="8">
        <v>1</v>
      </c>
    </row>
    <row r="680" spans="1:20" ht="15.75" customHeight="1" x14ac:dyDescent="0.35">
      <c r="A680" s="25" t="s">
        <v>754</v>
      </c>
      <c r="B680" s="25" t="s">
        <v>876</v>
      </c>
      <c r="C680" s="26">
        <v>110947</v>
      </c>
      <c r="D680" s="25" t="s">
        <v>958</v>
      </c>
      <c r="E680" s="25" t="s">
        <v>953</v>
      </c>
      <c r="F680" s="26" t="s">
        <v>215</v>
      </c>
      <c r="G680" s="26" t="s">
        <v>215</v>
      </c>
      <c r="H680" s="26"/>
      <c r="I680" s="26"/>
      <c r="J680" s="26">
        <v>1</v>
      </c>
      <c r="K680" s="26">
        <v>138</v>
      </c>
      <c r="L680" s="26" t="s">
        <v>28</v>
      </c>
      <c r="M680" s="27">
        <v>1440</v>
      </c>
      <c r="N680" s="28"/>
      <c r="O680" s="26" t="s">
        <v>29</v>
      </c>
      <c r="P680" s="29"/>
      <c r="Q680" s="6"/>
      <c r="R680" s="29"/>
      <c r="S680" s="10"/>
      <c r="T680" s="8"/>
    </row>
    <row r="681" spans="1:20" ht="15.75" customHeight="1" x14ac:dyDescent="0.35">
      <c r="A681" s="25" t="s">
        <v>754</v>
      </c>
      <c r="B681" s="25" t="s">
        <v>876</v>
      </c>
      <c r="C681" s="26">
        <v>110965</v>
      </c>
      <c r="D681" s="25" t="s">
        <v>959</v>
      </c>
      <c r="E681" s="25" t="s">
        <v>960</v>
      </c>
      <c r="F681" s="26" t="s">
        <v>215</v>
      </c>
      <c r="G681" s="26" t="s">
        <v>215</v>
      </c>
      <c r="H681" s="26">
        <v>1</v>
      </c>
      <c r="I681" s="26">
        <v>3</v>
      </c>
      <c r="J681" s="26">
        <v>1</v>
      </c>
      <c r="K681" s="26">
        <v>138</v>
      </c>
      <c r="L681" s="26" t="s">
        <v>28</v>
      </c>
      <c r="M681" s="27">
        <v>1425</v>
      </c>
      <c r="N681" s="28">
        <v>348234.54</v>
      </c>
      <c r="O681" s="26" t="s">
        <v>29</v>
      </c>
      <c r="P681" s="29"/>
      <c r="Q681" s="6"/>
      <c r="R681" s="29"/>
      <c r="S681" s="10"/>
      <c r="T681" s="8">
        <v>1</v>
      </c>
    </row>
    <row r="682" spans="1:20" ht="15.75" customHeight="1" x14ac:dyDescent="0.35">
      <c r="A682" s="25" t="s">
        <v>754</v>
      </c>
      <c r="B682" s="25" t="s">
        <v>876</v>
      </c>
      <c r="C682" s="26">
        <v>110966</v>
      </c>
      <c r="D682" s="25" t="s">
        <v>961</v>
      </c>
      <c r="E682" s="25" t="s">
        <v>960</v>
      </c>
      <c r="F682" s="26" t="s">
        <v>215</v>
      </c>
      <c r="G682" s="26" t="s">
        <v>215</v>
      </c>
      <c r="H682" s="26">
        <v>1</v>
      </c>
      <c r="I682" s="26">
        <v>3</v>
      </c>
      <c r="J682" s="26">
        <v>1</v>
      </c>
      <c r="K682" s="26">
        <v>138</v>
      </c>
      <c r="L682" s="26" t="s">
        <v>28</v>
      </c>
      <c r="M682" s="27">
        <v>1429</v>
      </c>
      <c r="N682" s="28">
        <v>342234.44</v>
      </c>
      <c r="O682" s="26" t="s">
        <v>29</v>
      </c>
      <c r="P682" s="29"/>
      <c r="Q682" s="6"/>
      <c r="R682" s="29"/>
      <c r="S682" s="10"/>
      <c r="T682" s="8">
        <v>1</v>
      </c>
    </row>
    <row r="683" spans="1:20" ht="15.75" customHeight="1" x14ac:dyDescent="0.35">
      <c r="A683" s="25" t="s">
        <v>754</v>
      </c>
      <c r="B683" s="25" t="s">
        <v>876</v>
      </c>
      <c r="C683" s="26">
        <v>110967</v>
      </c>
      <c r="D683" s="25" t="s">
        <v>962</v>
      </c>
      <c r="E683" s="25" t="s">
        <v>960</v>
      </c>
      <c r="F683" s="26" t="s">
        <v>215</v>
      </c>
      <c r="G683" s="26" t="s">
        <v>215</v>
      </c>
      <c r="H683" s="26"/>
      <c r="I683" s="26"/>
      <c r="J683" s="26">
        <v>1</v>
      </c>
      <c r="K683" s="26">
        <v>138</v>
      </c>
      <c r="L683" s="26" t="s">
        <v>28</v>
      </c>
      <c r="M683" s="27">
        <v>1439</v>
      </c>
      <c r="N683" s="28"/>
      <c r="O683" s="26" t="s">
        <v>29</v>
      </c>
      <c r="P683" s="29"/>
      <c r="Q683" s="6"/>
      <c r="R683" s="29"/>
      <c r="S683" s="10"/>
      <c r="T683" s="8"/>
    </row>
    <row r="684" spans="1:20" ht="15.75" customHeight="1" x14ac:dyDescent="0.35">
      <c r="A684" s="25" t="s">
        <v>754</v>
      </c>
      <c r="B684" s="25" t="s">
        <v>876</v>
      </c>
      <c r="C684" s="26">
        <v>110969</v>
      </c>
      <c r="D684" s="25" t="s">
        <v>963</v>
      </c>
      <c r="E684" s="25" t="s">
        <v>960</v>
      </c>
      <c r="F684" s="26" t="s">
        <v>215</v>
      </c>
      <c r="G684" s="26" t="s">
        <v>215</v>
      </c>
      <c r="H684" s="26"/>
      <c r="I684" s="26"/>
      <c r="J684" s="26">
        <v>1</v>
      </c>
      <c r="K684" s="26">
        <v>138</v>
      </c>
      <c r="L684" s="26" t="s">
        <v>28</v>
      </c>
      <c r="M684" s="27">
        <v>1445</v>
      </c>
      <c r="N684" s="28"/>
      <c r="O684" s="26" t="s">
        <v>29</v>
      </c>
      <c r="P684" s="29"/>
      <c r="Q684" s="6"/>
      <c r="R684" s="29"/>
      <c r="S684" s="10"/>
      <c r="T684" s="8"/>
    </row>
    <row r="685" spans="1:20" ht="15.75" customHeight="1" x14ac:dyDescent="0.35">
      <c r="A685" s="25" t="s">
        <v>754</v>
      </c>
      <c r="B685" s="25" t="s">
        <v>876</v>
      </c>
      <c r="C685" s="26">
        <v>110971</v>
      </c>
      <c r="D685" s="25" t="s">
        <v>964</v>
      </c>
      <c r="E685" s="25" t="s">
        <v>960</v>
      </c>
      <c r="F685" s="26" t="s">
        <v>215</v>
      </c>
      <c r="G685" s="26" t="s">
        <v>215</v>
      </c>
      <c r="H685" s="26"/>
      <c r="I685" s="26"/>
      <c r="J685" s="26">
        <v>1</v>
      </c>
      <c r="K685" s="26">
        <v>138</v>
      </c>
      <c r="L685" s="26" t="s">
        <v>28</v>
      </c>
      <c r="M685" s="27">
        <v>1458</v>
      </c>
      <c r="N685" s="28"/>
      <c r="O685" s="26" t="s">
        <v>29</v>
      </c>
      <c r="P685" s="29"/>
      <c r="Q685" s="6"/>
      <c r="R685" s="29"/>
      <c r="S685" s="10"/>
      <c r="T685" s="8"/>
    </row>
    <row r="686" spans="1:20" ht="15.75" customHeight="1" x14ac:dyDescent="0.35">
      <c r="A686" s="25" t="s">
        <v>754</v>
      </c>
      <c r="B686" s="25" t="s">
        <v>876</v>
      </c>
      <c r="C686" s="26">
        <v>110973</v>
      </c>
      <c r="D686" s="25" t="s">
        <v>965</v>
      </c>
      <c r="E686" s="25" t="s">
        <v>966</v>
      </c>
      <c r="F686" s="26" t="s">
        <v>215</v>
      </c>
      <c r="G686" s="26" t="s">
        <v>215</v>
      </c>
      <c r="H686" s="26"/>
      <c r="I686" s="26"/>
      <c r="J686" s="26">
        <v>1</v>
      </c>
      <c r="K686" s="26">
        <v>138</v>
      </c>
      <c r="L686" s="26" t="s">
        <v>28</v>
      </c>
      <c r="M686" s="27">
        <v>1414</v>
      </c>
      <c r="N686" s="28"/>
      <c r="O686" s="26" t="s">
        <v>29</v>
      </c>
      <c r="P686" s="29"/>
      <c r="Q686" s="6"/>
      <c r="R686" s="29"/>
      <c r="S686" s="10"/>
      <c r="T686" s="8"/>
    </row>
    <row r="687" spans="1:20" ht="15.75" customHeight="1" x14ac:dyDescent="0.35">
      <c r="A687" s="25" t="s">
        <v>754</v>
      </c>
      <c r="B687" s="25" t="s">
        <v>876</v>
      </c>
      <c r="C687" s="26">
        <v>111018</v>
      </c>
      <c r="D687" s="25" t="s">
        <v>967</v>
      </c>
      <c r="E687" s="25" t="s">
        <v>968</v>
      </c>
      <c r="F687" s="26" t="s">
        <v>215</v>
      </c>
      <c r="G687" s="26" t="s">
        <v>215</v>
      </c>
      <c r="H687" s="26"/>
      <c r="I687" s="26"/>
      <c r="J687" s="26">
        <v>1</v>
      </c>
      <c r="K687" s="26">
        <v>138</v>
      </c>
      <c r="L687" s="26" t="s">
        <v>28</v>
      </c>
      <c r="M687" s="27">
        <v>1421</v>
      </c>
      <c r="N687" s="28"/>
      <c r="O687" s="26" t="s">
        <v>29</v>
      </c>
      <c r="P687" s="29"/>
      <c r="Q687" s="6"/>
      <c r="R687" s="29"/>
      <c r="S687" s="10"/>
      <c r="T687" s="8"/>
    </row>
    <row r="688" spans="1:20" ht="15.75" customHeight="1" x14ac:dyDescent="0.35">
      <c r="A688" s="25" t="s">
        <v>754</v>
      </c>
      <c r="B688" s="25" t="s">
        <v>876</v>
      </c>
      <c r="C688" s="26">
        <v>111025</v>
      </c>
      <c r="D688" s="25" t="s">
        <v>969</v>
      </c>
      <c r="E688" s="25" t="s">
        <v>968</v>
      </c>
      <c r="F688" s="26" t="s">
        <v>215</v>
      </c>
      <c r="G688" s="26" t="s">
        <v>215</v>
      </c>
      <c r="H688" s="26">
        <v>1</v>
      </c>
      <c r="I688" s="26">
        <v>3</v>
      </c>
      <c r="J688" s="26">
        <v>1</v>
      </c>
      <c r="K688" s="26">
        <v>138</v>
      </c>
      <c r="L688" s="26" t="s">
        <v>28</v>
      </c>
      <c r="M688" s="27">
        <v>1437</v>
      </c>
      <c r="N688" s="28">
        <v>279614.83</v>
      </c>
      <c r="O688" s="26" t="s">
        <v>29</v>
      </c>
      <c r="P688" s="29"/>
      <c r="Q688" s="6"/>
      <c r="R688" s="29"/>
      <c r="S688" s="10"/>
      <c r="T688" s="8">
        <v>1</v>
      </c>
    </row>
    <row r="689" spans="1:20" ht="15.75" customHeight="1" x14ac:dyDescent="0.35">
      <c r="A689" s="25" t="s">
        <v>754</v>
      </c>
      <c r="B689" s="25" t="s">
        <v>876</v>
      </c>
      <c r="C689" s="26">
        <v>111035</v>
      </c>
      <c r="D689" s="25" t="s">
        <v>970</v>
      </c>
      <c r="E689" s="25" t="s">
        <v>968</v>
      </c>
      <c r="F689" s="26" t="s">
        <v>215</v>
      </c>
      <c r="G689" s="26" t="s">
        <v>215</v>
      </c>
      <c r="H689" s="26"/>
      <c r="I689" s="26"/>
      <c r="J689" s="26">
        <v>1</v>
      </c>
      <c r="K689" s="26">
        <v>138</v>
      </c>
      <c r="L689" s="26" t="s">
        <v>28</v>
      </c>
      <c r="M689" s="27">
        <v>1456</v>
      </c>
      <c r="N689" s="28"/>
      <c r="O689" s="26" t="s">
        <v>29</v>
      </c>
      <c r="P689" s="29"/>
      <c r="Q689" s="6"/>
      <c r="R689" s="29"/>
      <c r="S689" s="10"/>
      <c r="T689" s="8"/>
    </row>
    <row r="690" spans="1:20" ht="15.75" customHeight="1" x14ac:dyDescent="0.35">
      <c r="A690" s="25" t="s">
        <v>754</v>
      </c>
      <c r="B690" s="25" t="s">
        <v>876</v>
      </c>
      <c r="C690" s="26">
        <v>111037</v>
      </c>
      <c r="D690" s="25" t="s">
        <v>971</v>
      </c>
      <c r="E690" s="25" t="s">
        <v>968</v>
      </c>
      <c r="F690" s="26" t="s">
        <v>215</v>
      </c>
      <c r="G690" s="26" t="s">
        <v>215</v>
      </c>
      <c r="H690" s="26"/>
      <c r="I690" s="26"/>
      <c r="J690" s="26">
        <v>1</v>
      </c>
      <c r="K690" s="26">
        <v>138</v>
      </c>
      <c r="L690" s="26" t="s">
        <v>28</v>
      </c>
      <c r="M690" s="27">
        <v>1463</v>
      </c>
      <c r="N690" s="28"/>
      <c r="O690" s="26" t="s">
        <v>29</v>
      </c>
      <c r="P690" s="29"/>
      <c r="Q690" s="6"/>
      <c r="R690" s="29"/>
      <c r="S690" s="10"/>
      <c r="T690" s="8"/>
    </row>
    <row r="691" spans="1:20" ht="15.75" customHeight="1" x14ac:dyDescent="0.35">
      <c r="A691" s="25" t="s">
        <v>754</v>
      </c>
      <c r="B691" s="25" t="s">
        <v>876</v>
      </c>
      <c r="C691" s="26">
        <v>111054</v>
      </c>
      <c r="D691" s="25" t="s">
        <v>972</v>
      </c>
      <c r="E691" s="25" t="s">
        <v>973</v>
      </c>
      <c r="F691" s="26" t="s">
        <v>90</v>
      </c>
      <c r="G691" s="26" t="s">
        <v>90</v>
      </c>
      <c r="H691" s="26"/>
      <c r="I691" s="26"/>
      <c r="J691" s="26">
        <v>1</v>
      </c>
      <c r="K691" s="26">
        <v>138</v>
      </c>
      <c r="L691" s="26" t="s">
        <v>28</v>
      </c>
      <c r="M691" s="27">
        <v>1467</v>
      </c>
      <c r="N691" s="28"/>
      <c r="O691" s="26" t="s">
        <v>29</v>
      </c>
      <c r="P691" s="29"/>
      <c r="Q691" s="6"/>
      <c r="R691" s="29"/>
      <c r="S691" s="10"/>
      <c r="T691" s="8"/>
    </row>
    <row r="692" spans="1:20" ht="15.75" customHeight="1" x14ac:dyDescent="0.35">
      <c r="A692" s="25" t="s">
        <v>754</v>
      </c>
      <c r="B692" s="25" t="s">
        <v>876</v>
      </c>
      <c r="C692" s="26">
        <v>111061</v>
      </c>
      <c r="D692" s="25" t="s">
        <v>974</v>
      </c>
      <c r="E692" s="25" t="s">
        <v>973</v>
      </c>
      <c r="F692" s="26" t="s">
        <v>90</v>
      </c>
      <c r="G692" s="26" t="s">
        <v>90</v>
      </c>
      <c r="H692" s="26"/>
      <c r="I692" s="26"/>
      <c r="J692" s="26">
        <v>1</v>
      </c>
      <c r="K692" s="26">
        <v>138</v>
      </c>
      <c r="L692" s="26" t="s">
        <v>28</v>
      </c>
      <c r="M692" s="27">
        <v>1478</v>
      </c>
      <c r="N692" s="28"/>
      <c r="O692" s="26" t="s">
        <v>29</v>
      </c>
      <c r="P692" s="29"/>
      <c r="Q692" s="6"/>
      <c r="R692" s="29"/>
      <c r="S692" s="10"/>
      <c r="T692" s="8"/>
    </row>
    <row r="693" spans="1:20" ht="15.75" customHeight="1" x14ac:dyDescent="0.35">
      <c r="A693" s="25" t="s">
        <v>754</v>
      </c>
      <c r="B693" s="25" t="s">
        <v>876</v>
      </c>
      <c r="C693" s="26">
        <v>111085</v>
      </c>
      <c r="D693" s="25" t="s">
        <v>975</v>
      </c>
      <c r="E693" s="25" t="s">
        <v>976</v>
      </c>
      <c r="F693" s="26" t="s">
        <v>90</v>
      </c>
      <c r="G693" s="26" t="s">
        <v>90</v>
      </c>
      <c r="H693" s="26"/>
      <c r="I693" s="26"/>
      <c r="J693" s="26">
        <v>1</v>
      </c>
      <c r="K693" s="26">
        <v>138</v>
      </c>
      <c r="L693" s="26" t="s">
        <v>28</v>
      </c>
      <c r="M693" s="27">
        <v>1468</v>
      </c>
      <c r="N693" s="28"/>
      <c r="O693" s="26" t="s">
        <v>29</v>
      </c>
      <c r="P693" s="29"/>
      <c r="Q693" s="6"/>
      <c r="R693" s="29"/>
      <c r="S693" s="10"/>
      <c r="T693" s="8"/>
    </row>
    <row r="694" spans="1:20" ht="15.75" customHeight="1" x14ac:dyDescent="0.35">
      <c r="A694" s="25" t="s">
        <v>754</v>
      </c>
      <c r="B694" s="25" t="s">
        <v>876</v>
      </c>
      <c r="C694" s="26">
        <v>111087</v>
      </c>
      <c r="D694" s="25" t="s">
        <v>977</v>
      </c>
      <c r="E694" s="25" t="s">
        <v>978</v>
      </c>
      <c r="F694" s="26" t="s">
        <v>90</v>
      </c>
      <c r="G694" s="26" t="s">
        <v>90</v>
      </c>
      <c r="H694" s="26"/>
      <c r="I694" s="26"/>
      <c r="J694" s="26">
        <v>1</v>
      </c>
      <c r="K694" s="26">
        <v>138</v>
      </c>
      <c r="L694" s="26" t="s">
        <v>28</v>
      </c>
      <c r="M694" s="27">
        <v>1469</v>
      </c>
      <c r="N694" s="28"/>
      <c r="O694" s="26" t="s">
        <v>29</v>
      </c>
      <c r="P694" s="29"/>
      <c r="Q694" s="6"/>
      <c r="R694" s="29"/>
      <c r="S694" s="10"/>
      <c r="T694" s="8"/>
    </row>
    <row r="695" spans="1:20" ht="15.75" customHeight="1" x14ac:dyDescent="0.35">
      <c r="A695" s="25" t="s">
        <v>754</v>
      </c>
      <c r="B695" s="25" t="s">
        <v>876</v>
      </c>
      <c r="C695" s="26">
        <v>111089</v>
      </c>
      <c r="D695" s="25" t="s">
        <v>979</v>
      </c>
      <c r="E695" s="25" t="s">
        <v>978</v>
      </c>
      <c r="F695" s="26" t="s">
        <v>90</v>
      </c>
      <c r="G695" s="26" t="s">
        <v>90</v>
      </c>
      <c r="H695" s="26"/>
      <c r="I695" s="26"/>
      <c r="J695" s="26">
        <v>1</v>
      </c>
      <c r="K695" s="26">
        <v>138</v>
      </c>
      <c r="L695" s="26" t="s">
        <v>28</v>
      </c>
      <c r="M695" s="27">
        <v>1475</v>
      </c>
      <c r="N695" s="28"/>
      <c r="O695" s="26" t="s">
        <v>29</v>
      </c>
      <c r="P695" s="29"/>
      <c r="Q695" s="6"/>
      <c r="R695" s="29"/>
      <c r="S695" s="10"/>
      <c r="T695" s="8"/>
    </row>
    <row r="696" spans="1:20" ht="15.75" customHeight="1" x14ac:dyDescent="0.35">
      <c r="A696" s="25" t="s">
        <v>754</v>
      </c>
      <c r="B696" s="25" t="s">
        <v>876</v>
      </c>
      <c r="C696" s="26">
        <v>111094</v>
      </c>
      <c r="D696" s="25" t="s">
        <v>980</v>
      </c>
      <c r="E696" s="25" t="s">
        <v>976</v>
      </c>
      <c r="F696" s="26" t="s">
        <v>90</v>
      </c>
      <c r="G696" s="26" t="s">
        <v>90</v>
      </c>
      <c r="H696" s="26"/>
      <c r="I696" s="26"/>
      <c r="J696" s="26">
        <v>1</v>
      </c>
      <c r="K696" s="26">
        <v>138</v>
      </c>
      <c r="L696" s="26" t="s">
        <v>28</v>
      </c>
      <c r="M696" s="27">
        <v>1483</v>
      </c>
      <c r="N696" s="28"/>
      <c r="O696" s="26" t="s">
        <v>29</v>
      </c>
      <c r="P696" s="29"/>
      <c r="Q696" s="6"/>
      <c r="R696" s="29"/>
      <c r="S696" s="10"/>
      <c r="T696" s="8"/>
    </row>
    <row r="697" spans="1:20" ht="15.75" customHeight="1" x14ac:dyDescent="0.35">
      <c r="A697" s="25" t="s">
        <v>754</v>
      </c>
      <c r="B697" s="25" t="s">
        <v>876</v>
      </c>
      <c r="C697" s="26">
        <v>111098</v>
      </c>
      <c r="D697" s="25" t="s">
        <v>981</v>
      </c>
      <c r="E697" s="25" t="s">
        <v>978</v>
      </c>
      <c r="F697" s="26" t="s">
        <v>90</v>
      </c>
      <c r="G697" s="26" t="s">
        <v>90</v>
      </c>
      <c r="H697" s="26"/>
      <c r="I697" s="26"/>
      <c r="J697" s="26">
        <v>1</v>
      </c>
      <c r="K697" s="26">
        <v>138</v>
      </c>
      <c r="L697" s="26" t="s">
        <v>28</v>
      </c>
      <c r="M697" s="27">
        <v>1487</v>
      </c>
      <c r="N697" s="28"/>
      <c r="O697" s="26" t="s">
        <v>29</v>
      </c>
      <c r="P697" s="29"/>
      <c r="Q697" s="6"/>
      <c r="R697" s="29"/>
      <c r="S697" s="10"/>
      <c r="T697" s="8"/>
    </row>
    <row r="698" spans="1:20" ht="15.75" customHeight="1" x14ac:dyDescent="0.35">
      <c r="A698" s="25" t="s">
        <v>754</v>
      </c>
      <c r="B698" s="25" t="s">
        <v>876</v>
      </c>
      <c r="C698" s="26">
        <v>111099</v>
      </c>
      <c r="D698" s="25" t="s">
        <v>982</v>
      </c>
      <c r="E698" s="25" t="s">
        <v>978</v>
      </c>
      <c r="F698" s="26" t="s">
        <v>90</v>
      </c>
      <c r="G698" s="26" t="s">
        <v>90</v>
      </c>
      <c r="H698" s="26"/>
      <c r="I698" s="26"/>
      <c r="J698" s="26">
        <v>1</v>
      </c>
      <c r="K698" s="26">
        <v>138</v>
      </c>
      <c r="L698" s="26" t="s">
        <v>28</v>
      </c>
      <c r="M698" s="27">
        <v>1488</v>
      </c>
      <c r="N698" s="28"/>
      <c r="O698" s="26" t="s">
        <v>29</v>
      </c>
      <c r="P698" s="29"/>
      <c r="Q698" s="6"/>
      <c r="R698" s="29"/>
      <c r="S698" s="10"/>
      <c r="T698" s="8"/>
    </row>
    <row r="699" spans="1:20" ht="15.75" customHeight="1" x14ac:dyDescent="0.35">
      <c r="A699" s="25" t="s">
        <v>754</v>
      </c>
      <c r="B699" s="25" t="s">
        <v>876</v>
      </c>
      <c r="C699" s="26">
        <v>111100</v>
      </c>
      <c r="D699" s="25" t="s">
        <v>983</v>
      </c>
      <c r="E699" s="25" t="s">
        <v>978</v>
      </c>
      <c r="F699" s="26" t="s">
        <v>90</v>
      </c>
      <c r="G699" s="26" t="s">
        <v>90</v>
      </c>
      <c r="H699" s="26"/>
      <c r="I699" s="26"/>
      <c r="J699" s="26">
        <v>1</v>
      </c>
      <c r="K699" s="26">
        <v>138</v>
      </c>
      <c r="L699" s="26" t="s">
        <v>28</v>
      </c>
      <c r="M699" s="27">
        <v>1477</v>
      </c>
      <c r="N699" s="28"/>
      <c r="O699" s="26" t="s">
        <v>29</v>
      </c>
      <c r="P699" s="29"/>
      <c r="Q699" s="6"/>
      <c r="R699" s="29"/>
      <c r="S699" s="10"/>
      <c r="T699" s="8"/>
    </row>
    <row r="700" spans="1:20" ht="15.75" customHeight="1" x14ac:dyDescent="0.35">
      <c r="A700" s="25" t="s">
        <v>754</v>
      </c>
      <c r="B700" s="25" t="s">
        <v>876</v>
      </c>
      <c r="C700" s="26">
        <v>111107</v>
      </c>
      <c r="D700" s="25" t="s">
        <v>984</v>
      </c>
      <c r="E700" s="25" t="s">
        <v>976</v>
      </c>
      <c r="F700" s="26" t="s">
        <v>90</v>
      </c>
      <c r="G700" s="26" t="s">
        <v>90</v>
      </c>
      <c r="H700" s="26">
        <v>1</v>
      </c>
      <c r="I700" s="26">
        <v>2</v>
      </c>
      <c r="J700" s="26">
        <v>1</v>
      </c>
      <c r="K700" s="26">
        <v>138</v>
      </c>
      <c r="L700" s="26" t="s">
        <v>28</v>
      </c>
      <c r="M700" s="27">
        <v>1507</v>
      </c>
      <c r="N700" s="28">
        <v>194424.01</v>
      </c>
      <c r="O700" s="26" t="s">
        <v>29</v>
      </c>
      <c r="P700" s="29"/>
      <c r="Q700" s="6"/>
      <c r="R700" s="29"/>
      <c r="S700" s="10"/>
      <c r="T700" s="8">
        <v>1</v>
      </c>
    </row>
    <row r="701" spans="1:20" ht="15.75" customHeight="1" x14ac:dyDescent="0.35">
      <c r="A701" s="25" t="s">
        <v>754</v>
      </c>
      <c r="B701" s="25" t="s">
        <v>876</v>
      </c>
      <c r="C701" s="26">
        <v>111108</v>
      </c>
      <c r="D701" s="25" t="s">
        <v>985</v>
      </c>
      <c r="E701" s="25" t="s">
        <v>978</v>
      </c>
      <c r="F701" s="26" t="s">
        <v>90</v>
      </c>
      <c r="G701" s="26" t="s">
        <v>90</v>
      </c>
      <c r="H701" s="26"/>
      <c r="I701" s="26"/>
      <c r="J701" s="26">
        <v>1</v>
      </c>
      <c r="K701" s="26">
        <v>138</v>
      </c>
      <c r="L701" s="26" t="s">
        <v>28</v>
      </c>
      <c r="M701" s="27">
        <v>1510</v>
      </c>
      <c r="N701" s="28"/>
      <c r="O701" s="26" t="s">
        <v>29</v>
      </c>
      <c r="P701" s="29"/>
      <c r="Q701" s="6"/>
      <c r="R701" s="29"/>
      <c r="S701" s="10"/>
      <c r="T701" s="8"/>
    </row>
    <row r="702" spans="1:20" ht="15.75" customHeight="1" x14ac:dyDescent="0.35">
      <c r="A702" s="25" t="s">
        <v>754</v>
      </c>
      <c r="B702" s="25" t="s">
        <v>876</v>
      </c>
      <c r="C702" s="26">
        <v>111110</v>
      </c>
      <c r="D702" s="25" t="s">
        <v>986</v>
      </c>
      <c r="E702" s="25" t="s">
        <v>976</v>
      </c>
      <c r="F702" s="26" t="s">
        <v>90</v>
      </c>
      <c r="G702" s="26" t="s">
        <v>90</v>
      </c>
      <c r="H702" s="26"/>
      <c r="I702" s="26"/>
      <c r="J702" s="26">
        <v>1</v>
      </c>
      <c r="K702" s="26">
        <v>138</v>
      </c>
      <c r="L702" s="26" t="s">
        <v>28</v>
      </c>
      <c r="M702" s="27">
        <v>1514</v>
      </c>
      <c r="N702" s="28"/>
      <c r="O702" s="26" t="s">
        <v>29</v>
      </c>
      <c r="P702" s="29"/>
      <c r="Q702" s="6"/>
      <c r="R702" s="29"/>
      <c r="S702" s="10"/>
      <c r="T702" s="8"/>
    </row>
    <row r="703" spans="1:20" ht="15.75" customHeight="1" x14ac:dyDescent="0.35">
      <c r="A703" s="25" t="s">
        <v>754</v>
      </c>
      <c r="B703" s="25" t="s">
        <v>876</v>
      </c>
      <c r="C703" s="26">
        <v>111112</v>
      </c>
      <c r="D703" s="25" t="s">
        <v>987</v>
      </c>
      <c r="E703" s="25" t="s">
        <v>976</v>
      </c>
      <c r="F703" s="26" t="s">
        <v>90</v>
      </c>
      <c r="G703" s="26" t="s">
        <v>90</v>
      </c>
      <c r="H703" s="26"/>
      <c r="I703" s="26"/>
      <c r="J703" s="26">
        <v>1</v>
      </c>
      <c r="K703" s="26">
        <v>138</v>
      </c>
      <c r="L703" s="26" t="s">
        <v>28</v>
      </c>
      <c r="M703" s="27">
        <v>1519</v>
      </c>
      <c r="N703" s="28"/>
      <c r="O703" s="26" t="s">
        <v>29</v>
      </c>
      <c r="P703" s="29"/>
      <c r="Q703" s="6"/>
      <c r="R703" s="29"/>
      <c r="S703" s="10"/>
      <c r="T703" s="8"/>
    </row>
    <row r="704" spans="1:20" ht="15.75" customHeight="1" x14ac:dyDescent="0.35">
      <c r="A704" s="9" t="s">
        <v>754</v>
      </c>
      <c r="B704" s="25" t="s">
        <v>876</v>
      </c>
      <c r="C704" s="31">
        <v>111118</v>
      </c>
      <c r="D704" s="32" t="s">
        <v>988</v>
      </c>
      <c r="E704" s="32" t="s">
        <v>976</v>
      </c>
      <c r="F704" s="26" t="s">
        <v>90</v>
      </c>
      <c r="G704" s="33"/>
      <c r="H704" s="8">
        <v>1</v>
      </c>
      <c r="I704" s="8">
        <v>5</v>
      </c>
      <c r="J704" s="29"/>
      <c r="K704" s="10"/>
      <c r="L704" s="10"/>
      <c r="M704" s="11"/>
      <c r="N704" s="34">
        <v>427669.95</v>
      </c>
      <c r="O704" s="26" t="s">
        <v>29</v>
      </c>
      <c r="P704" s="29" t="s">
        <v>163</v>
      </c>
      <c r="Q704" s="6"/>
      <c r="R704" s="29"/>
      <c r="S704" s="10"/>
      <c r="T704" s="8">
        <v>1</v>
      </c>
    </row>
    <row r="705" spans="1:20" ht="15.75" customHeight="1" x14ac:dyDescent="0.35">
      <c r="A705" s="25" t="s">
        <v>754</v>
      </c>
      <c r="B705" s="25" t="s">
        <v>876</v>
      </c>
      <c r="C705" s="26">
        <v>111122</v>
      </c>
      <c r="D705" s="25" t="s">
        <v>989</v>
      </c>
      <c r="E705" s="25" t="s">
        <v>978</v>
      </c>
      <c r="F705" s="26" t="s">
        <v>90</v>
      </c>
      <c r="G705" s="26" t="s">
        <v>90</v>
      </c>
      <c r="H705" s="26"/>
      <c r="I705" s="26"/>
      <c r="J705" s="26">
        <v>1</v>
      </c>
      <c r="K705" s="26">
        <v>138</v>
      </c>
      <c r="L705" s="26" t="s">
        <v>28</v>
      </c>
      <c r="M705" s="27">
        <v>1533</v>
      </c>
      <c r="N705" s="28"/>
      <c r="O705" s="26" t="s">
        <v>29</v>
      </c>
      <c r="P705" s="29"/>
      <c r="Q705" s="6"/>
      <c r="R705" s="29"/>
      <c r="S705" s="10"/>
      <c r="T705" s="8"/>
    </row>
    <row r="706" spans="1:20" ht="15.75" customHeight="1" x14ac:dyDescent="0.35">
      <c r="A706" s="25" t="s">
        <v>754</v>
      </c>
      <c r="B706" s="25" t="s">
        <v>876</v>
      </c>
      <c r="C706" s="26">
        <v>111123</v>
      </c>
      <c r="D706" s="25" t="s">
        <v>990</v>
      </c>
      <c r="E706" s="25" t="s">
        <v>978</v>
      </c>
      <c r="F706" s="26" t="s">
        <v>90</v>
      </c>
      <c r="G706" s="26" t="s">
        <v>90</v>
      </c>
      <c r="H706" s="26"/>
      <c r="I706" s="26"/>
      <c r="J706" s="26">
        <v>1</v>
      </c>
      <c r="K706" s="26">
        <v>138</v>
      </c>
      <c r="L706" s="26" t="s">
        <v>28</v>
      </c>
      <c r="M706" s="27">
        <v>1536</v>
      </c>
      <c r="N706" s="28"/>
      <c r="O706" s="26" t="s">
        <v>29</v>
      </c>
      <c r="P706" s="29"/>
      <c r="Q706" s="6"/>
      <c r="R706" s="29"/>
      <c r="S706" s="10"/>
      <c r="T706" s="8"/>
    </row>
    <row r="707" spans="1:20" ht="15.75" customHeight="1" x14ac:dyDescent="0.35">
      <c r="A707" s="25" t="s">
        <v>754</v>
      </c>
      <c r="B707" s="25" t="s">
        <v>876</v>
      </c>
      <c r="C707" s="26">
        <v>111127</v>
      </c>
      <c r="D707" s="25" t="s">
        <v>991</v>
      </c>
      <c r="E707" s="25" t="s">
        <v>978</v>
      </c>
      <c r="F707" s="26" t="s">
        <v>90</v>
      </c>
      <c r="G707" s="26" t="s">
        <v>90</v>
      </c>
      <c r="H707" s="26"/>
      <c r="I707" s="26"/>
      <c r="J707" s="26">
        <v>1</v>
      </c>
      <c r="K707" s="26">
        <v>138</v>
      </c>
      <c r="L707" s="26" t="s">
        <v>28</v>
      </c>
      <c r="M707" s="27">
        <v>1550</v>
      </c>
      <c r="N707" s="28"/>
      <c r="O707" s="26" t="s">
        <v>29</v>
      </c>
      <c r="P707" s="29"/>
      <c r="Q707" s="6"/>
      <c r="R707" s="29"/>
      <c r="S707" s="10"/>
      <c r="T707" s="8"/>
    </row>
    <row r="708" spans="1:20" ht="15.75" customHeight="1" x14ac:dyDescent="0.35">
      <c r="A708" s="25" t="s">
        <v>754</v>
      </c>
      <c r="B708" s="25" t="s">
        <v>876</v>
      </c>
      <c r="C708" s="26">
        <v>111131</v>
      </c>
      <c r="D708" s="25" t="s">
        <v>992</v>
      </c>
      <c r="E708" s="25" t="s">
        <v>978</v>
      </c>
      <c r="F708" s="26" t="s">
        <v>90</v>
      </c>
      <c r="G708" s="26" t="s">
        <v>90</v>
      </c>
      <c r="H708" s="26"/>
      <c r="I708" s="26"/>
      <c r="J708" s="26">
        <v>1</v>
      </c>
      <c r="K708" s="26">
        <v>138</v>
      </c>
      <c r="L708" s="26" t="s">
        <v>28</v>
      </c>
      <c r="M708" s="27">
        <v>1554</v>
      </c>
      <c r="N708" s="28"/>
      <c r="O708" s="26" t="s">
        <v>29</v>
      </c>
      <c r="P708" s="29"/>
      <c r="Q708" s="6"/>
      <c r="R708" s="29"/>
      <c r="S708" s="10"/>
      <c r="T708" s="8"/>
    </row>
    <row r="709" spans="1:20" ht="15.75" customHeight="1" x14ac:dyDescent="0.35">
      <c r="A709" s="25" t="s">
        <v>754</v>
      </c>
      <c r="B709" s="25" t="s">
        <v>876</v>
      </c>
      <c r="C709" s="26">
        <v>111155</v>
      </c>
      <c r="D709" s="25" t="s">
        <v>993</v>
      </c>
      <c r="E709" s="25" t="s">
        <v>564</v>
      </c>
      <c r="F709" s="26" t="s">
        <v>215</v>
      </c>
      <c r="G709" s="26" t="s">
        <v>215</v>
      </c>
      <c r="H709" s="26">
        <v>1</v>
      </c>
      <c r="I709" s="26">
        <v>2</v>
      </c>
      <c r="J709" s="26">
        <v>1</v>
      </c>
      <c r="K709" s="26">
        <v>138</v>
      </c>
      <c r="L709" s="26" t="s">
        <v>28</v>
      </c>
      <c r="M709" s="27">
        <v>1443</v>
      </c>
      <c r="N709" s="28">
        <v>231510.01</v>
      </c>
      <c r="O709" s="26" t="s">
        <v>29</v>
      </c>
      <c r="P709" s="29"/>
      <c r="Q709" s="6"/>
      <c r="R709" s="29"/>
      <c r="S709" s="10"/>
      <c r="T709" s="8">
        <v>1</v>
      </c>
    </row>
    <row r="710" spans="1:20" ht="15.75" customHeight="1" x14ac:dyDescent="0.35">
      <c r="A710" s="25" t="s">
        <v>754</v>
      </c>
      <c r="B710" s="25" t="s">
        <v>876</v>
      </c>
      <c r="C710" s="26">
        <v>111163</v>
      </c>
      <c r="D710" s="25" t="s">
        <v>994</v>
      </c>
      <c r="E710" s="25" t="s">
        <v>564</v>
      </c>
      <c r="F710" s="26" t="s">
        <v>215</v>
      </c>
      <c r="G710" s="26" t="s">
        <v>215</v>
      </c>
      <c r="H710" s="26"/>
      <c r="I710" s="26"/>
      <c r="J710" s="26">
        <v>1</v>
      </c>
      <c r="K710" s="26">
        <v>138</v>
      </c>
      <c r="L710" s="26" t="s">
        <v>28</v>
      </c>
      <c r="M710" s="27">
        <v>1450</v>
      </c>
      <c r="N710" s="28"/>
      <c r="O710" s="26" t="s">
        <v>29</v>
      </c>
      <c r="P710" s="29"/>
      <c r="Q710" s="6"/>
      <c r="R710" s="29"/>
      <c r="S710" s="10"/>
      <c r="T710" s="8"/>
    </row>
    <row r="711" spans="1:20" ht="15.75" customHeight="1" x14ac:dyDescent="0.35">
      <c r="A711" s="25" t="s">
        <v>754</v>
      </c>
      <c r="B711" s="25" t="s">
        <v>876</v>
      </c>
      <c r="C711" s="26">
        <v>111166</v>
      </c>
      <c r="D711" s="25" t="s">
        <v>995</v>
      </c>
      <c r="E711" s="25" t="s">
        <v>564</v>
      </c>
      <c r="F711" s="26" t="s">
        <v>215</v>
      </c>
      <c r="G711" s="26" t="s">
        <v>215</v>
      </c>
      <c r="H711" s="26"/>
      <c r="I711" s="26"/>
      <c r="J711" s="26">
        <v>1</v>
      </c>
      <c r="K711" s="26">
        <v>138</v>
      </c>
      <c r="L711" s="26" t="s">
        <v>28</v>
      </c>
      <c r="M711" s="27">
        <v>1451</v>
      </c>
      <c r="N711" s="28"/>
      <c r="O711" s="26" t="s">
        <v>29</v>
      </c>
      <c r="P711" s="29"/>
      <c r="Q711" s="6"/>
      <c r="R711" s="29"/>
      <c r="S711" s="10"/>
      <c r="T711" s="8"/>
    </row>
    <row r="712" spans="1:20" ht="15.75" customHeight="1" x14ac:dyDescent="0.35">
      <c r="A712" s="25" t="s">
        <v>754</v>
      </c>
      <c r="B712" s="25" t="s">
        <v>876</v>
      </c>
      <c r="C712" s="26">
        <v>111181</v>
      </c>
      <c r="D712" s="25" t="s">
        <v>996</v>
      </c>
      <c r="E712" s="25" t="s">
        <v>997</v>
      </c>
      <c r="F712" s="26" t="s">
        <v>215</v>
      </c>
      <c r="G712" s="26" t="s">
        <v>215</v>
      </c>
      <c r="H712" s="26"/>
      <c r="I712" s="26"/>
      <c r="J712" s="26">
        <v>1</v>
      </c>
      <c r="K712" s="26">
        <v>138</v>
      </c>
      <c r="L712" s="26" t="s">
        <v>28</v>
      </c>
      <c r="M712" s="27">
        <v>1415</v>
      </c>
      <c r="N712" s="28"/>
      <c r="O712" s="26" t="s">
        <v>29</v>
      </c>
      <c r="P712" s="29"/>
      <c r="Q712" s="6"/>
      <c r="R712" s="29"/>
      <c r="S712" s="10"/>
      <c r="T712" s="8"/>
    </row>
    <row r="713" spans="1:20" ht="15.75" customHeight="1" x14ac:dyDescent="0.35">
      <c r="A713" s="25" t="s">
        <v>754</v>
      </c>
      <c r="B713" s="25" t="s">
        <v>876</v>
      </c>
      <c r="C713" s="26">
        <v>111182</v>
      </c>
      <c r="D713" s="25" t="s">
        <v>998</v>
      </c>
      <c r="E713" s="25" t="s">
        <v>997</v>
      </c>
      <c r="F713" s="26" t="s">
        <v>215</v>
      </c>
      <c r="G713" s="26" t="s">
        <v>215</v>
      </c>
      <c r="H713" s="26"/>
      <c r="I713" s="26"/>
      <c r="J713" s="26">
        <v>1</v>
      </c>
      <c r="K713" s="26">
        <v>138</v>
      </c>
      <c r="L713" s="26" t="s">
        <v>28</v>
      </c>
      <c r="M713" s="27">
        <v>1417</v>
      </c>
      <c r="N713" s="28"/>
      <c r="O713" s="26" t="s">
        <v>29</v>
      </c>
      <c r="P713" s="29"/>
      <c r="Q713" s="6"/>
      <c r="R713" s="29"/>
      <c r="S713" s="10"/>
      <c r="T713" s="8"/>
    </row>
    <row r="714" spans="1:20" ht="15.75" customHeight="1" x14ac:dyDescent="0.35">
      <c r="A714" s="25" t="s">
        <v>754</v>
      </c>
      <c r="B714" s="25" t="s">
        <v>876</v>
      </c>
      <c r="C714" s="26">
        <v>111184</v>
      </c>
      <c r="D714" s="25" t="s">
        <v>999</v>
      </c>
      <c r="E714" s="25" t="s">
        <v>997</v>
      </c>
      <c r="F714" s="26" t="s">
        <v>215</v>
      </c>
      <c r="G714" s="26" t="s">
        <v>215</v>
      </c>
      <c r="H714" s="26"/>
      <c r="I714" s="26"/>
      <c r="J714" s="26">
        <v>1</v>
      </c>
      <c r="K714" s="26">
        <v>138</v>
      </c>
      <c r="L714" s="26" t="s">
        <v>28</v>
      </c>
      <c r="M714" s="27">
        <v>1420</v>
      </c>
      <c r="N714" s="28"/>
      <c r="O714" s="26" t="s">
        <v>29</v>
      </c>
      <c r="P714" s="29"/>
      <c r="Q714" s="6"/>
      <c r="R714" s="29"/>
      <c r="S714" s="10"/>
      <c r="T714" s="8"/>
    </row>
    <row r="715" spans="1:20" ht="15.75" customHeight="1" x14ac:dyDescent="0.35">
      <c r="A715" s="25" t="s">
        <v>754</v>
      </c>
      <c r="B715" s="25" t="s">
        <v>876</v>
      </c>
      <c r="C715" s="26">
        <v>111185</v>
      </c>
      <c r="D715" s="25" t="s">
        <v>1000</v>
      </c>
      <c r="E715" s="25" t="s">
        <v>997</v>
      </c>
      <c r="F715" s="26" t="s">
        <v>215</v>
      </c>
      <c r="G715" s="26" t="s">
        <v>215</v>
      </c>
      <c r="H715" s="26"/>
      <c r="I715" s="26"/>
      <c r="J715" s="26">
        <v>1</v>
      </c>
      <c r="K715" s="26">
        <v>138</v>
      </c>
      <c r="L715" s="26" t="s">
        <v>28</v>
      </c>
      <c r="M715" s="27">
        <v>1422</v>
      </c>
      <c r="N715" s="28"/>
      <c r="O715" s="26" t="s">
        <v>29</v>
      </c>
      <c r="P715" s="29"/>
      <c r="Q715" s="6"/>
      <c r="R715" s="29"/>
      <c r="S715" s="10"/>
      <c r="T715" s="8"/>
    </row>
    <row r="716" spans="1:20" ht="15.75" customHeight="1" x14ac:dyDescent="0.35">
      <c r="A716" s="25" t="s">
        <v>754</v>
      </c>
      <c r="B716" s="25" t="s">
        <v>876</v>
      </c>
      <c r="C716" s="26">
        <v>111187</v>
      </c>
      <c r="D716" s="25" t="s">
        <v>1001</v>
      </c>
      <c r="E716" s="25" t="s">
        <v>997</v>
      </c>
      <c r="F716" s="26" t="s">
        <v>215</v>
      </c>
      <c r="G716" s="26" t="s">
        <v>215</v>
      </c>
      <c r="H716" s="26"/>
      <c r="I716" s="26"/>
      <c r="J716" s="26">
        <v>1</v>
      </c>
      <c r="K716" s="26">
        <v>138</v>
      </c>
      <c r="L716" s="26" t="s">
        <v>28</v>
      </c>
      <c r="M716" s="27">
        <v>1428</v>
      </c>
      <c r="N716" s="28"/>
      <c r="O716" s="26" t="s">
        <v>29</v>
      </c>
      <c r="P716" s="29"/>
      <c r="Q716" s="6"/>
      <c r="R716" s="29"/>
      <c r="S716" s="10"/>
      <c r="T716" s="8"/>
    </row>
    <row r="717" spans="1:20" ht="15.75" customHeight="1" x14ac:dyDescent="0.35">
      <c r="A717" s="25" t="s">
        <v>754</v>
      </c>
      <c r="B717" s="25" t="s">
        <v>876</v>
      </c>
      <c r="C717" s="26">
        <v>111198</v>
      </c>
      <c r="D717" s="25" t="s">
        <v>1002</v>
      </c>
      <c r="E717" s="25" t="s">
        <v>997</v>
      </c>
      <c r="F717" s="26" t="s">
        <v>215</v>
      </c>
      <c r="G717" s="26" t="s">
        <v>215</v>
      </c>
      <c r="H717" s="26"/>
      <c r="I717" s="26"/>
      <c r="J717" s="26">
        <v>1</v>
      </c>
      <c r="K717" s="26">
        <v>138</v>
      </c>
      <c r="L717" s="26" t="s">
        <v>28</v>
      </c>
      <c r="M717" s="27">
        <v>1447</v>
      </c>
      <c r="N717" s="28"/>
      <c r="O717" s="26" t="s">
        <v>29</v>
      </c>
      <c r="P717" s="29"/>
      <c r="Q717" s="6"/>
      <c r="R717" s="29"/>
      <c r="S717" s="10"/>
      <c r="T717" s="8"/>
    </row>
    <row r="718" spans="1:20" ht="15.75" customHeight="1" x14ac:dyDescent="0.35">
      <c r="A718" s="25" t="s">
        <v>754</v>
      </c>
      <c r="B718" s="25" t="s">
        <v>876</v>
      </c>
      <c r="C718" s="26">
        <v>111220</v>
      </c>
      <c r="D718" s="25" t="s">
        <v>1003</v>
      </c>
      <c r="E718" s="25" t="s">
        <v>1004</v>
      </c>
      <c r="F718" s="26" t="s">
        <v>215</v>
      </c>
      <c r="G718" s="26" t="s">
        <v>215</v>
      </c>
      <c r="H718" s="26"/>
      <c r="I718" s="26"/>
      <c r="J718" s="26">
        <v>1</v>
      </c>
      <c r="K718" s="26">
        <v>138</v>
      </c>
      <c r="L718" s="26" t="s">
        <v>28</v>
      </c>
      <c r="M718" s="27">
        <v>1426</v>
      </c>
      <c r="N718" s="28"/>
      <c r="O718" s="26" t="s">
        <v>29</v>
      </c>
      <c r="P718" s="29"/>
      <c r="Q718" s="6"/>
      <c r="R718" s="29"/>
      <c r="S718" s="10"/>
      <c r="T718" s="8"/>
    </row>
    <row r="719" spans="1:20" ht="15.75" customHeight="1" x14ac:dyDescent="0.35">
      <c r="A719" s="25" t="s">
        <v>754</v>
      </c>
      <c r="B719" s="25" t="s">
        <v>876</v>
      </c>
      <c r="C719" s="26">
        <v>111225</v>
      </c>
      <c r="D719" s="25" t="s">
        <v>1005</v>
      </c>
      <c r="E719" s="25" t="s">
        <v>1004</v>
      </c>
      <c r="F719" s="26" t="s">
        <v>215</v>
      </c>
      <c r="G719" s="26" t="s">
        <v>215</v>
      </c>
      <c r="H719" s="26"/>
      <c r="I719" s="26"/>
      <c r="J719" s="26">
        <v>1</v>
      </c>
      <c r="K719" s="26">
        <v>138</v>
      </c>
      <c r="L719" s="26" t="s">
        <v>28</v>
      </c>
      <c r="M719" s="27">
        <v>1431</v>
      </c>
      <c r="N719" s="28"/>
      <c r="O719" s="26" t="s">
        <v>29</v>
      </c>
      <c r="P719" s="29"/>
      <c r="Q719" s="6"/>
      <c r="R719" s="29"/>
      <c r="S719" s="10"/>
      <c r="T719" s="8"/>
    </row>
    <row r="720" spans="1:20" ht="15.75" customHeight="1" x14ac:dyDescent="0.35">
      <c r="A720" s="25" t="s">
        <v>754</v>
      </c>
      <c r="B720" s="25" t="s">
        <v>876</v>
      </c>
      <c r="C720" s="26">
        <v>111229</v>
      </c>
      <c r="D720" s="25" t="s">
        <v>1006</v>
      </c>
      <c r="E720" s="25" t="s">
        <v>1004</v>
      </c>
      <c r="F720" s="26" t="s">
        <v>215</v>
      </c>
      <c r="G720" s="26" t="s">
        <v>215</v>
      </c>
      <c r="H720" s="26"/>
      <c r="I720" s="26"/>
      <c r="J720" s="26">
        <v>1</v>
      </c>
      <c r="K720" s="26">
        <v>138</v>
      </c>
      <c r="L720" s="26" t="s">
        <v>28</v>
      </c>
      <c r="M720" s="27">
        <v>1436</v>
      </c>
      <c r="N720" s="28"/>
      <c r="O720" s="26" t="s">
        <v>29</v>
      </c>
      <c r="P720" s="29"/>
      <c r="Q720" s="6"/>
      <c r="R720" s="29"/>
      <c r="S720" s="10"/>
      <c r="T720" s="8"/>
    </row>
    <row r="721" spans="1:20" ht="15.75" customHeight="1" x14ac:dyDescent="0.35">
      <c r="A721" s="25" t="s">
        <v>754</v>
      </c>
      <c r="B721" s="25" t="s">
        <v>876</v>
      </c>
      <c r="C721" s="26">
        <v>111233</v>
      </c>
      <c r="D721" s="25" t="s">
        <v>1007</v>
      </c>
      <c r="E721" s="25" t="s">
        <v>1004</v>
      </c>
      <c r="F721" s="26" t="s">
        <v>215</v>
      </c>
      <c r="G721" s="26" t="s">
        <v>215</v>
      </c>
      <c r="H721" s="26"/>
      <c r="I721" s="26"/>
      <c r="J721" s="26">
        <v>1</v>
      </c>
      <c r="K721" s="26">
        <v>138</v>
      </c>
      <c r="L721" s="26" t="s">
        <v>28</v>
      </c>
      <c r="M721" s="27">
        <v>1444</v>
      </c>
      <c r="N721" s="28"/>
      <c r="O721" s="26" t="s">
        <v>29</v>
      </c>
      <c r="P721" s="29"/>
      <c r="Q721" s="6"/>
      <c r="R721" s="29"/>
      <c r="S721" s="10"/>
      <c r="T721" s="8"/>
    </row>
    <row r="722" spans="1:20" ht="15.75" customHeight="1" x14ac:dyDescent="0.35">
      <c r="A722" s="25" t="s">
        <v>754</v>
      </c>
      <c r="B722" s="25" t="s">
        <v>876</v>
      </c>
      <c r="C722" s="26">
        <v>111239</v>
      </c>
      <c r="D722" s="25" t="s">
        <v>1008</v>
      </c>
      <c r="E722" s="25" t="s">
        <v>1004</v>
      </c>
      <c r="F722" s="26" t="s">
        <v>215</v>
      </c>
      <c r="G722" s="26" t="s">
        <v>215</v>
      </c>
      <c r="H722" s="26"/>
      <c r="I722" s="26"/>
      <c r="J722" s="26">
        <v>1</v>
      </c>
      <c r="K722" s="26">
        <v>138</v>
      </c>
      <c r="L722" s="26" t="s">
        <v>28</v>
      </c>
      <c r="M722" s="27">
        <v>1446</v>
      </c>
      <c r="N722" s="28"/>
      <c r="O722" s="26" t="s">
        <v>29</v>
      </c>
      <c r="P722" s="29"/>
      <c r="Q722" s="6"/>
      <c r="R722" s="29"/>
      <c r="S722" s="10"/>
      <c r="T722" s="8"/>
    </row>
    <row r="723" spans="1:20" ht="15.75" customHeight="1" x14ac:dyDescent="0.35">
      <c r="A723" s="25" t="s">
        <v>754</v>
      </c>
      <c r="B723" s="25" t="s">
        <v>876</v>
      </c>
      <c r="C723" s="26">
        <v>111247</v>
      </c>
      <c r="D723" s="25" t="s">
        <v>1009</v>
      </c>
      <c r="E723" s="25" t="s">
        <v>1004</v>
      </c>
      <c r="F723" s="26" t="s">
        <v>215</v>
      </c>
      <c r="G723" s="26" t="s">
        <v>215</v>
      </c>
      <c r="H723" s="26"/>
      <c r="I723" s="26"/>
      <c r="J723" s="26">
        <v>1</v>
      </c>
      <c r="K723" s="26">
        <v>138</v>
      </c>
      <c r="L723" s="26" t="s">
        <v>28</v>
      </c>
      <c r="M723" s="27">
        <v>1455</v>
      </c>
      <c r="N723" s="28"/>
      <c r="O723" s="26" t="s">
        <v>29</v>
      </c>
      <c r="P723" s="29"/>
      <c r="Q723" s="6"/>
      <c r="R723" s="29"/>
      <c r="S723" s="10"/>
      <c r="T723" s="8"/>
    </row>
    <row r="724" spans="1:20" ht="15.75" customHeight="1" x14ac:dyDescent="0.35">
      <c r="A724" s="25" t="s">
        <v>754</v>
      </c>
      <c r="B724" s="25" t="s">
        <v>876</v>
      </c>
      <c r="C724" s="26">
        <v>170501</v>
      </c>
      <c r="D724" s="25" t="s">
        <v>1010</v>
      </c>
      <c r="E724" s="25" t="s">
        <v>922</v>
      </c>
      <c r="F724" s="26" t="s">
        <v>90</v>
      </c>
      <c r="G724" s="26" t="s">
        <v>90</v>
      </c>
      <c r="H724" s="26"/>
      <c r="I724" s="26"/>
      <c r="J724" s="26">
        <v>1</v>
      </c>
      <c r="K724" s="26">
        <v>138</v>
      </c>
      <c r="L724" s="26" t="s">
        <v>28</v>
      </c>
      <c r="M724" s="27">
        <v>1471</v>
      </c>
      <c r="N724" s="28"/>
      <c r="O724" s="26" t="s">
        <v>29</v>
      </c>
      <c r="P724" s="29"/>
      <c r="Q724" s="6"/>
      <c r="R724" s="29"/>
      <c r="S724" s="10"/>
      <c r="T724" s="8"/>
    </row>
    <row r="725" spans="1:20" ht="15.75" customHeight="1" x14ac:dyDescent="0.35">
      <c r="A725" s="25" t="s">
        <v>754</v>
      </c>
      <c r="B725" s="25" t="s">
        <v>876</v>
      </c>
      <c r="C725" s="26">
        <v>170505</v>
      </c>
      <c r="D725" s="25" t="s">
        <v>1011</v>
      </c>
      <c r="E725" s="25" t="s">
        <v>968</v>
      </c>
      <c r="F725" s="26" t="s">
        <v>215</v>
      </c>
      <c r="G725" s="26" t="s">
        <v>215</v>
      </c>
      <c r="H725" s="26"/>
      <c r="I725" s="26"/>
      <c r="J725" s="26">
        <v>1</v>
      </c>
      <c r="K725" s="26">
        <v>138</v>
      </c>
      <c r="L725" s="26" t="s">
        <v>28</v>
      </c>
      <c r="M725" s="27">
        <v>1433</v>
      </c>
      <c r="N725" s="28"/>
      <c r="O725" s="26" t="s">
        <v>29</v>
      </c>
      <c r="P725" s="29"/>
      <c r="Q725" s="6"/>
      <c r="R725" s="29"/>
      <c r="S725" s="10"/>
      <c r="T725" s="8"/>
    </row>
    <row r="726" spans="1:20" ht="15.75" customHeight="1" x14ac:dyDescent="0.35">
      <c r="A726" s="25" t="s">
        <v>754</v>
      </c>
      <c r="B726" s="25" t="s">
        <v>876</v>
      </c>
      <c r="C726" s="26">
        <v>170506</v>
      </c>
      <c r="D726" s="25" t="s">
        <v>1012</v>
      </c>
      <c r="E726" s="25" t="s">
        <v>891</v>
      </c>
      <c r="F726" s="26" t="s">
        <v>215</v>
      </c>
      <c r="G726" s="26" t="s">
        <v>215</v>
      </c>
      <c r="H726" s="26"/>
      <c r="I726" s="26"/>
      <c r="J726" s="26">
        <v>1</v>
      </c>
      <c r="K726" s="26">
        <v>138</v>
      </c>
      <c r="L726" s="26" t="s">
        <v>28</v>
      </c>
      <c r="M726" s="27">
        <v>1452</v>
      </c>
      <c r="N726" s="28"/>
      <c r="O726" s="26" t="s">
        <v>29</v>
      </c>
      <c r="P726" s="29"/>
      <c r="Q726" s="6"/>
      <c r="R726" s="29"/>
      <c r="S726" s="10"/>
      <c r="T726" s="8"/>
    </row>
    <row r="727" spans="1:20" ht="15.75" customHeight="1" x14ac:dyDescent="0.35">
      <c r="A727" s="25" t="s">
        <v>754</v>
      </c>
      <c r="B727" s="25" t="s">
        <v>876</v>
      </c>
      <c r="C727" s="26">
        <v>170507</v>
      </c>
      <c r="D727" s="25" t="s">
        <v>1013</v>
      </c>
      <c r="E727" s="25" t="s">
        <v>978</v>
      </c>
      <c r="F727" s="26" t="s">
        <v>90</v>
      </c>
      <c r="G727" s="26" t="s">
        <v>90</v>
      </c>
      <c r="H727" s="26"/>
      <c r="I727" s="26"/>
      <c r="J727" s="26">
        <v>1</v>
      </c>
      <c r="K727" s="26">
        <v>138</v>
      </c>
      <c r="L727" s="26" t="s">
        <v>28</v>
      </c>
      <c r="M727" s="27">
        <v>1485</v>
      </c>
      <c r="N727" s="28"/>
      <c r="O727" s="26" t="s">
        <v>29</v>
      </c>
      <c r="P727" s="29"/>
      <c r="Q727" s="6"/>
      <c r="R727" s="29"/>
      <c r="S727" s="10"/>
      <c r="T727" s="8"/>
    </row>
    <row r="728" spans="1:20" ht="15.75" customHeight="1" x14ac:dyDescent="0.35">
      <c r="A728" s="25" t="s">
        <v>754</v>
      </c>
      <c r="B728" s="25" t="s">
        <v>876</v>
      </c>
      <c r="C728" s="26">
        <v>170508</v>
      </c>
      <c r="D728" s="25" t="s">
        <v>1014</v>
      </c>
      <c r="E728" s="25" t="s">
        <v>978</v>
      </c>
      <c r="F728" s="26" t="s">
        <v>90</v>
      </c>
      <c r="G728" s="26" t="s">
        <v>90</v>
      </c>
      <c r="H728" s="26"/>
      <c r="I728" s="26"/>
      <c r="J728" s="26">
        <v>1</v>
      </c>
      <c r="K728" s="26">
        <v>138</v>
      </c>
      <c r="L728" s="26" t="s">
        <v>28</v>
      </c>
      <c r="M728" s="27">
        <v>1491</v>
      </c>
      <c r="N728" s="28"/>
      <c r="O728" s="26" t="s">
        <v>29</v>
      </c>
      <c r="P728" s="29"/>
      <c r="Q728" s="6"/>
      <c r="R728" s="29"/>
      <c r="S728" s="10"/>
      <c r="T728" s="8"/>
    </row>
    <row r="729" spans="1:20" ht="15.75" customHeight="1" x14ac:dyDescent="0.35">
      <c r="A729" s="25" t="s">
        <v>754</v>
      </c>
      <c r="B729" s="25" t="s">
        <v>876</v>
      </c>
      <c r="C729" s="26">
        <v>170509</v>
      </c>
      <c r="D729" s="25" t="s">
        <v>1015</v>
      </c>
      <c r="E729" s="25" t="s">
        <v>966</v>
      </c>
      <c r="F729" s="26" t="s">
        <v>215</v>
      </c>
      <c r="G729" s="26" t="s">
        <v>215</v>
      </c>
      <c r="H729" s="26"/>
      <c r="I729" s="26"/>
      <c r="J729" s="26">
        <v>1</v>
      </c>
      <c r="K729" s="26">
        <v>138</v>
      </c>
      <c r="L729" s="26" t="s">
        <v>28</v>
      </c>
      <c r="M729" s="27">
        <v>1416</v>
      </c>
      <c r="N729" s="28"/>
      <c r="O729" s="26" t="s">
        <v>29</v>
      </c>
      <c r="P729" s="29"/>
      <c r="Q729" s="6"/>
      <c r="R729" s="29"/>
      <c r="S729" s="10"/>
      <c r="T729" s="8"/>
    </row>
    <row r="730" spans="1:20" ht="15.75" customHeight="1" x14ac:dyDescent="0.35">
      <c r="A730" s="25" t="s">
        <v>754</v>
      </c>
      <c r="B730" s="25" t="s">
        <v>876</v>
      </c>
      <c r="C730" s="26">
        <v>170511</v>
      </c>
      <c r="D730" s="25" t="s">
        <v>1016</v>
      </c>
      <c r="E730" s="25" t="s">
        <v>976</v>
      </c>
      <c r="F730" s="26" t="s">
        <v>90</v>
      </c>
      <c r="G730" s="26" t="s">
        <v>90</v>
      </c>
      <c r="H730" s="26"/>
      <c r="I730" s="26"/>
      <c r="J730" s="26">
        <v>1</v>
      </c>
      <c r="K730" s="26">
        <v>138</v>
      </c>
      <c r="L730" s="26" t="s">
        <v>28</v>
      </c>
      <c r="M730" s="27">
        <v>1552</v>
      </c>
      <c r="N730" s="28"/>
      <c r="O730" s="26" t="s">
        <v>29</v>
      </c>
      <c r="P730" s="29"/>
      <c r="Q730" s="6"/>
      <c r="R730" s="29"/>
      <c r="S730" s="10"/>
      <c r="T730" s="8"/>
    </row>
    <row r="731" spans="1:20" ht="15.75" customHeight="1" x14ac:dyDescent="0.35">
      <c r="A731" s="25" t="s">
        <v>754</v>
      </c>
      <c r="B731" s="25" t="s">
        <v>876</v>
      </c>
      <c r="C731" s="26">
        <v>170512</v>
      </c>
      <c r="D731" s="25" t="s">
        <v>1017</v>
      </c>
      <c r="E731" s="25" t="s">
        <v>564</v>
      </c>
      <c r="F731" s="26" t="s">
        <v>215</v>
      </c>
      <c r="G731" s="26" t="s">
        <v>215</v>
      </c>
      <c r="H731" s="26">
        <v>1</v>
      </c>
      <c r="I731" s="26">
        <v>2</v>
      </c>
      <c r="J731" s="26">
        <v>1</v>
      </c>
      <c r="K731" s="26">
        <v>138</v>
      </c>
      <c r="L731" s="26" t="s">
        <v>28</v>
      </c>
      <c r="M731" s="27">
        <v>1449</v>
      </c>
      <c r="N731" s="28">
        <v>230019.54</v>
      </c>
      <c r="O731" s="26" t="s">
        <v>29</v>
      </c>
      <c r="P731" s="29"/>
      <c r="Q731" s="6"/>
      <c r="R731" s="29"/>
      <c r="S731" s="10"/>
      <c r="T731" s="8">
        <v>1</v>
      </c>
    </row>
    <row r="732" spans="1:20" ht="15.75" customHeight="1" x14ac:dyDescent="0.35">
      <c r="A732" s="25" t="s">
        <v>754</v>
      </c>
      <c r="B732" s="25" t="s">
        <v>876</v>
      </c>
      <c r="C732" s="26">
        <v>170513</v>
      </c>
      <c r="D732" s="25" t="s">
        <v>1018</v>
      </c>
      <c r="E732" s="25" t="s">
        <v>978</v>
      </c>
      <c r="F732" s="26" t="s">
        <v>90</v>
      </c>
      <c r="G732" s="26" t="s">
        <v>90</v>
      </c>
      <c r="H732" s="26"/>
      <c r="I732" s="26"/>
      <c r="J732" s="26">
        <v>1</v>
      </c>
      <c r="K732" s="26">
        <v>138</v>
      </c>
      <c r="L732" s="26" t="s">
        <v>28</v>
      </c>
      <c r="M732" s="27">
        <v>1502</v>
      </c>
      <c r="N732" s="28"/>
      <c r="O732" s="26" t="s">
        <v>29</v>
      </c>
      <c r="P732" s="29"/>
      <c r="Q732" s="6"/>
      <c r="R732" s="29"/>
      <c r="S732" s="10"/>
      <c r="T732" s="8"/>
    </row>
    <row r="733" spans="1:20" ht="15.75" customHeight="1" x14ac:dyDescent="0.35">
      <c r="A733" s="25" t="s">
        <v>754</v>
      </c>
      <c r="B733" s="25" t="s">
        <v>876</v>
      </c>
      <c r="C733" s="26">
        <v>170516</v>
      </c>
      <c r="D733" s="25" t="s">
        <v>1019</v>
      </c>
      <c r="E733" s="25" t="s">
        <v>889</v>
      </c>
      <c r="F733" s="26" t="s">
        <v>215</v>
      </c>
      <c r="G733" s="26" t="s">
        <v>215</v>
      </c>
      <c r="H733" s="26"/>
      <c r="I733" s="26"/>
      <c r="J733" s="26">
        <v>1</v>
      </c>
      <c r="K733" s="26">
        <v>138</v>
      </c>
      <c r="L733" s="26" t="s">
        <v>28</v>
      </c>
      <c r="M733" s="27">
        <v>1442</v>
      </c>
      <c r="N733" s="28"/>
      <c r="O733" s="26" t="s">
        <v>29</v>
      </c>
      <c r="P733" s="29"/>
      <c r="Q733" s="6"/>
      <c r="R733" s="29"/>
      <c r="S733" s="10"/>
      <c r="T733" s="8"/>
    </row>
    <row r="734" spans="1:20" ht="15.75" customHeight="1" x14ac:dyDescent="0.35">
      <c r="A734" s="25" t="s">
        <v>754</v>
      </c>
      <c r="B734" s="25" t="s">
        <v>876</v>
      </c>
      <c r="C734" s="26">
        <v>170531</v>
      </c>
      <c r="D734" s="25" t="s">
        <v>1020</v>
      </c>
      <c r="E734" s="25" t="s">
        <v>900</v>
      </c>
      <c r="F734" s="26" t="s">
        <v>90</v>
      </c>
      <c r="G734" s="26" t="s">
        <v>90</v>
      </c>
      <c r="H734" s="26"/>
      <c r="I734" s="26"/>
      <c r="J734" s="26">
        <v>1</v>
      </c>
      <c r="K734" s="26">
        <v>138</v>
      </c>
      <c r="L734" s="26" t="s">
        <v>28</v>
      </c>
      <c r="M734" s="27">
        <v>1479</v>
      </c>
      <c r="N734" s="28"/>
      <c r="O734" s="26" t="s">
        <v>29</v>
      </c>
      <c r="P734" s="29"/>
      <c r="Q734" s="6"/>
      <c r="R734" s="29"/>
      <c r="S734" s="10"/>
      <c r="T734" s="8"/>
    </row>
    <row r="735" spans="1:20" ht="15.75" customHeight="1" x14ac:dyDescent="0.35">
      <c r="A735" s="25" t="s">
        <v>754</v>
      </c>
      <c r="B735" s="25" t="s">
        <v>876</v>
      </c>
      <c r="C735" s="26">
        <v>170533</v>
      </c>
      <c r="D735" s="25" t="s">
        <v>1021</v>
      </c>
      <c r="E735" s="25" t="s">
        <v>1022</v>
      </c>
      <c r="F735" s="26" t="s">
        <v>215</v>
      </c>
      <c r="G735" s="26" t="s">
        <v>215</v>
      </c>
      <c r="H735" s="26">
        <v>1</v>
      </c>
      <c r="I735" s="26">
        <v>8</v>
      </c>
      <c r="J735" s="26">
        <v>1</v>
      </c>
      <c r="K735" s="26">
        <v>138</v>
      </c>
      <c r="L735" s="26" t="s">
        <v>28</v>
      </c>
      <c r="M735" s="27">
        <v>1424</v>
      </c>
      <c r="N735" s="28">
        <v>744618.06</v>
      </c>
      <c r="O735" s="26" t="s">
        <v>29</v>
      </c>
      <c r="P735" s="29"/>
      <c r="Q735" s="6"/>
      <c r="R735" s="29"/>
      <c r="S735" s="10"/>
      <c r="T735" s="8">
        <v>1</v>
      </c>
    </row>
    <row r="736" spans="1:20" ht="15.75" customHeight="1" x14ac:dyDescent="0.35">
      <c r="A736" s="25" t="s">
        <v>754</v>
      </c>
      <c r="B736" s="25" t="s">
        <v>876</v>
      </c>
      <c r="C736" s="26">
        <v>170534</v>
      </c>
      <c r="D736" s="25" t="s">
        <v>1023</v>
      </c>
      <c r="E736" s="25" t="s">
        <v>1004</v>
      </c>
      <c r="F736" s="26" t="s">
        <v>215</v>
      </c>
      <c r="G736" s="26" t="s">
        <v>215</v>
      </c>
      <c r="H736" s="26"/>
      <c r="I736" s="26"/>
      <c r="J736" s="26">
        <v>1</v>
      </c>
      <c r="K736" s="26">
        <v>138</v>
      </c>
      <c r="L736" s="26" t="s">
        <v>28</v>
      </c>
      <c r="M736" s="27">
        <v>1448</v>
      </c>
      <c r="N736" s="28"/>
      <c r="O736" s="26" t="s">
        <v>29</v>
      </c>
      <c r="P736" s="29"/>
      <c r="Q736" s="6"/>
      <c r="R736" s="29"/>
      <c r="S736" s="10"/>
      <c r="T736" s="8"/>
    </row>
    <row r="737" spans="1:20" ht="15.75" customHeight="1" x14ac:dyDescent="0.35">
      <c r="A737" s="25" t="s">
        <v>754</v>
      </c>
      <c r="B737" s="25" t="s">
        <v>876</v>
      </c>
      <c r="C737" s="26">
        <v>170538</v>
      </c>
      <c r="D737" s="25" t="s">
        <v>1024</v>
      </c>
      <c r="E737" s="25" t="s">
        <v>1025</v>
      </c>
      <c r="F737" s="26" t="s">
        <v>215</v>
      </c>
      <c r="G737" s="26" t="s">
        <v>215</v>
      </c>
      <c r="H737" s="26"/>
      <c r="I737" s="26"/>
      <c r="J737" s="26">
        <v>1</v>
      </c>
      <c r="K737" s="26">
        <v>138</v>
      </c>
      <c r="L737" s="26" t="s">
        <v>28</v>
      </c>
      <c r="M737" s="27">
        <v>1418</v>
      </c>
      <c r="N737" s="28"/>
      <c r="O737" s="26" t="s">
        <v>29</v>
      </c>
      <c r="P737" s="29"/>
      <c r="Q737" s="6"/>
      <c r="R737" s="29"/>
      <c r="S737" s="10"/>
      <c r="T737" s="8"/>
    </row>
    <row r="738" spans="1:20" ht="15.75" customHeight="1" x14ac:dyDescent="0.35">
      <c r="A738" s="25" t="s">
        <v>754</v>
      </c>
      <c r="B738" s="25" t="s">
        <v>876</v>
      </c>
      <c r="C738" s="26">
        <v>170539</v>
      </c>
      <c r="D738" s="25" t="s">
        <v>1026</v>
      </c>
      <c r="E738" s="25" t="s">
        <v>966</v>
      </c>
      <c r="F738" s="26" t="s">
        <v>215</v>
      </c>
      <c r="G738" s="26" t="s">
        <v>215</v>
      </c>
      <c r="H738" s="26"/>
      <c r="I738" s="26"/>
      <c r="J738" s="26">
        <v>1</v>
      </c>
      <c r="K738" s="26">
        <v>138</v>
      </c>
      <c r="L738" s="26" t="s">
        <v>28</v>
      </c>
      <c r="M738" s="27">
        <v>1454</v>
      </c>
      <c r="N738" s="28"/>
      <c r="O738" s="26" t="s">
        <v>29</v>
      </c>
      <c r="P738" s="29"/>
      <c r="Q738" s="6"/>
      <c r="R738" s="29"/>
      <c r="S738" s="10"/>
      <c r="T738" s="8"/>
    </row>
    <row r="739" spans="1:20" ht="15.75" customHeight="1" x14ac:dyDescent="0.35">
      <c r="A739" s="25" t="s">
        <v>754</v>
      </c>
      <c r="B739" s="25" t="s">
        <v>876</v>
      </c>
      <c r="C739" s="26">
        <v>170545</v>
      </c>
      <c r="D739" s="25" t="s">
        <v>1027</v>
      </c>
      <c r="E739" s="25" t="s">
        <v>788</v>
      </c>
      <c r="F739" s="26" t="s">
        <v>215</v>
      </c>
      <c r="G739" s="26" t="s">
        <v>215</v>
      </c>
      <c r="H739" s="26"/>
      <c r="I739" s="26"/>
      <c r="J739" s="26">
        <v>1</v>
      </c>
      <c r="K739" s="26">
        <v>138</v>
      </c>
      <c r="L739" s="26" t="s">
        <v>28</v>
      </c>
      <c r="M739" s="27">
        <v>1461</v>
      </c>
      <c r="N739" s="28"/>
      <c r="O739" s="26" t="s">
        <v>29</v>
      </c>
      <c r="P739" s="29"/>
      <c r="Q739" s="6"/>
      <c r="R739" s="29"/>
      <c r="S739" s="10"/>
      <c r="T739" s="8"/>
    </row>
    <row r="740" spans="1:20" ht="15.75" customHeight="1" x14ac:dyDescent="0.35">
      <c r="A740" s="25" t="s">
        <v>754</v>
      </c>
      <c r="B740" s="25" t="s">
        <v>876</v>
      </c>
      <c r="C740" s="26">
        <v>170547</v>
      </c>
      <c r="D740" s="25" t="s">
        <v>1028</v>
      </c>
      <c r="E740" s="25" t="s">
        <v>978</v>
      </c>
      <c r="F740" s="26" t="s">
        <v>90</v>
      </c>
      <c r="G740" s="26" t="s">
        <v>90</v>
      </c>
      <c r="H740" s="26"/>
      <c r="I740" s="26"/>
      <c r="J740" s="26">
        <v>1</v>
      </c>
      <c r="K740" s="26">
        <v>138</v>
      </c>
      <c r="L740" s="26" t="s">
        <v>28</v>
      </c>
      <c r="M740" s="27">
        <v>1484</v>
      </c>
      <c r="N740" s="28"/>
      <c r="O740" s="26" t="s">
        <v>29</v>
      </c>
      <c r="P740" s="29"/>
      <c r="Q740" s="6"/>
      <c r="R740" s="29"/>
      <c r="S740" s="10"/>
      <c r="T740" s="8"/>
    </row>
    <row r="741" spans="1:20" ht="15.75" customHeight="1" x14ac:dyDescent="0.35">
      <c r="A741" s="25" t="s">
        <v>754</v>
      </c>
      <c r="B741" s="25" t="s">
        <v>876</v>
      </c>
      <c r="C741" s="26">
        <v>170548</v>
      </c>
      <c r="D741" s="25" t="s">
        <v>1029</v>
      </c>
      <c r="E741" s="25" t="s">
        <v>978</v>
      </c>
      <c r="F741" s="26" t="s">
        <v>90</v>
      </c>
      <c r="G741" s="26" t="s">
        <v>90</v>
      </c>
      <c r="H741" s="26"/>
      <c r="I741" s="26"/>
      <c r="J741" s="26">
        <v>1</v>
      </c>
      <c r="K741" s="26">
        <v>138</v>
      </c>
      <c r="L741" s="26" t="s">
        <v>28</v>
      </c>
      <c r="M741" s="27">
        <v>1534</v>
      </c>
      <c r="N741" s="28"/>
      <c r="O741" s="26" t="s">
        <v>29</v>
      </c>
      <c r="P741" s="29"/>
      <c r="Q741" s="6"/>
      <c r="R741" s="29"/>
      <c r="S741" s="10"/>
      <c r="T741" s="8"/>
    </row>
    <row r="742" spans="1:20" ht="15.75" customHeight="1" x14ac:dyDescent="0.35">
      <c r="A742" s="25" t="s">
        <v>754</v>
      </c>
      <c r="B742" s="25" t="s">
        <v>876</v>
      </c>
      <c r="C742" s="26">
        <v>170549</v>
      </c>
      <c r="D742" s="25" t="s">
        <v>1030</v>
      </c>
      <c r="E742" s="25" t="s">
        <v>966</v>
      </c>
      <c r="F742" s="26" t="s">
        <v>215</v>
      </c>
      <c r="G742" s="26" t="s">
        <v>215</v>
      </c>
      <c r="H742" s="26"/>
      <c r="I742" s="26"/>
      <c r="J742" s="26">
        <v>1</v>
      </c>
      <c r="K742" s="26">
        <v>138</v>
      </c>
      <c r="L742" s="26" t="s">
        <v>28</v>
      </c>
      <c r="M742" s="27">
        <v>1434</v>
      </c>
      <c r="N742" s="28"/>
      <c r="O742" s="26" t="s">
        <v>29</v>
      </c>
      <c r="P742" s="29"/>
      <c r="Q742" s="6"/>
      <c r="R742" s="29"/>
      <c r="S742" s="10"/>
      <c r="T742" s="8"/>
    </row>
    <row r="743" spans="1:20" ht="15.75" customHeight="1" x14ac:dyDescent="0.35">
      <c r="A743" s="25" t="s">
        <v>754</v>
      </c>
      <c r="B743" s="25" t="s">
        <v>876</v>
      </c>
      <c r="C743" s="26">
        <v>170551</v>
      </c>
      <c r="D743" s="25" t="s">
        <v>1031</v>
      </c>
      <c r="E743" s="25" t="s">
        <v>936</v>
      </c>
      <c r="F743" s="26" t="s">
        <v>90</v>
      </c>
      <c r="G743" s="26" t="s">
        <v>90</v>
      </c>
      <c r="H743" s="26"/>
      <c r="I743" s="26"/>
      <c r="J743" s="26">
        <v>1</v>
      </c>
      <c r="K743" s="26">
        <v>138</v>
      </c>
      <c r="L743" s="26" t="s">
        <v>28</v>
      </c>
      <c r="M743" s="27">
        <v>1558</v>
      </c>
      <c r="N743" s="28"/>
      <c r="O743" s="26" t="s">
        <v>29</v>
      </c>
      <c r="P743" s="29"/>
      <c r="Q743" s="6"/>
      <c r="R743" s="29"/>
      <c r="S743" s="10"/>
      <c r="T743" s="8"/>
    </row>
    <row r="744" spans="1:20" ht="15.75" customHeight="1" x14ac:dyDescent="0.35">
      <c r="A744" s="25" t="s">
        <v>754</v>
      </c>
      <c r="B744" s="25" t="s">
        <v>876</v>
      </c>
      <c r="C744" s="26">
        <v>170554</v>
      </c>
      <c r="D744" s="25" t="s">
        <v>1032</v>
      </c>
      <c r="E744" s="25" t="s">
        <v>922</v>
      </c>
      <c r="F744" s="26" t="s">
        <v>90</v>
      </c>
      <c r="G744" s="26" t="s">
        <v>90</v>
      </c>
      <c r="H744" s="26"/>
      <c r="I744" s="26"/>
      <c r="J744" s="26">
        <v>1</v>
      </c>
      <c r="K744" s="26">
        <v>138</v>
      </c>
      <c r="L744" s="26" t="s">
        <v>28</v>
      </c>
      <c r="M744" s="27">
        <v>1517</v>
      </c>
      <c r="N744" s="28"/>
      <c r="O744" s="26" t="s">
        <v>29</v>
      </c>
      <c r="P744" s="29"/>
      <c r="Q744" s="6"/>
      <c r="R744" s="29"/>
      <c r="S744" s="10"/>
      <c r="T744" s="8"/>
    </row>
    <row r="745" spans="1:20" ht="15.75" customHeight="1" x14ac:dyDescent="0.35">
      <c r="A745" s="25" t="s">
        <v>754</v>
      </c>
      <c r="B745" s="25" t="s">
        <v>876</v>
      </c>
      <c r="C745" s="26">
        <v>170555</v>
      </c>
      <c r="D745" s="25" t="s">
        <v>1033</v>
      </c>
      <c r="E745" s="25" t="s">
        <v>878</v>
      </c>
      <c r="F745" s="26" t="s">
        <v>90</v>
      </c>
      <c r="G745" s="26" t="s">
        <v>90</v>
      </c>
      <c r="H745" s="26"/>
      <c r="I745" s="26"/>
      <c r="J745" s="26">
        <v>1</v>
      </c>
      <c r="K745" s="26">
        <v>138</v>
      </c>
      <c r="L745" s="26" t="s">
        <v>28</v>
      </c>
      <c r="M745" s="27">
        <v>1547</v>
      </c>
      <c r="N745" s="28"/>
      <c r="O745" s="26" t="s">
        <v>29</v>
      </c>
      <c r="P745" s="29"/>
      <c r="Q745" s="6"/>
      <c r="R745" s="29"/>
      <c r="S745" s="10"/>
      <c r="T745" s="8"/>
    </row>
    <row r="746" spans="1:20" ht="15.75" customHeight="1" x14ac:dyDescent="0.35">
      <c r="A746" s="25" t="s">
        <v>754</v>
      </c>
      <c r="B746" s="25" t="s">
        <v>876</v>
      </c>
      <c r="C746" s="26">
        <v>170556</v>
      </c>
      <c r="D746" s="25" t="s">
        <v>1034</v>
      </c>
      <c r="E746" s="25" t="s">
        <v>878</v>
      </c>
      <c r="F746" s="26" t="s">
        <v>90</v>
      </c>
      <c r="G746" s="26" t="s">
        <v>90</v>
      </c>
      <c r="H746" s="26">
        <v>1</v>
      </c>
      <c r="I746" s="26">
        <v>5</v>
      </c>
      <c r="J746" s="26">
        <v>1</v>
      </c>
      <c r="K746" s="26">
        <v>138</v>
      </c>
      <c r="L746" s="26" t="s">
        <v>28</v>
      </c>
      <c r="M746" s="27">
        <v>1557</v>
      </c>
      <c r="N746" s="28">
        <v>502744.54</v>
      </c>
      <c r="O746" s="26" t="s">
        <v>29</v>
      </c>
      <c r="P746" s="29"/>
      <c r="Q746" s="6"/>
      <c r="R746" s="29"/>
      <c r="S746" s="10"/>
      <c r="T746" s="8">
        <v>1</v>
      </c>
    </row>
    <row r="747" spans="1:20" ht="15.75" customHeight="1" x14ac:dyDescent="0.35">
      <c r="A747" s="25" t="s">
        <v>754</v>
      </c>
      <c r="B747" s="25" t="s">
        <v>876</v>
      </c>
      <c r="C747" s="26">
        <v>170559</v>
      </c>
      <c r="D747" s="25" t="s">
        <v>1035</v>
      </c>
      <c r="E747" s="25" t="s">
        <v>943</v>
      </c>
      <c r="F747" s="26" t="s">
        <v>90</v>
      </c>
      <c r="G747" s="26" t="s">
        <v>90</v>
      </c>
      <c r="H747" s="26"/>
      <c r="I747" s="26"/>
      <c r="J747" s="26">
        <v>1</v>
      </c>
      <c r="K747" s="26">
        <v>138</v>
      </c>
      <c r="L747" s="26" t="s">
        <v>28</v>
      </c>
      <c r="M747" s="27">
        <v>1526</v>
      </c>
      <c r="N747" s="28"/>
      <c r="O747" s="26" t="s">
        <v>29</v>
      </c>
      <c r="P747" s="29"/>
      <c r="Q747" s="6"/>
      <c r="R747" s="29"/>
      <c r="S747" s="10"/>
      <c r="T747" s="8"/>
    </row>
    <row r="748" spans="1:20" ht="15.75" customHeight="1" x14ac:dyDescent="0.35">
      <c r="A748" s="25" t="s">
        <v>754</v>
      </c>
      <c r="B748" s="25" t="s">
        <v>876</v>
      </c>
      <c r="C748" s="26">
        <v>170560</v>
      </c>
      <c r="D748" s="25" t="s">
        <v>1036</v>
      </c>
      <c r="E748" s="25" t="s">
        <v>943</v>
      </c>
      <c r="F748" s="26" t="s">
        <v>90</v>
      </c>
      <c r="G748" s="26" t="s">
        <v>90</v>
      </c>
      <c r="H748" s="26"/>
      <c r="I748" s="26"/>
      <c r="J748" s="26">
        <v>1</v>
      </c>
      <c r="K748" s="26">
        <v>138</v>
      </c>
      <c r="L748" s="26" t="s">
        <v>28</v>
      </c>
      <c r="M748" s="27">
        <v>1513</v>
      </c>
      <c r="N748" s="28"/>
      <c r="O748" s="26" t="s">
        <v>29</v>
      </c>
      <c r="P748" s="29"/>
      <c r="Q748" s="6"/>
      <c r="R748" s="29"/>
      <c r="S748" s="10"/>
      <c r="T748" s="8"/>
    </row>
    <row r="749" spans="1:20" ht="15.75" customHeight="1" x14ac:dyDescent="0.35">
      <c r="A749" s="25" t="s">
        <v>754</v>
      </c>
      <c r="B749" s="25" t="s">
        <v>876</v>
      </c>
      <c r="C749" s="26">
        <v>170563</v>
      </c>
      <c r="D749" s="25" t="s">
        <v>1037</v>
      </c>
      <c r="E749" s="25" t="s">
        <v>900</v>
      </c>
      <c r="F749" s="26" t="s">
        <v>90</v>
      </c>
      <c r="G749" s="26" t="s">
        <v>90</v>
      </c>
      <c r="H749" s="26"/>
      <c r="I749" s="26"/>
      <c r="J749" s="26">
        <v>1</v>
      </c>
      <c r="K749" s="26">
        <v>138</v>
      </c>
      <c r="L749" s="26" t="s">
        <v>28</v>
      </c>
      <c r="M749" s="27">
        <v>1499</v>
      </c>
      <c r="N749" s="28"/>
      <c r="O749" s="26" t="s">
        <v>29</v>
      </c>
      <c r="P749" s="29"/>
      <c r="Q749" s="6"/>
      <c r="R749" s="29"/>
      <c r="S749" s="10"/>
      <c r="T749" s="8"/>
    </row>
    <row r="750" spans="1:20" ht="15.75" customHeight="1" x14ac:dyDescent="0.35">
      <c r="A750" s="25" t="s">
        <v>754</v>
      </c>
      <c r="B750" s="25" t="s">
        <v>876</v>
      </c>
      <c r="C750" s="26">
        <v>170567</v>
      </c>
      <c r="D750" s="25" t="s">
        <v>1038</v>
      </c>
      <c r="E750" s="25" t="s">
        <v>978</v>
      </c>
      <c r="F750" s="26" t="s">
        <v>90</v>
      </c>
      <c r="G750" s="26" t="s">
        <v>90</v>
      </c>
      <c r="H750" s="26">
        <v>1</v>
      </c>
      <c r="I750" s="26">
        <v>3</v>
      </c>
      <c r="J750" s="26">
        <v>1</v>
      </c>
      <c r="K750" s="26">
        <v>138</v>
      </c>
      <c r="L750" s="26" t="s">
        <v>28</v>
      </c>
      <c r="M750" s="27">
        <v>1531</v>
      </c>
      <c r="N750" s="28">
        <v>595235.36</v>
      </c>
      <c r="O750" s="26" t="s">
        <v>29</v>
      </c>
      <c r="P750" s="29"/>
      <c r="Q750" s="6"/>
      <c r="R750" s="29"/>
      <c r="S750" s="10"/>
      <c r="T750" s="8">
        <v>1</v>
      </c>
    </row>
    <row r="751" spans="1:20" ht="15.75" customHeight="1" x14ac:dyDescent="0.35">
      <c r="A751" s="25" t="s">
        <v>754</v>
      </c>
      <c r="B751" s="25" t="s">
        <v>876</v>
      </c>
      <c r="C751" s="26">
        <v>170568</v>
      </c>
      <c r="D751" s="25" t="s">
        <v>1039</v>
      </c>
      <c r="E751" s="25" t="s">
        <v>943</v>
      </c>
      <c r="F751" s="26" t="s">
        <v>90</v>
      </c>
      <c r="G751" s="26" t="s">
        <v>90</v>
      </c>
      <c r="H751" s="26"/>
      <c r="I751" s="26"/>
      <c r="J751" s="26">
        <v>1</v>
      </c>
      <c r="K751" s="26">
        <v>138</v>
      </c>
      <c r="L751" s="26" t="s">
        <v>28</v>
      </c>
      <c r="M751" s="27">
        <v>1545</v>
      </c>
      <c r="N751" s="28"/>
      <c r="O751" s="26" t="s">
        <v>29</v>
      </c>
      <c r="P751" s="29"/>
      <c r="Q751" s="6"/>
      <c r="R751" s="29"/>
      <c r="S751" s="10"/>
      <c r="T751" s="8"/>
    </row>
    <row r="752" spans="1:20" ht="15.75" customHeight="1" x14ac:dyDescent="0.35">
      <c r="A752" s="25" t="s">
        <v>754</v>
      </c>
      <c r="B752" s="25" t="s">
        <v>876</v>
      </c>
      <c r="C752" s="26">
        <v>170574</v>
      </c>
      <c r="D752" s="25" t="s">
        <v>1040</v>
      </c>
      <c r="E752" s="25" t="s">
        <v>978</v>
      </c>
      <c r="F752" s="26" t="s">
        <v>90</v>
      </c>
      <c r="G752" s="26" t="s">
        <v>90</v>
      </c>
      <c r="H752" s="26"/>
      <c r="I752" s="26"/>
      <c r="J752" s="26">
        <v>1</v>
      </c>
      <c r="K752" s="26">
        <v>138</v>
      </c>
      <c r="L752" s="26" t="s">
        <v>28</v>
      </c>
      <c r="M752" s="27">
        <v>1489</v>
      </c>
      <c r="N752" s="28"/>
      <c r="O752" s="26" t="s">
        <v>29</v>
      </c>
      <c r="P752" s="29"/>
      <c r="Q752" s="6"/>
      <c r="R752" s="29"/>
      <c r="S752" s="10"/>
      <c r="T752" s="8"/>
    </row>
    <row r="753" spans="1:20" ht="15.75" customHeight="1" x14ac:dyDescent="0.35">
      <c r="A753" s="25" t="s">
        <v>754</v>
      </c>
      <c r="B753" s="25" t="s">
        <v>876</v>
      </c>
      <c r="C753" s="26">
        <v>170575</v>
      </c>
      <c r="D753" s="25" t="s">
        <v>1041</v>
      </c>
      <c r="E753" s="25" t="s">
        <v>943</v>
      </c>
      <c r="F753" s="26" t="s">
        <v>90</v>
      </c>
      <c r="G753" s="26" t="s">
        <v>90</v>
      </c>
      <c r="H753" s="26"/>
      <c r="I753" s="26"/>
      <c r="J753" s="26">
        <v>1</v>
      </c>
      <c r="K753" s="26">
        <v>138</v>
      </c>
      <c r="L753" s="26" t="s">
        <v>28</v>
      </c>
      <c r="M753" s="27">
        <v>1509</v>
      </c>
      <c r="N753" s="28"/>
      <c r="O753" s="26" t="s">
        <v>29</v>
      </c>
      <c r="P753" s="29"/>
      <c r="Q753" s="6"/>
      <c r="R753" s="29"/>
      <c r="S753" s="10"/>
      <c r="T753" s="8"/>
    </row>
    <row r="754" spans="1:20" ht="15.75" customHeight="1" x14ac:dyDescent="0.35">
      <c r="A754" s="9" t="s">
        <v>754</v>
      </c>
      <c r="B754" s="25" t="s">
        <v>876</v>
      </c>
      <c r="C754" s="31">
        <v>301743</v>
      </c>
      <c r="D754" s="32" t="s">
        <v>1042</v>
      </c>
      <c r="E754" s="32" t="s">
        <v>976</v>
      </c>
      <c r="F754" s="29">
        <v>2</v>
      </c>
      <c r="G754" s="33"/>
      <c r="H754" s="8">
        <v>1</v>
      </c>
      <c r="I754" s="8">
        <v>5</v>
      </c>
      <c r="J754" s="29"/>
      <c r="K754" s="10"/>
      <c r="L754" s="10"/>
      <c r="M754" s="11"/>
      <c r="N754" s="34">
        <v>438813.56</v>
      </c>
      <c r="O754" s="26" t="s">
        <v>29</v>
      </c>
      <c r="P754" s="29" t="s">
        <v>163</v>
      </c>
      <c r="Q754" s="6"/>
      <c r="R754" s="29"/>
      <c r="S754" s="10"/>
      <c r="T754" s="8">
        <v>1</v>
      </c>
    </row>
    <row r="755" spans="1:20" ht="15.75" customHeight="1" x14ac:dyDescent="0.35">
      <c r="A755" s="25" t="s">
        <v>754</v>
      </c>
      <c r="B755" s="25" t="s">
        <v>876</v>
      </c>
      <c r="C755" s="26">
        <v>309113</v>
      </c>
      <c r="D755" s="25" t="s">
        <v>1043</v>
      </c>
      <c r="E755" s="25" t="s">
        <v>900</v>
      </c>
      <c r="F755" s="26" t="s">
        <v>90</v>
      </c>
      <c r="G755" s="26" t="s">
        <v>90</v>
      </c>
      <c r="H755" s="26"/>
      <c r="I755" s="26"/>
      <c r="J755" s="26">
        <v>1</v>
      </c>
      <c r="K755" s="26">
        <v>138</v>
      </c>
      <c r="L755" s="26" t="s">
        <v>28</v>
      </c>
      <c r="M755" s="27">
        <v>1476</v>
      </c>
      <c r="N755" s="28"/>
      <c r="O755" s="26" t="s">
        <v>29</v>
      </c>
      <c r="P755" s="29"/>
      <c r="Q755" s="6"/>
      <c r="R755" s="29"/>
      <c r="S755" s="10"/>
      <c r="T755" s="8"/>
    </row>
    <row r="756" spans="1:20" ht="15.75" customHeight="1" x14ac:dyDescent="0.35">
      <c r="A756" s="25" t="s">
        <v>754</v>
      </c>
      <c r="B756" s="25" t="s">
        <v>876</v>
      </c>
      <c r="C756" s="26">
        <v>309116</v>
      </c>
      <c r="D756" s="25" t="s">
        <v>1044</v>
      </c>
      <c r="E756" s="25" t="s">
        <v>978</v>
      </c>
      <c r="F756" s="26" t="s">
        <v>90</v>
      </c>
      <c r="G756" s="26" t="s">
        <v>90</v>
      </c>
      <c r="H756" s="26"/>
      <c r="I756" s="26"/>
      <c r="J756" s="26">
        <v>1</v>
      </c>
      <c r="K756" s="26">
        <v>138</v>
      </c>
      <c r="L756" s="26" t="s">
        <v>28</v>
      </c>
      <c r="M756" s="27">
        <v>1532</v>
      </c>
      <c r="N756" s="28"/>
      <c r="O756" s="26" t="s">
        <v>29</v>
      </c>
      <c r="P756" s="29"/>
      <c r="Q756" s="6"/>
      <c r="R756" s="29"/>
      <c r="S756" s="10"/>
      <c r="T756" s="8"/>
    </row>
    <row r="757" spans="1:20" ht="15.75" customHeight="1" x14ac:dyDescent="0.35">
      <c r="A757" s="25" t="s">
        <v>754</v>
      </c>
      <c r="B757" s="25" t="s">
        <v>876</v>
      </c>
      <c r="C757" s="26">
        <v>309126</v>
      </c>
      <c r="D757" s="25" t="s">
        <v>1045</v>
      </c>
      <c r="E757" s="25" t="s">
        <v>922</v>
      </c>
      <c r="F757" s="26" t="s">
        <v>90</v>
      </c>
      <c r="G757" s="26" t="s">
        <v>90</v>
      </c>
      <c r="H757" s="26"/>
      <c r="I757" s="26"/>
      <c r="J757" s="26">
        <v>1</v>
      </c>
      <c r="K757" s="26">
        <v>138</v>
      </c>
      <c r="L757" s="26" t="s">
        <v>28</v>
      </c>
      <c r="M757" s="27">
        <v>1555</v>
      </c>
      <c r="N757" s="28"/>
      <c r="O757" s="26" t="s">
        <v>29</v>
      </c>
      <c r="P757" s="29"/>
      <c r="Q757" s="6"/>
      <c r="R757" s="29"/>
      <c r="S757" s="10"/>
      <c r="T757" s="8"/>
    </row>
    <row r="758" spans="1:20" ht="15.75" customHeight="1" x14ac:dyDescent="0.35">
      <c r="A758" s="25" t="s">
        <v>754</v>
      </c>
      <c r="B758" s="25" t="s">
        <v>876</v>
      </c>
      <c r="C758" s="26">
        <v>309127</v>
      </c>
      <c r="D758" s="25" t="s">
        <v>1046</v>
      </c>
      <c r="E758" s="25" t="s">
        <v>900</v>
      </c>
      <c r="F758" s="26" t="s">
        <v>90</v>
      </c>
      <c r="G758" s="26" t="s">
        <v>90</v>
      </c>
      <c r="H758" s="26"/>
      <c r="I758" s="26"/>
      <c r="J758" s="26">
        <v>1</v>
      </c>
      <c r="K758" s="26">
        <v>138</v>
      </c>
      <c r="L758" s="26" t="s">
        <v>28</v>
      </c>
      <c r="M758" s="27">
        <v>1544</v>
      </c>
      <c r="N758" s="28"/>
      <c r="O758" s="26" t="s">
        <v>29</v>
      </c>
      <c r="P758" s="29"/>
      <c r="Q758" s="6"/>
      <c r="R758" s="29"/>
      <c r="S758" s="10"/>
      <c r="T758" s="8"/>
    </row>
    <row r="759" spans="1:20" ht="15.75" customHeight="1" x14ac:dyDescent="0.35">
      <c r="A759" s="9" t="s">
        <v>754</v>
      </c>
      <c r="B759" s="25" t="s">
        <v>1047</v>
      </c>
      <c r="C759" s="31">
        <v>111474</v>
      </c>
      <c r="D759" s="32" t="s">
        <v>1048</v>
      </c>
      <c r="E759" s="32" t="s">
        <v>1049</v>
      </c>
      <c r="F759" s="29">
        <v>2</v>
      </c>
      <c r="G759" s="33"/>
      <c r="H759" s="8">
        <v>1</v>
      </c>
      <c r="I759" s="8">
        <v>7</v>
      </c>
      <c r="J759" s="29"/>
      <c r="K759" s="10"/>
      <c r="L759" s="10"/>
      <c r="M759" s="11"/>
      <c r="N759" s="34">
        <v>377032.32</v>
      </c>
      <c r="O759" s="26" t="s">
        <v>29</v>
      </c>
      <c r="P759" s="29" t="s">
        <v>163</v>
      </c>
      <c r="Q759" s="6"/>
      <c r="R759" s="29"/>
      <c r="S759" s="10"/>
      <c r="T759" s="8">
        <v>1</v>
      </c>
    </row>
    <row r="760" spans="1:20" ht="15.75" customHeight="1" x14ac:dyDescent="0.35">
      <c r="A760" s="25" t="s">
        <v>754</v>
      </c>
      <c r="B760" s="25" t="s">
        <v>1047</v>
      </c>
      <c r="C760" s="26">
        <v>111475</v>
      </c>
      <c r="D760" s="25" t="s">
        <v>1050</v>
      </c>
      <c r="E760" s="25" t="s">
        <v>1049</v>
      </c>
      <c r="F760" s="26" t="s">
        <v>90</v>
      </c>
      <c r="G760" s="26" t="s">
        <v>90</v>
      </c>
      <c r="H760" s="26">
        <v>1</v>
      </c>
      <c r="I760" s="26">
        <v>5</v>
      </c>
      <c r="J760" s="26">
        <v>1</v>
      </c>
      <c r="K760" s="26">
        <v>138</v>
      </c>
      <c r="L760" s="26" t="s">
        <v>28</v>
      </c>
      <c r="M760" s="27">
        <v>1562</v>
      </c>
      <c r="N760" s="28">
        <v>386899.49</v>
      </c>
      <c r="O760" s="26" t="s">
        <v>29</v>
      </c>
      <c r="P760" s="29"/>
      <c r="Q760" s="6"/>
      <c r="R760" s="29"/>
      <c r="S760" s="10"/>
      <c r="T760" s="8">
        <v>1</v>
      </c>
    </row>
    <row r="761" spans="1:20" ht="15.75" customHeight="1" x14ac:dyDescent="0.35">
      <c r="A761" s="25" t="s">
        <v>754</v>
      </c>
      <c r="B761" s="25" t="s">
        <v>1047</v>
      </c>
      <c r="C761" s="26">
        <v>111481</v>
      </c>
      <c r="D761" s="25" t="s">
        <v>1051</v>
      </c>
      <c r="E761" s="25" t="s">
        <v>1049</v>
      </c>
      <c r="F761" s="26" t="s">
        <v>90</v>
      </c>
      <c r="G761" s="26" t="s">
        <v>90</v>
      </c>
      <c r="H761" s="26"/>
      <c r="I761" s="26"/>
      <c r="J761" s="26">
        <v>1</v>
      </c>
      <c r="K761" s="26">
        <v>138</v>
      </c>
      <c r="L761" s="26" t="s">
        <v>28</v>
      </c>
      <c r="M761" s="27">
        <v>1565</v>
      </c>
      <c r="N761" s="28"/>
      <c r="O761" s="26" t="s">
        <v>29</v>
      </c>
      <c r="P761" s="29"/>
      <c r="Q761" s="6"/>
      <c r="R761" s="29"/>
      <c r="S761" s="10"/>
      <c r="T761" s="8"/>
    </row>
    <row r="762" spans="1:20" ht="15.75" customHeight="1" x14ac:dyDescent="0.35">
      <c r="A762" s="9" t="s">
        <v>754</v>
      </c>
      <c r="B762" s="25" t="s">
        <v>1047</v>
      </c>
      <c r="C762" s="31">
        <v>111490</v>
      </c>
      <c r="D762" s="32" t="s">
        <v>1052</v>
      </c>
      <c r="E762" s="32" t="s">
        <v>1049</v>
      </c>
      <c r="F762" s="29">
        <v>2</v>
      </c>
      <c r="G762" s="33"/>
      <c r="H762" s="8">
        <v>1</v>
      </c>
      <c r="I762" s="8">
        <v>8</v>
      </c>
      <c r="J762" s="29"/>
      <c r="K762" s="10"/>
      <c r="L762" s="10"/>
      <c r="M762" s="11"/>
      <c r="N762" s="34">
        <v>457672.08</v>
      </c>
      <c r="O762" s="26" t="s">
        <v>29</v>
      </c>
      <c r="P762" s="29" t="s">
        <v>163</v>
      </c>
      <c r="Q762" s="6"/>
      <c r="R762" s="29"/>
      <c r="S762" s="10"/>
      <c r="T762" s="8">
        <v>1</v>
      </c>
    </row>
    <row r="763" spans="1:20" ht="15.75" customHeight="1" x14ac:dyDescent="0.35">
      <c r="A763" s="9" t="s">
        <v>754</v>
      </c>
      <c r="B763" s="25" t="s">
        <v>1047</v>
      </c>
      <c r="C763" s="31">
        <v>111493</v>
      </c>
      <c r="D763" s="32" t="s">
        <v>1053</v>
      </c>
      <c r="E763" s="32" t="s">
        <v>1049</v>
      </c>
      <c r="F763" s="29">
        <v>2</v>
      </c>
      <c r="G763" s="33"/>
      <c r="H763" s="8">
        <v>1</v>
      </c>
      <c r="I763" s="8">
        <v>7</v>
      </c>
      <c r="J763" s="29"/>
      <c r="K763" s="10"/>
      <c r="L763" s="10"/>
      <c r="M763" s="11"/>
      <c r="N763" s="34">
        <v>458845.5</v>
      </c>
      <c r="O763" s="26" t="s">
        <v>29</v>
      </c>
      <c r="P763" s="29" t="s">
        <v>163</v>
      </c>
      <c r="Q763" s="6"/>
      <c r="R763" s="29"/>
      <c r="S763" s="10"/>
      <c r="T763" s="8">
        <v>1</v>
      </c>
    </row>
    <row r="764" spans="1:20" ht="15.75" customHeight="1" x14ac:dyDescent="0.35">
      <c r="A764" s="9" t="s">
        <v>754</v>
      </c>
      <c r="B764" s="25" t="s">
        <v>1047</v>
      </c>
      <c r="C764" s="31">
        <v>111496</v>
      </c>
      <c r="D764" s="32" t="s">
        <v>747</v>
      </c>
      <c r="E764" s="32" t="s">
        <v>1049</v>
      </c>
      <c r="F764" s="29">
        <v>2</v>
      </c>
      <c r="G764" s="33"/>
      <c r="H764" s="8">
        <v>1</v>
      </c>
      <c r="I764" s="8">
        <v>6</v>
      </c>
      <c r="J764" s="29"/>
      <c r="K764" s="10"/>
      <c r="L764" s="10"/>
      <c r="M764" s="11"/>
      <c r="N764" s="34">
        <v>577862.51</v>
      </c>
      <c r="O764" s="26" t="s">
        <v>29</v>
      </c>
      <c r="P764" s="29" t="s">
        <v>163</v>
      </c>
      <c r="Q764" s="6"/>
      <c r="R764" s="29"/>
      <c r="S764" s="10"/>
      <c r="T764" s="8">
        <v>1</v>
      </c>
    </row>
    <row r="765" spans="1:20" ht="15.75" customHeight="1" x14ac:dyDescent="0.35">
      <c r="A765" s="25" t="s">
        <v>754</v>
      </c>
      <c r="B765" s="25" t="s">
        <v>1047</v>
      </c>
      <c r="C765" s="26">
        <v>111508</v>
      </c>
      <c r="D765" s="25" t="s">
        <v>1054</v>
      </c>
      <c r="E765" s="25" t="s">
        <v>1049</v>
      </c>
      <c r="F765" s="26" t="s">
        <v>90</v>
      </c>
      <c r="G765" s="26" t="s">
        <v>90</v>
      </c>
      <c r="H765" s="26"/>
      <c r="I765" s="26"/>
      <c r="J765" s="26">
        <v>1</v>
      </c>
      <c r="K765" s="26">
        <v>138</v>
      </c>
      <c r="L765" s="26" t="s">
        <v>28</v>
      </c>
      <c r="M765" s="27">
        <v>1561</v>
      </c>
      <c r="N765" s="28"/>
      <c r="O765" s="26" t="s">
        <v>29</v>
      </c>
      <c r="P765" s="29"/>
      <c r="Q765" s="6"/>
      <c r="R765" s="29"/>
      <c r="S765" s="10"/>
      <c r="T765" s="8"/>
    </row>
    <row r="766" spans="1:20" ht="15.75" customHeight="1" x14ac:dyDescent="0.35">
      <c r="A766" s="25" t="s">
        <v>754</v>
      </c>
      <c r="B766" s="25" t="s">
        <v>1047</v>
      </c>
      <c r="C766" s="26">
        <v>111510</v>
      </c>
      <c r="D766" s="25" t="s">
        <v>345</v>
      </c>
      <c r="E766" s="25" t="s">
        <v>1049</v>
      </c>
      <c r="F766" s="26" t="s">
        <v>90</v>
      </c>
      <c r="G766" s="26" t="s">
        <v>90</v>
      </c>
      <c r="H766" s="26"/>
      <c r="I766" s="26"/>
      <c r="J766" s="26">
        <v>1</v>
      </c>
      <c r="K766" s="26">
        <v>138</v>
      </c>
      <c r="L766" s="26" t="s">
        <v>28</v>
      </c>
      <c r="M766" s="27">
        <v>1563</v>
      </c>
      <c r="N766" s="28"/>
      <c r="O766" s="26" t="s">
        <v>29</v>
      </c>
      <c r="P766" s="29"/>
      <c r="Q766" s="6"/>
      <c r="R766" s="29"/>
      <c r="S766" s="10"/>
      <c r="T766" s="8"/>
    </row>
    <row r="767" spans="1:20" ht="15.75" customHeight="1" x14ac:dyDescent="0.35">
      <c r="A767" s="25" t="s">
        <v>754</v>
      </c>
      <c r="B767" s="25" t="s">
        <v>1047</v>
      </c>
      <c r="C767" s="26">
        <v>111511</v>
      </c>
      <c r="D767" s="25" t="s">
        <v>220</v>
      </c>
      <c r="E767" s="25" t="s">
        <v>1049</v>
      </c>
      <c r="F767" s="26" t="s">
        <v>90</v>
      </c>
      <c r="G767" s="26" t="s">
        <v>90</v>
      </c>
      <c r="H767" s="26"/>
      <c r="I767" s="26"/>
      <c r="J767" s="26">
        <v>1</v>
      </c>
      <c r="K767" s="26">
        <v>138</v>
      </c>
      <c r="L767" s="26" t="s">
        <v>28</v>
      </c>
      <c r="M767" s="27">
        <v>1564</v>
      </c>
      <c r="N767" s="28"/>
      <c r="O767" s="26" t="s">
        <v>29</v>
      </c>
      <c r="P767" s="29"/>
      <c r="Q767" s="6"/>
      <c r="R767" s="29"/>
      <c r="S767" s="10"/>
      <c r="T767" s="8"/>
    </row>
    <row r="768" spans="1:20" ht="15.75" customHeight="1" x14ac:dyDescent="0.35">
      <c r="A768" s="25" t="s">
        <v>754</v>
      </c>
      <c r="B768" s="25" t="s">
        <v>1047</v>
      </c>
      <c r="C768" s="26">
        <v>111515</v>
      </c>
      <c r="D768" s="25" t="s">
        <v>1055</v>
      </c>
      <c r="E768" s="25" t="s">
        <v>1049</v>
      </c>
      <c r="F768" s="26" t="s">
        <v>90</v>
      </c>
      <c r="G768" s="26" t="s">
        <v>90</v>
      </c>
      <c r="H768" s="26"/>
      <c r="I768" s="26"/>
      <c r="J768" s="26">
        <v>1</v>
      </c>
      <c r="K768" s="26">
        <v>138</v>
      </c>
      <c r="L768" s="26" t="s">
        <v>28</v>
      </c>
      <c r="M768" s="27">
        <v>1566</v>
      </c>
      <c r="N768" s="28"/>
      <c r="O768" s="26" t="s">
        <v>29</v>
      </c>
      <c r="P768" s="29"/>
      <c r="Q768" s="6"/>
      <c r="R768" s="29"/>
      <c r="S768" s="10"/>
      <c r="T768" s="8"/>
    </row>
    <row r="769" spans="1:20" ht="15.75" customHeight="1" x14ac:dyDescent="0.35">
      <c r="A769" s="25" t="s">
        <v>754</v>
      </c>
      <c r="B769" s="25" t="s">
        <v>1047</v>
      </c>
      <c r="C769" s="26">
        <v>111516</v>
      </c>
      <c r="D769" s="25" t="s">
        <v>1056</v>
      </c>
      <c r="E769" s="25" t="s">
        <v>1049</v>
      </c>
      <c r="F769" s="26" t="s">
        <v>90</v>
      </c>
      <c r="G769" s="26" t="s">
        <v>90</v>
      </c>
      <c r="H769" s="26"/>
      <c r="I769" s="26"/>
      <c r="J769" s="26">
        <v>1</v>
      </c>
      <c r="K769" s="26">
        <v>138</v>
      </c>
      <c r="L769" s="26" t="s">
        <v>28</v>
      </c>
      <c r="M769" s="27">
        <v>1567</v>
      </c>
      <c r="N769" s="28"/>
      <c r="O769" s="26" t="s">
        <v>29</v>
      </c>
      <c r="P769" s="29"/>
      <c r="Q769" s="6"/>
      <c r="R769" s="29"/>
      <c r="S769" s="10"/>
      <c r="T769" s="8"/>
    </row>
    <row r="770" spans="1:20" ht="15.75" customHeight="1" x14ac:dyDescent="0.35">
      <c r="A770" s="25" t="s">
        <v>754</v>
      </c>
      <c r="B770" s="25" t="s">
        <v>1047</v>
      </c>
      <c r="C770" s="26">
        <v>111519</v>
      </c>
      <c r="D770" s="25" t="s">
        <v>1057</v>
      </c>
      <c r="E770" s="25" t="s">
        <v>1049</v>
      </c>
      <c r="F770" s="26" t="s">
        <v>90</v>
      </c>
      <c r="G770" s="26" t="s">
        <v>90</v>
      </c>
      <c r="H770" s="26"/>
      <c r="I770" s="26"/>
      <c r="J770" s="26">
        <v>1</v>
      </c>
      <c r="K770" s="26">
        <v>138</v>
      </c>
      <c r="L770" s="26" t="s">
        <v>28</v>
      </c>
      <c r="M770" s="27">
        <v>1568</v>
      </c>
      <c r="N770" s="28"/>
      <c r="O770" s="26" t="s">
        <v>29</v>
      </c>
      <c r="P770" s="29"/>
      <c r="Q770" s="6"/>
      <c r="R770" s="29"/>
      <c r="S770" s="10"/>
      <c r="T770" s="8"/>
    </row>
    <row r="771" spans="1:20" ht="15.75" customHeight="1" x14ac:dyDescent="0.35">
      <c r="A771" s="25" t="s">
        <v>754</v>
      </c>
      <c r="B771" s="25" t="s">
        <v>1047</v>
      </c>
      <c r="C771" s="26">
        <v>111525</v>
      </c>
      <c r="D771" s="25" t="s">
        <v>1058</v>
      </c>
      <c r="E771" s="25" t="s">
        <v>1049</v>
      </c>
      <c r="F771" s="26" t="s">
        <v>90</v>
      </c>
      <c r="G771" s="26" t="s">
        <v>90</v>
      </c>
      <c r="H771" s="26"/>
      <c r="I771" s="26"/>
      <c r="J771" s="26">
        <v>1</v>
      </c>
      <c r="K771" s="26">
        <v>138</v>
      </c>
      <c r="L771" s="26" t="s">
        <v>28</v>
      </c>
      <c r="M771" s="27">
        <v>1569</v>
      </c>
      <c r="N771" s="28"/>
      <c r="O771" s="26" t="s">
        <v>29</v>
      </c>
      <c r="P771" s="29"/>
      <c r="Q771" s="6"/>
      <c r="R771" s="29"/>
      <c r="S771" s="10"/>
      <c r="T771" s="8"/>
    </row>
    <row r="772" spans="1:20" ht="15.75" customHeight="1" x14ac:dyDescent="0.35">
      <c r="A772" s="25" t="s">
        <v>754</v>
      </c>
      <c r="B772" s="25" t="s">
        <v>1047</v>
      </c>
      <c r="C772" s="26">
        <v>111532</v>
      </c>
      <c r="D772" s="25" t="s">
        <v>1059</v>
      </c>
      <c r="E772" s="25" t="s">
        <v>1049</v>
      </c>
      <c r="F772" s="26" t="s">
        <v>90</v>
      </c>
      <c r="G772" s="26" t="s">
        <v>90</v>
      </c>
      <c r="H772" s="26"/>
      <c r="I772" s="26"/>
      <c r="J772" s="26">
        <v>1</v>
      </c>
      <c r="K772" s="26">
        <v>138</v>
      </c>
      <c r="L772" s="26" t="s">
        <v>28</v>
      </c>
      <c r="M772" s="27">
        <v>1570</v>
      </c>
      <c r="N772" s="28"/>
      <c r="O772" s="26" t="s">
        <v>29</v>
      </c>
      <c r="P772" s="29"/>
      <c r="Q772" s="6"/>
      <c r="R772" s="29"/>
      <c r="S772" s="10"/>
      <c r="T772" s="8"/>
    </row>
    <row r="773" spans="1:20" ht="15.75" customHeight="1" x14ac:dyDescent="0.35">
      <c r="A773" s="25" t="s">
        <v>754</v>
      </c>
      <c r="B773" s="25" t="s">
        <v>1047</v>
      </c>
      <c r="C773" s="26">
        <v>171502</v>
      </c>
      <c r="D773" s="25" t="s">
        <v>1060</v>
      </c>
      <c r="E773" s="25" t="s">
        <v>1049</v>
      </c>
      <c r="F773" s="26" t="s">
        <v>90</v>
      </c>
      <c r="G773" s="26" t="s">
        <v>90</v>
      </c>
      <c r="H773" s="26"/>
      <c r="I773" s="26"/>
      <c r="J773" s="26">
        <v>1</v>
      </c>
      <c r="K773" s="26">
        <v>138</v>
      </c>
      <c r="L773" s="26" t="s">
        <v>28</v>
      </c>
      <c r="M773" s="27">
        <v>1571</v>
      </c>
      <c r="N773" s="28"/>
      <c r="O773" s="26" t="s">
        <v>29</v>
      </c>
      <c r="P773" s="29"/>
      <c r="Q773" s="6"/>
      <c r="R773" s="29"/>
      <c r="S773" s="10"/>
      <c r="T773" s="8"/>
    </row>
    <row r="774" spans="1:20" ht="15.75" customHeight="1" x14ac:dyDescent="0.35">
      <c r="A774" s="9" t="s">
        <v>754</v>
      </c>
      <c r="B774" s="25" t="s">
        <v>1047</v>
      </c>
      <c r="C774" s="31">
        <v>171503</v>
      </c>
      <c r="D774" s="32" t="s">
        <v>1061</v>
      </c>
      <c r="E774" s="32" t="s">
        <v>1049</v>
      </c>
      <c r="F774" s="29">
        <v>2</v>
      </c>
      <c r="G774" s="33"/>
      <c r="H774" s="8">
        <v>1</v>
      </c>
      <c r="I774" s="8">
        <v>16</v>
      </c>
      <c r="J774" s="29"/>
      <c r="K774" s="10"/>
      <c r="L774" s="10"/>
      <c r="M774" s="11"/>
      <c r="N774" s="34">
        <v>779958.37</v>
      </c>
      <c r="O774" s="26" t="s">
        <v>29</v>
      </c>
      <c r="P774" s="29" t="s">
        <v>163</v>
      </c>
      <c r="Q774" s="6"/>
      <c r="R774" s="29"/>
      <c r="S774" s="10"/>
      <c r="T774" s="8">
        <v>1</v>
      </c>
    </row>
    <row r="775" spans="1:20" ht="15.75" customHeight="1" x14ac:dyDescent="0.35">
      <c r="A775" s="9" t="s">
        <v>754</v>
      </c>
      <c r="B775" s="25" t="s">
        <v>1047</v>
      </c>
      <c r="C775" s="31">
        <v>171505</v>
      </c>
      <c r="D775" s="32" t="s">
        <v>1062</v>
      </c>
      <c r="E775" s="32" t="s">
        <v>1049</v>
      </c>
      <c r="F775" s="29">
        <v>2</v>
      </c>
      <c r="G775" s="33"/>
      <c r="H775" s="8">
        <v>1</v>
      </c>
      <c r="I775" s="8">
        <v>4</v>
      </c>
      <c r="J775" s="29"/>
      <c r="K775" s="10"/>
      <c r="L775" s="10"/>
      <c r="M775" s="11"/>
      <c r="N775" s="34">
        <v>295333.32</v>
      </c>
      <c r="O775" s="26" t="s">
        <v>29</v>
      </c>
      <c r="P775" s="29" t="s">
        <v>163</v>
      </c>
      <c r="Q775" s="6"/>
      <c r="R775" s="29"/>
      <c r="S775" s="10"/>
      <c r="T775" s="8">
        <v>1</v>
      </c>
    </row>
    <row r="776" spans="1:20" ht="15.75" customHeight="1" x14ac:dyDescent="0.35">
      <c r="A776" s="25" t="s">
        <v>1063</v>
      </c>
      <c r="B776" s="25" t="s">
        <v>1064</v>
      </c>
      <c r="C776" s="26">
        <v>126107</v>
      </c>
      <c r="D776" s="25" t="s">
        <v>1065</v>
      </c>
      <c r="E776" s="25" t="s">
        <v>1066</v>
      </c>
      <c r="F776" s="26" t="s">
        <v>215</v>
      </c>
      <c r="G776" s="26" t="s">
        <v>215</v>
      </c>
      <c r="H776" s="26"/>
      <c r="I776" s="26"/>
      <c r="J776" s="26">
        <v>1</v>
      </c>
      <c r="K776" s="26">
        <v>138</v>
      </c>
      <c r="L776" s="26" t="s">
        <v>28</v>
      </c>
      <c r="M776" s="27">
        <v>1577</v>
      </c>
      <c r="N776" s="28"/>
      <c r="O776" s="26" t="s">
        <v>29</v>
      </c>
      <c r="P776" s="29"/>
      <c r="Q776" s="6"/>
      <c r="R776" s="29"/>
      <c r="S776" s="10"/>
      <c r="T776" s="8"/>
    </row>
    <row r="777" spans="1:20" ht="15.75" customHeight="1" x14ac:dyDescent="0.35">
      <c r="A777" s="25" t="s">
        <v>1063</v>
      </c>
      <c r="B777" s="25" t="s">
        <v>1064</v>
      </c>
      <c r="C777" s="26">
        <v>126129</v>
      </c>
      <c r="D777" s="25" t="s">
        <v>1067</v>
      </c>
      <c r="E777" s="25" t="s">
        <v>1066</v>
      </c>
      <c r="F777" s="26" t="s">
        <v>90</v>
      </c>
      <c r="G777" s="26" t="s">
        <v>90</v>
      </c>
      <c r="H777" s="26"/>
      <c r="I777" s="26"/>
      <c r="J777" s="26">
        <v>1</v>
      </c>
      <c r="K777" s="26">
        <v>138</v>
      </c>
      <c r="L777" s="26" t="s">
        <v>28</v>
      </c>
      <c r="M777" s="27">
        <v>1585</v>
      </c>
      <c r="N777" s="28"/>
      <c r="O777" s="26" t="s">
        <v>29</v>
      </c>
      <c r="P777" s="29"/>
      <c r="Q777" s="6"/>
      <c r="R777" s="29"/>
      <c r="S777" s="10"/>
      <c r="T777" s="8"/>
    </row>
    <row r="778" spans="1:20" ht="15.75" customHeight="1" x14ac:dyDescent="0.35">
      <c r="A778" s="25" t="s">
        <v>1063</v>
      </c>
      <c r="B778" s="25" t="s">
        <v>1064</v>
      </c>
      <c r="C778" s="26">
        <v>126133</v>
      </c>
      <c r="D778" s="25" t="s">
        <v>1068</v>
      </c>
      <c r="E778" s="25" t="s">
        <v>1066</v>
      </c>
      <c r="F778" s="26" t="s">
        <v>90</v>
      </c>
      <c r="G778" s="26" t="s">
        <v>90</v>
      </c>
      <c r="H778" s="26"/>
      <c r="I778" s="26"/>
      <c r="J778" s="26">
        <v>1</v>
      </c>
      <c r="K778" s="26">
        <v>138</v>
      </c>
      <c r="L778" s="26" t="s">
        <v>28</v>
      </c>
      <c r="M778" s="27">
        <v>1587</v>
      </c>
      <c r="N778" s="28"/>
      <c r="O778" s="26" t="s">
        <v>29</v>
      </c>
      <c r="P778" s="29"/>
      <c r="Q778" s="6"/>
      <c r="R778" s="29"/>
      <c r="S778" s="10"/>
      <c r="T778" s="8"/>
    </row>
    <row r="779" spans="1:20" ht="15.75" customHeight="1" x14ac:dyDescent="0.35">
      <c r="A779" s="25" t="s">
        <v>1063</v>
      </c>
      <c r="B779" s="25" t="s">
        <v>1064</v>
      </c>
      <c r="C779" s="26">
        <v>126144</v>
      </c>
      <c r="D779" s="25" t="s">
        <v>1069</v>
      </c>
      <c r="E779" s="25" t="s">
        <v>1066</v>
      </c>
      <c r="F779" s="26" t="s">
        <v>215</v>
      </c>
      <c r="G779" s="26" t="s">
        <v>215</v>
      </c>
      <c r="H779" s="26">
        <v>1</v>
      </c>
      <c r="I779" s="26">
        <v>6</v>
      </c>
      <c r="J779" s="26">
        <v>1</v>
      </c>
      <c r="K779" s="26">
        <v>138</v>
      </c>
      <c r="L779" s="26" t="s">
        <v>28</v>
      </c>
      <c r="M779" s="27">
        <v>1574</v>
      </c>
      <c r="N779" s="30">
        <v>515884.75</v>
      </c>
      <c r="O779" s="26" t="s">
        <v>29</v>
      </c>
      <c r="P779" s="29"/>
      <c r="Q779" s="6"/>
      <c r="R779" s="29"/>
      <c r="S779" s="10"/>
      <c r="T779" s="8">
        <v>1</v>
      </c>
    </row>
    <row r="780" spans="1:20" ht="15.75" customHeight="1" x14ac:dyDescent="0.35">
      <c r="A780" s="25" t="s">
        <v>1063</v>
      </c>
      <c r="B780" s="25" t="s">
        <v>1064</v>
      </c>
      <c r="C780" s="26">
        <v>126154</v>
      </c>
      <c r="D780" s="25" t="s">
        <v>1070</v>
      </c>
      <c r="E780" s="25" t="s">
        <v>1066</v>
      </c>
      <c r="F780" s="26" t="s">
        <v>90</v>
      </c>
      <c r="G780" s="26" t="s">
        <v>90</v>
      </c>
      <c r="H780" s="26"/>
      <c r="I780" s="26"/>
      <c r="J780" s="26">
        <v>1</v>
      </c>
      <c r="K780" s="26">
        <v>138</v>
      </c>
      <c r="L780" s="26" t="s">
        <v>28</v>
      </c>
      <c r="M780" s="27">
        <v>1578</v>
      </c>
      <c r="N780" s="28"/>
      <c r="O780" s="26" t="s">
        <v>29</v>
      </c>
      <c r="P780" s="29"/>
      <c r="Q780" s="6"/>
      <c r="R780" s="29"/>
      <c r="S780" s="10"/>
      <c r="T780" s="8"/>
    </row>
    <row r="781" spans="1:20" ht="15.75" customHeight="1" x14ac:dyDescent="0.35">
      <c r="A781" s="25" t="s">
        <v>1063</v>
      </c>
      <c r="B781" s="25" t="s">
        <v>1064</v>
      </c>
      <c r="C781" s="26">
        <v>126158</v>
      </c>
      <c r="D781" s="25" t="s">
        <v>1071</v>
      </c>
      <c r="E781" s="25" t="s">
        <v>1066</v>
      </c>
      <c r="F781" s="26" t="s">
        <v>90</v>
      </c>
      <c r="G781" s="26" t="s">
        <v>90</v>
      </c>
      <c r="H781" s="26"/>
      <c r="I781" s="26"/>
      <c r="J781" s="26">
        <v>1</v>
      </c>
      <c r="K781" s="26">
        <v>138</v>
      </c>
      <c r="L781" s="26" t="s">
        <v>28</v>
      </c>
      <c r="M781" s="27">
        <v>1579</v>
      </c>
      <c r="N781" s="28"/>
      <c r="O781" s="26" t="s">
        <v>29</v>
      </c>
      <c r="P781" s="29"/>
      <c r="Q781" s="6"/>
      <c r="R781" s="29"/>
      <c r="S781" s="10"/>
      <c r="T781" s="8"/>
    </row>
    <row r="782" spans="1:20" ht="15.75" customHeight="1" x14ac:dyDescent="0.35">
      <c r="A782" s="25" t="s">
        <v>1063</v>
      </c>
      <c r="B782" s="25" t="s">
        <v>1064</v>
      </c>
      <c r="C782" s="26">
        <v>126160</v>
      </c>
      <c r="D782" s="25" t="s">
        <v>1072</v>
      </c>
      <c r="E782" s="25" t="s">
        <v>1066</v>
      </c>
      <c r="F782" s="26" t="s">
        <v>90</v>
      </c>
      <c r="G782" s="26" t="s">
        <v>90</v>
      </c>
      <c r="H782" s="26"/>
      <c r="I782" s="26"/>
      <c r="J782" s="26">
        <v>1</v>
      </c>
      <c r="K782" s="26">
        <v>138</v>
      </c>
      <c r="L782" s="26" t="s">
        <v>28</v>
      </c>
      <c r="M782" s="27">
        <v>1580</v>
      </c>
      <c r="N782" s="28"/>
      <c r="O782" s="26" t="s">
        <v>29</v>
      </c>
      <c r="P782" s="29"/>
      <c r="Q782" s="6"/>
      <c r="R782" s="29"/>
      <c r="S782" s="10"/>
      <c r="T782" s="8"/>
    </row>
    <row r="783" spans="1:20" ht="15.75" customHeight="1" x14ac:dyDescent="0.35">
      <c r="A783" s="25" t="s">
        <v>1063</v>
      </c>
      <c r="B783" s="25" t="s">
        <v>1064</v>
      </c>
      <c r="C783" s="26">
        <v>126166</v>
      </c>
      <c r="D783" s="25" t="s">
        <v>743</v>
      </c>
      <c r="E783" s="25" t="s">
        <v>1066</v>
      </c>
      <c r="F783" s="26" t="s">
        <v>90</v>
      </c>
      <c r="G783" s="26" t="s">
        <v>90</v>
      </c>
      <c r="H783" s="26"/>
      <c r="I783" s="26"/>
      <c r="J783" s="26">
        <v>1</v>
      </c>
      <c r="K783" s="26">
        <v>138</v>
      </c>
      <c r="L783" s="26" t="s">
        <v>28</v>
      </c>
      <c r="M783" s="27">
        <v>1583</v>
      </c>
      <c r="N783" s="28"/>
      <c r="O783" s="26" t="s">
        <v>29</v>
      </c>
      <c r="P783" s="29"/>
      <c r="Q783" s="6"/>
      <c r="R783" s="29"/>
      <c r="S783" s="10"/>
      <c r="T783" s="8"/>
    </row>
    <row r="784" spans="1:20" ht="15.75" customHeight="1" x14ac:dyDescent="0.35">
      <c r="A784" s="25" t="s">
        <v>1063</v>
      </c>
      <c r="B784" s="25" t="s">
        <v>1064</v>
      </c>
      <c r="C784" s="26">
        <v>126168</v>
      </c>
      <c r="D784" s="25" t="s">
        <v>1073</v>
      </c>
      <c r="E784" s="25" t="s">
        <v>1066</v>
      </c>
      <c r="F784" s="26" t="s">
        <v>90</v>
      </c>
      <c r="G784" s="26" t="s">
        <v>90</v>
      </c>
      <c r="H784" s="26"/>
      <c r="I784" s="26"/>
      <c r="J784" s="26">
        <v>1</v>
      </c>
      <c r="K784" s="26">
        <v>138</v>
      </c>
      <c r="L784" s="26" t="s">
        <v>28</v>
      </c>
      <c r="M784" s="27">
        <v>1584</v>
      </c>
      <c r="N784" s="28"/>
      <c r="O784" s="26" t="s">
        <v>29</v>
      </c>
      <c r="P784" s="29"/>
      <c r="Q784" s="6"/>
      <c r="R784" s="29"/>
      <c r="S784" s="10"/>
      <c r="T784" s="8"/>
    </row>
    <row r="785" spans="1:20" ht="15.75" customHeight="1" x14ac:dyDescent="0.35">
      <c r="A785" s="25" t="s">
        <v>1063</v>
      </c>
      <c r="B785" s="25" t="s">
        <v>1064</v>
      </c>
      <c r="C785" s="26">
        <v>126208</v>
      </c>
      <c r="D785" s="25" t="s">
        <v>1074</v>
      </c>
      <c r="E785" s="25" t="s">
        <v>1066</v>
      </c>
      <c r="F785" s="26" t="s">
        <v>215</v>
      </c>
      <c r="G785" s="26" t="s">
        <v>215</v>
      </c>
      <c r="H785" s="26"/>
      <c r="I785" s="26"/>
      <c r="J785" s="26">
        <v>1</v>
      </c>
      <c r="K785" s="26">
        <v>138</v>
      </c>
      <c r="L785" s="26" t="s">
        <v>28</v>
      </c>
      <c r="M785" s="27">
        <v>1573</v>
      </c>
      <c r="N785" s="28"/>
      <c r="O785" s="26" t="s">
        <v>29</v>
      </c>
      <c r="P785" s="29"/>
      <c r="Q785" s="6"/>
      <c r="R785" s="29"/>
      <c r="S785" s="10"/>
      <c r="T785" s="8"/>
    </row>
    <row r="786" spans="1:20" ht="15.75" customHeight="1" x14ac:dyDescent="0.35">
      <c r="A786" s="25" t="s">
        <v>1063</v>
      </c>
      <c r="B786" s="25" t="s">
        <v>1064</v>
      </c>
      <c r="C786" s="26">
        <v>126210</v>
      </c>
      <c r="D786" s="25" t="s">
        <v>1075</v>
      </c>
      <c r="E786" s="25" t="s">
        <v>1066</v>
      </c>
      <c r="F786" s="26" t="s">
        <v>215</v>
      </c>
      <c r="G786" s="26" t="s">
        <v>215</v>
      </c>
      <c r="H786" s="26"/>
      <c r="I786" s="26"/>
      <c r="J786" s="26">
        <v>1</v>
      </c>
      <c r="K786" s="26">
        <v>138</v>
      </c>
      <c r="L786" s="26" t="s">
        <v>28</v>
      </c>
      <c r="M786" s="27">
        <v>1576</v>
      </c>
      <c r="N786" s="28"/>
      <c r="O786" s="26" t="s">
        <v>29</v>
      </c>
      <c r="P786" s="29"/>
      <c r="Q786" s="6"/>
      <c r="R786" s="29"/>
      <c r="S786" s="10"/>
      <c r="T786" s="8"/>
    </row>
    <row r="787" spans="1:20" ht="15.75" customHeight="1" x14ac:dyDescent="0.35">
      <c r="A787" s="25" t="s">
        <v>1063</v>
      </c>
      <c r="B787" s="25" t="s">
        <v>1064</v>
      </c>
      <c r="C787" s="26">
        <v>126218</v>
      </c>
      <c r="D787" s="25" t="s">
        <v>1076</v>
      </c>
      <c r="E787" s="25" t="s">
        <v>1066</v>
      </c>
      <c r="F787" s="26" t="s">
        <v>215</v>
      </c>
      <c r="G787" s="26" t="s">
        <v>215</v>
      </c>
      <c r="H787" s="26"/>
      <c r="I787" s="26"/>
      <c r="J787" s="26">
        <v>1</v>
      </c>
      <c r="K787" s="26">
        <v>138</v>
      </c>
      <c r="L787" s="26" t="s">
        <v>28</v>
      </c>
      <c r="M787" s="27">
        <v>1575</v>
      </c>
      <c r="N787" s="28"/>
      <c r="O787" s="26" t="s">
        <v>29</v>
      </c>
      <c r="P787" s="29"/>
      <c r="Q787" s="6"/>
      <c r="R787" s="29"/>
      <c r="S787" s="10"/>
      <c r="T787" s="8"/>
    </row>
    <row r="788" spans="1:20" ht="15.75" customHeight="1" x14ac:dyDescent="0.35">
      <c r="A788" s="25" t="s">
        <v>1063</v>
      </c>
      <c r="B788" s="25" t="s">
        <v>1064</v>
      </c>
      <c r="C788" s="26">
        <v>126242</v>
      </c>
      <c r="D788" s="25" t="s">
        <v>1077</v>
      </c>
      <c r="E788" s="25" t="s">
        <v>1066</v>
      </c>
      <c r="F788" s="26" t="s">
        <v>90</v>
      </c>
      <c r="G788" s="26" t="s">
        <v>90</v>
      </c>
      <c r="H788" s="26"/>
      <c r="I788" s="26"/>
      <c r="J788" s="26">
        <v>1</v>
      </c>
      <c r="K788" s="26">
        <v>138</v>
      </c>
      <c r="L788" s="26" t="s">
        <v>28</v>
      </c>
      <c r="M788" s="27">
        <v>1582</v>
      </c>
      <c r="N788" s="28"/>
      <c r="O788" s="26" t="s">
        <v>29</v>
      </c>
      <c r="P788" s="29"/>
      <c r="Q788" s="6"/>
      <c r="R788" s="29"/>
      <c r="S788" s="10"/>
      <c r="T788" s="8"/>
    </row>
    <row r="789" spans="1:20" ht="15.75" customHeight="1" x14ac:dyDescent="0.35">
      <c r="A789" s="25" t="s">
        <v>1063</v>
      </c>
      <c r="B789" s="25" t="s">
        <v>1064</v>
      </c>
      <c r="C789" s="26">
        <v>126249</v>
      </c>
      <c r="D789" s="25" t="s">
        <v>1078</v>
      </c>
      <c r="E789" s="25" t="s">
        <v>1066</v>
      </c>
      <c r="F789" s="26" t="s">
        <v>90</v>
      </c>
      <c r="G789" s="26" t="s">
        <v>90</v>
      </c>
      <c r="H789" s="26"/>
      <c r="I789" s="26"/>
      <c r="J789" s="26">
        <v>1</v>
      </c>
      <c r="K789" s="26">
        <v>138</v>
      </c>
      <c r="L789" s="26" t="s">
        <v>28</v>
      </c>
      <c r="M789" s="27">
        <v>1588</v>
      </c>
      <c r="N789" s="28"/>
      <c r="O789" s="26" t="s">
        <v>29</v>
      </c>
      <c r="P789" s="29"/>
      <c r="Q789" s="6"/>
      <c r="R789" s="29"/>
      <c r="S789" s="10"/>
      <c r="T789" s="8"/>
    </row>
    <row r="790" spans="1:20" ht="15.75" customHeight="1" x14ac:dyDescent="0.35">
      <c r="A790" s="25" t="s">
        <v>1063</v>
      </c>
      <c r="B790" s="25" t="s">
        <v>1064</v>
      </c>
      <c r="C790" s="26">
        <v>199003</v>
      </c>
      <c r="D790" s="25" t="s">
        <v>1079</v>
      </c>
      <c r="E790" s="25" t="s">
        <v>1066</v>
      </c>
      <c r="F790" s="26" t="s">
        <v>90</v>
      </c>
      <c r="G790" s="26" t="s">
        <v>90</v>
      </c>
      <c r="H790" s="26"/>
      <c r="I790" s="26"/>
      <c r="J790" s="26">
        <v>1</v>
      </c>
      <c r="K790" s="26">
        <v>138</v>
      </c>
      <c r="L790" s="26" t="s">
        <v>28</v>
      </c>
      <c r="M790" s="27">
        <v>1586</v>
      </c>
      <c r="N790" s="28"/>
      <c r="O790" s="26" t="s">
        <v>29</v>
      </c>
      <c r="P790" s="29"/>
      <c r="Q790" s="6"/>
      <c r="R790" s="29"/>
      <c r="S790" s="10"/>
      <c r="T790" s="8"/>
    </row>
    <row r="791" spans="1:20" ht="15.75" customHeight="1" x14ac:dyDescent="0.35">
      <c r="A791" s="25" t="s">
        <v>1063</v>
      </c>
      <c r="B791" s="25" t="s">
        <v>1064</v>
      </c>
      <c r="C791" s="26">
        <v>199004</v>
      </c>
      <c r="D791" s="25" t="s">
        <v>1080</v>
      </c>
      <c r="E791" s="25" t="s">
        <v>1066</v>
      </c>
      <c r="F791" s="26" t="s">
        <v>90</v>
      </c>
      <c r="G791" s="26" t="s">
        <v>90</v>
      </c>
      <c r="H791" s="26"/>
      <c r="I791" s="26"/>
      <c r="J791" s="26">
        <v>1</v>
      </c>
      <c r="K791" s="26">
        <v>138</v>
      </c>
      <c r="L791" s="26" t="s">
        <v>28</v>
      </c>
      <c r="M791" s="27">
        <v>1581</v>
      </c>
      <c r="N791" s="28"/>
      <c r="O791" s="26" t="s">
        <v>29</v>
      </c>
      <c r="P791" s="29"/>
      <c r="Q791" s="6"/>
      <c r="R791" s="29"/>
      <c r="S791" s="10"/>
      <c r="T791" s="8"/>
    </row>
    <row r="792" spans="1:20" ht="15.75" customHeight="1" x14ac:dyDescent="0.35">
      <c r="A792" s="25" t="s">
        <v>1063</v>
      </c>
      <c r="B792" s="25" t="s">
        <v>1064</v>
      </c>
      <c r="C792" s="26">
        <v>199005</v>
      </c>
      <c r="D792" s="25" t="s">
        <v>1081</v>
      </c>
      <c r="E792" s="25" t="s">
        <v>1066</v>
      </c>
      <c r="F792" s="26" t="s">
        <v>215</v>
      </c>
      <c r="G792" s="26" t="s">
        <v>215</v>
      </c>
      <c r="H792" s="26">
        <v>1</v>
      </c>
      <c r="I792" s="26">
        <v>9</v>
      </c>
      <c r="J792" s="26">
        <v>1</v>
      </c>
      <c r="K792" s="26">
        <v>138</v>
      </c>
      <c r="L792" s="26" t="s">
        <v>28</v>
      </c>
      <c r="M792" s="27">
        <v>1572</v>
      </c>
      <c r="N792" s="30">
        <v>740248.18</v>
      </c>
      <c r="O792" s="26" t="s">
        <v>29</v>
      </c>
      <c r="P792" s="29"/>
      <c r="Q792" s="6"/>
      <c r="R792" s="29"/>
      <c r="S792" s="10"/>
      <c r="T792" s="8">
        <v>1</v>
      </c>
    </row>
    <row r="793" spans="1:20" ht="15.75" customHeight="1" x14ac:dyDescent="0.35">
      <c r="A793" s="25" t="s">
        <v>1063</v>
      </c>
      <c r="B793" s="25" t="s">
        <v>1082</v>
      </c>
      <c r="C793" s="26">
        <v>124270</v>
      </c>
      <c r="D793" s="25" t="s">
        <v>1083</v>
      </c>
      <c r="E793" s="25" t="s">
        <v>1084</v>
      </c>
      <c r="F793" s="26" t="s">
        <v>491</v>
      </c>
      <c r="G793" s="26" t="s">
        <v>491</v>
      </c>
      <c r="H793" s="26">
        <v>1</v>
      </c>
      <c r="I793" s="26">
        <v>2</v>
      </c>
      <c r="J793" s="26">
        <v>1</v>
      </c>
      <c r="K793" s="26">
        <v>138</v>
      </c>
      <c r="L793" s="26" t="s">
        <v>28</v>
      </c>
      <c r="M793" s="27">
        <v>1626</v>
      </c>
      <c r="N793" s="28">
        <v>223966.18</v>
      </c>
      <c r="O793" s="26" t="s">
        <v>29</v>
      </c>
      <c r="P793" s="29"/>
      <c r="Q793" s="6"/>
      <c r="R793" s="29"/>
      <c r="S793" s="10"/>
      <c r="T793" s="8">
        <v>1</v>
      </c>
    </row>
    <row r="794" spans="1:20" ht="15.75" customHeight="1" x14ac:dyDescent="0.35">
      <c r="A794" s="25" t="s">
        <v>1063</v>
      </c>
      <c r="B794" s="25" t="s">
        <v>1082</v>
      </c>
      <c r="C794" s="26">
        <v>124294</v>
      </c>
      <c r="D794" s="25" t="s">
        <v>1085</v>
      </c>
      <c r="E794" s="25" t="s">
        <v>1086</v>
      </c>
      <c r="F794" s="26" t="s">
        <v>491</v>
      </c>
      <c r="G794" s="26" t="s">
        <v>491</v>
      </c>
      <c r="H794" s="26"/>
      <c r="I794" s="26"/>
      <c r="J794" s="26">
        <v>1</v>
      </c>
      <c r="K794" s="26">
        <v>138</v>
      </c>
      <c r="L794" s="26" t="s">
        <v>28</v>
      </c>
      <c r="M794" s="27">
        <v>1615</v>
      </c>
      <c r="N794" s="28"/>
      <c r="O794" s="26" t="s">
        <v>29</v>
      </c>
      <c r="P794" s="29"/>
      <c r="Q794" s="6"/>
      <c r="R794" s="29"/>
      <c r="S794" s="10"/>
      <c r="T794" s="8"/>
    </row>
    <row r="795" spans="1:20" ht="15.75" customHeight="1" x14ac:dyDescent="0.35">
      <c r="A795" s="25" t="s">
        <v>1063</v>
      </c>
      <c r="B795" s="25" t="s">
        <v>1082</v>
      </c>
      <c r="C795" s="26">
        <v>124320</v>
      </c>
      <c r="D795" s="25" t="s">
        <v>1087</v>
      </c>
      <c r="E795" s="25" t="s">
        <v>1086</v>
      </c>
      <c r="F795" s="26" t="s">
        <v>491</v>
      </c>
      <c r="G795" s="26" t="s">
        <v>491</v>
      </c>
      <c r="H795" s="26">
        <v>1</v>
      </c>
      <c r="I795" s="26">
        <v>2</v>
      </c>
      <c r="J795" s="26">
        <v>1</v>
      </c>
      <c r="K795" s="26">
        <v>138</v>
      </c>
      <c r="L795" s="26" t="s">
        <v>28</v>
      </c>
      <c r="M795" s="27">
        <v>1635</v>
      </c>
      <c r="N795" s="28">
        <v>261310.12</v>
      </c>
      <c r="O795" s="26" t="s">
        <v>29</v>
      </c>
      <c r="P795" s="29"/>
      <c r="Q795" s="6"/>
      <c r="R795" s="29"/>
      <c r="S795" s="10"/>
      <c r="T795" s="8">
        <v>1</v>
      </c>
    </row>
    <row r="796" spans="1:20" ht="15.75" customHeight="1" x14ac:dyDescent="0.35">
      <c r="A796" s="25" t="s">
        <v>1063</v>
      </c>
      <c r="B796" s="25" t="s">
        <v>1082</v>
      </c>
      <c r="C796" s="26">
        <v>124323</v>
      </c>
      <c r="D796" s="25" t="s">
        <v>1088</v>
      </c>
      <c r="E796" s="25" t="s">
        <v>1089</v>
      </c>
      <c r="F796" s="26" t="s">
        <v>90</v>
      </c>
      <c r="G796" s="26" t="s">
        <v>90</v>
      </c>
      <c r="H796" s="26">
        <v>1</v>
      </c>
      <c r="I796" s="26">
        <v>2</v>
      </c>
      <c r="J796" s="26">
        <v>1</v>
      </c>
      <c r="K796" s="26">
        <v>138</v>
      </c>
      <c r="L796" s="26" t="s">
        <v>28</v>
      </c>
      <c r="M796" s="27">
        <v>1597</v>
      </c>
      <c r="N796" s="28">
        <v>243966.18</v>
      </c>
      <c r="O796" s="26" t="s">
        <v>29</v>
      </c>
      <c r="P796" s="29"/>
      <c r="Q796" s="6"/>
      <c r="R796" s="29"/>
      <c r="S796" s="10"/>
      <c r="T796" s="8">
        <v>1</v>
      </c>
    </row>
    <row r="797" spans="1:20" ht="15.75" customHeight="1" x14ac:dyDescent="0.35">
      <c r="A797" s="25" t="s">
        <v>1063</v>
      </c>
      <c r="B797" s="25" t="s">
        <v>1082</v>
      </c>
      <c r="C797" s="26">
        <v>124331</v>
      </c>
      <c r="D797" s="25" t="s">
        <v>1090</v>
      </c>
      <c r="E797" s="25" t="s">
        <v>1089</v>
      </c>
      <c r="F797" s="26" t="s">
        <v>90</v>
      </c>
      <c r="G797" s="26" t="s">
        <v>90</v>
      </c>
      <c r="H797" s="26">
        <v>1</v>
      </c>
      <c r="I797" s="26">
        <v>2</v>
      </c>
      <c r="J797" s="26">
        <v>1</v>
      </c>
      <c r="K797" s="26">
        <v>138</v>
      </c>
      <c r="L797" s="26" t="s">
        <v>28</v>
      </c>
      <c r="M797" s="27">
        <v>1604</v>
      </c>
      <c r="N797" s="28">
        <v>220880.44</v>
      </c>
      <c r="O797" s="26" t="s">
        <v>29</v>
      </c>
      <c r="P797" s="29"/>
      <c r="Q797" s="6"/>
      <c r="R797" s="29"/>
      <c r="S797" s="10"/>
      <c r="T797" s="8">
        <v>1</v>
      </c>
    </row>
    <row r="798" spans="1:20" ht="15.75" customHeight="1" x14ac:dyDescent="0.35">
      <c r="A798" s="25" t="s">
        <v>1063</v>
      </c>
      <c r="B798" s="25" t="s">
        <v>1082</v>
      </c>
      <c r="C798" s="26">
        <v>124354</v>
      </c>
      <c r="D798" s="25" t="s">
        <v>1091</v>
      </c>
      <c r="E798" s="25" t="s">
        <v>1092</v>
      </c>
      <c r="F798" s="26" t="s">
        <v>491</v>
      </c>
      <c r="G798" s="26" t="s">
        <v>491</v>
      </c>
      <c r="H798" s="26">
        <v>1</v>
      </c>
      <c r="I798" s="26">
        <v>2</v>
      </c>
      <c r="J798" s="26">
        <v>1</v>
      </c>
      <c r="K798" s="26">
        <v>138</v>
      </c>
      <c r="L798" s="26" t="s">
        <v>28</v>
      </c>
      <c r="M798" s="27">
        <v>1628</v>
      </c>
      <c r="N798" s="28">
        <v>233966.18</v>
      </c>
      <c r="O798" s="26" t="s">
        <v>29</v>
      </c>
      <c r="P798" s="29"/>
      <c r="Q798" s="6"/>
      <c r="R798" s="29"/>
      <c r="S798" s="10"/>
      <c r="T798" s="8">
        <v>1</v>
      </c>
    </row>
    <row r="799" spans="1:20" ht="15.75" customHeight="1" x14ac:dyDescent="0.35">
      <c r="A799" s="25" t="s">
        <v>1063</v>
      </c>
      <c r="B799" s="25" t="s">
        <v>1082</v>
      </c>
      <c r="C799" s="26">
        <v>124365</v>
      </c>
      <c r="D799" s="25" t="s">
        <v>1093</v>
      </c>
      <c r="E799" s="25" t="s">
        <v>1094</v>
      </c>
      <c r="F799" s="26" t="s">
        <v>90</v>
      </c>
      <c r="G799" s="26" t="s">
        <v>90</v>
      </c>
      <c r="H799" s="26">
        <v>1</v>
      </c>
      <c r="I799" s="26">
        <v>2</v>
      </c>
      <c r="J799" s="26">
        <v>1</v>
      </c>
      <c r="K799" s="26">
        <v>138</v>
      </c>
      <c r="L799" s="26" t="s">
        <v>28</v>
      </c>
      <c r="M799" s="27">
        <v>1599</v>
      </c>
      <c r="N799" s="28">
        <v>223966.18</v>
      </c>
      <c r="O799" s="26" t="s">
        <v>29</v>
      </c>
      <c r="P799" s="29"/>
      <c r="Q799" s="6"/>
      <c r="R799" s="29"/>
      <c r="S799" s="10"/>
      <c r="T799" s="8">
        <v>1</v>
      </c>
    </row>
    <row r="800" spans="1:20" ht="15.75" customHeight="1" x14ac:dyDescent="0.35">
      <c r="A800" s="25" t="s">
        <v>1063</v>
      </c>
      <c r="B800" s="25" t="s">
        <v>1082</v>
      </c>
      <c r="C800" s="26">
        <v>124370</v>
      </c>
      <c r="D800" s="25" t="s">
        <v>1095</v>
      </c>
      <c r="E800" s="25" t="s">
        <v>1094</v>
      </c>
      <c r="F800" s="26" t="s">
        <v>90</v>
      </c>
      <c r="G800" s="26" t="s">
        <v>90</v>
      </c>
      <c r="H800" s="26"/>
      <c r="I800" s="26"/>
      <c r="J800" s="26">
        <v>1</v>
      </c>
      <c r="K800" s="26">
        <v>138</v>
      </c>
      <c r="L800" s="26" t="s">
        <v>28</v>
      </c>
      <c r="M800" s="27">
        <v>1603</v>
      </c>
      <c r="N800" s="28"/>
      <c r="O800" s="26" t="s">
        <v>29</v>
      </c>
      <c r="P800" s="29"/>
      <c r="Q800" s="6"/>
      <c r="R800" s="29"/>
      <c r="S800" s="10"/>
      <c r="T800" s="8"/>
    </row>
    <row r="801" spans="1:20" ht="15.75" customHeight="1" x14ac:dyDescent="0.35">
      <c r="A801" s="25" t="s">
        <v>1063</v>
      </c>
      <c r="B801" s="25" t="s">
        <v>1082</v>
      </c>
      <c r="C801" s="26">
        <v>124371</v>
      </c>
      <c r="D801" s="25" t="s">
        <v>1096</v>
      </c>
      <c r="E801" s="25" t="s">
        <v>1094</v>
      </c>
      <c r="F801" s="26" t="s">
        <v>90</v>
      </c>
      <c r="G801" s="26" t="s">
        <v>90</v>
      </c>
      <c r="H801" s="26"/>
      <c r="I801" s="26"/>
      <c r="J801" s="26">
        <v>1</v>
      </c>
      <c r="K801" s="26">
        <v>138</v>
      </c>
      <c r="L801" s="26" t="s">
        <v>28</v>
      </c>
      <c r="M801" s="27">
        <v>1605</v>
      </c>
      <c r="N801" s="28"/>
      <c r="O801" s="26" t="s">
        <v>29</v>
      </c>
      <c r="P801" s="29"/>
      <c r="Q801" s="6"/>
      <c r="R801" s="29"/>
      <c r="S801" s="10"/>
      <c r="T801" s="8"/>
    </row>
    <row r="802" spans="1:20" ht="15.75" customHeight="1" x14ac:dyDescent="0.35">
      <c r="A802" s="25" t="s">
        <v>1063</v>
      </c>
      <c r="B802" s="25" t="s">
        <v>1082</v>
      </c>
      <c r="C802" s="26">
        <v>124430</v>
      </c>
      <c r="D802" s="25" t="s">
        <v>1097</v>
      </c>
      <c r="E802" s="25" t="s">
        <v>1098</v>
      </c>
      <c r="F802" s="26" t="s">
        <v>491</v>
      </c>
      <c r="G802" s="26" t="s">
        <v>491</v>
      </c>
      <c r="H802" s="26">
        <v>1</v>
      </c>
      <c r="I802" s="26">
        <v>2</v>
      </c>
      <c r="J802" s="26">
        <v>1</v>
      </c>
      <c r="K802" s="26">
        <v>138</v>
      </c>
      <c r="L802" s="26" t="s">
        <v>28</v>
      </c>
      <c r="M802" s="27">
        <v>1613</v>
      </c>
      <c r="N802" s="28">
        <v>263892.18</v>
      </c>
      <c r="O802" s="26" t="s">
        <v>29</v>
      </c>
      <c r="P802" s="29"/>
      <c r="Q802" s="6"/>
      <c r="R802" s="29"/>
      <c r="S802" s="10"/>
      <c r="T802" s="8">
        <v>1</v>
      </c>
    </row>
    <row r="803" spans="1:20" ht="15.75" customHeight="1" x14ac:dyDescent="0.35">
      <c r="A803" s="25" t="s">
        <v>1063</v>
      </c>
      <c r="B803" s="25" t="s">
        <v>1082</v>
      </c>
      <c r="C803" s="26">
        <v>124481</v>
      </c>
      <c r="D803" s="25" t="s">
        <v>1099</v>
      </c>
      <c r="E803" s="25" t="s">
        <v>1100</v>
      </c>
      <c r="F803" s="26" t="s">
        <v>90</v>
      </c>
      <c r="G803" s="26" t="s">
        <v>90</v>
      </c>
      <c r="H803" s="26">
        <v>1</v>
      </c>
      <c r="I803" s="26">
        <v>2</v>
      </c>
      <c r="J803" s="26">
        <v>1</v>
      </c>
      <c r="K803" s="26">
        <v>138</v>
      </c>
      <c r="L803" s="26" t="s">
        <v>28</v>
      </c>
      <c r="M803" s="27">
        <v>1606</v>
      </c>
      <c r="N803" s="28">
        <v>223966.18</v>
      </c>
      <c r="O803" s="26" t="s">
        <v>29</v>
      </c>
      <c r="P803" s="29"/>
      <c r="Q803" s="6"/>
      <c r="R803" s="29"/>
      <c r="S803" s="10"/>
      <c r="T803" s="8">
        <v>1</v>
      </c>
    </row>
    <row r="804" spans="1:20" ht="15.75" customHeight="1" x14ac:dyDescent="0.35">
      <c r="A804" s="25" t="s">
        <v>1063</v>
      </c>
      <c r="B804" s="25" t="s">
        <v>1082</v>
      </c>
      <c r="C804" s="26">
        <v>124489</v>
      </c>
      <c r="D804" s="25" t="s">
        <v>1101</v>
      </c>
      <c r="E804" s="25" t="s">
        <v>1100</v>
      </c>
      <c r="F804" s="26" t="s">
        <v>90</v>
      </c>
      <c r="G804" s="26" t="s">
        <v>90</v>
      </c>
      <c r="H804" s="26">
        <v>1</v>
      </c>
      <c r="I804" s="26">
        <v>2</v>
      </c>
      <c r="J804" s="26">
        <v>1</v>
      </c>
      <c r="K804" s="26">
        <v>138</v>
      </c>
      <c r="L804" s="26" t="s">
        <v>28</v>
      </c>
      <c r="M804" s="27">
        <v>1608</v>
      </c>
      <c r="N804" s="28">
        <v>223966.18</v>
      </c>
      <c r="O804" s="26" t="s">
        <v>29</v>
      </c>
      <c r="P804" s="29"/>
      <c r="Q804" s="6"/>
      <c r="R804" s="29"/>
      <c r="S804" s="10"/>
      <c r="T804" s="8">
        <v>1</v>
      </c>
    </row>
    <row r="805" spans="1:20" ht="15.75" customHeight="1" x14ac:dyDescent="0.35">
      <c r="A805" s="25" t="s">
        <v>1063</v>
      </c>
      <c r="B805" s="25" t="s">
        <v>1082</v>
      </c>
      <c r="C805" s="26">
        <v>124490</v>
      </c>
      <c r="D805" s="25" t="s">
        <v>1102</v>
      </c>
      <c r="E805" s="25" t="s">
        <v>1100</v>
      </c>
      <c r="F805" s="26" t="s">
        <v>90</v>
      </c>
      <c r="G805" s="26" t="s">
        <v>90</v>
      </c>
      <c r="H805" s="26">
        <v>1</v>
      </c>
      <c r="I805" s="26">
        <v>2</v>
      </c>
      <c r="J805" s="26">
        <v>1</v>
      </c>
      <c r="K805" s="26">
        <v>138</v>
      </c>
      <c r="L805" s="26" t="s">
        <v>28</v>
      </c>
      <c r="M805" s="27">
        <v>1609</v>
      </c>
      <c r="N805" s="28">
        <v>223966.18</v>
      </c>
      <c r="O805" s="26" t="s">
        <v>29</v>
      </c>
      <c r="P805" s="29"/>
      <c r="Q805" s="6"/>
      <c r="R805" s="29"/>
      <c r="S805" s="10"/>
      <c r="T805" s="8">
        <v>1</v>
      </c>
    </row>
    <row r="806" spans="1:20" ht="15.75" customHeight="1" x14ac:dyDescent="0.35">
      <c r="A806" s="25" t="s">
        <v>1063</v>
      </c>
      <c r="B806" s="25" t="s">
        <v>1082</v>
      </c>
      <c r="C806" s="26">
        <v>124517</v>
      </c>
      <c r="D806" s="25" t="s">
        <v>1103</v>
      </c>
      <c r="E806" s="25" t="s">
        <v>1104</v>
      </c>
      <c r="F806" s="26" t="s">
        <v>90</v>
      </c>
      <c r="G806" s="26" t="s">
        <v>90</v>
      </c>
      <c r="H806" s="26">
        <v>1</v>
      </c>
      <c r="I806" s="26">
        <v>2</v>
      </c>
      <c r="J806" s="26">
        <v>1</v>
      </c>
      <c r="K806" s="26">
        <v>138</v>
      </c>
      <c r="L806" s="26" t="s">
        <v>28</v>
      </c>
      <c r="M806" s="27">
        <v>1607</v>
      </c>
      <c r="N806" s="28">
        <v>243966.18</v>
      </c>
      <c r="O806" s="26" t="s">
        <v>29</v>
      </c>
      <c r="P806" s="29"/>
      <c r="Q806" s="6"/>
      <c r="R806" s="29"/>
      <c r="S806" s="10"/>
      <c r="T806" s="8">
        <v>1</v>
      </c>
    </row>
    <row r="807" spans="1:20" ht="15.75" customHeight="1" x14ac:dyDescent="0.35">
      <c r="A807" s="25" t="s">
        <v>1063</v>
      </c>
      <c r="B807" s="25" t="s">
        <v>1082</v>
      </c>
      <c r="C807" s="26">
        <v>124549</v>
      </c>
      <c r="D807" s="25" t="s">
        <v>1105</v>
      </c>
      <c r="E807" s="25" t="s">
        <v>1106</v>
      </c>
      <c r="F807" s="26" t="s">
        <v>215</v>
      </c>
      <c r="G807" s="26" t="s">
        <v>215</v>
      </c>
      <c r="H807" s="26">
        <v>1</v>
      </c>
      <c r="I807" s="26">
        <v>2</v>
      </c>
      <c r="J807" s="26">
        <v>1</v>
      </c>
      <c r="K807" s="26">
        <v>138</v>
      </c>
      <c r="L807" s="26" t="s">
        <v>28</v>
      </c>
      <c r="M807" s="27">
        <v>1589</v>
      </c>
      <c r="N807" s="28">
        <v>223966.18</v>
      </c>
      <c r="O807" s="26" t="s">
        <v>29</v>
      </c>
      <c r="P807" s="29"/>
      <c r="Q807" s="6"/>
      <c r="R807" s="29"/>
      <c r="S807" s="10"/>
      <c r="T807" s="8">
        <v>1</v>
      </c>
    </row>
    <row r="808" spans="1:20" ht="15.75" customHeight="1" x14ac:dyDescent="0.35">
      <c r="A808" s="25" t="s">
        <v>1063</v>
      </c>
      <c r="B808" s="25" t="s">
        <v>1082</v>
      </c>
      <c r="C808" s="26">
        <v>124643</v>
      </c>
      <c r="D808" s="25" t="s">
        <v>1107</v>
      </c>
      <c r="E808" s="25" t="s">
        <v>1108</v>
      </c>
      <c r="F808" s="26" t="s">
        <v>215</v>
      </c>
      <c r="G808" s="26" t="s">
        <v>215</v>
      </c>
      <c r="H808" s="26">
        <v>1</v>
      </c>
      <c r="I808" s="26">
        <v>2</v>
      </c>
      <c r="J808" s="26">
        <v>1</v>
      </c>
      <c r="K808" s="26">
        <v>138</v>
      </c>
      <c r="L808" s="26" t="s">
        <v>28</v>
      </c>
      <c r="M808" s="27">
        <v>1590</v>
      </c>
      <c r="N808" s="28">
        <v>228966.18</v>
      </c>
      <c r="O808" s="26" t="s">
        <v>29</v>
      </c>
      <c r="P808" s="29"/>
      <c r="Q808" s="6"/>
      <c r="R808" s="29"/>
      <c r="S808" s="10"/>
      <c r="T808" s="8">
        <v>1</v>
      </c>
    </row>
    <row r="809" spans="1:20" ht="15.75" customHeight="1" x14ac:dyDescent="0.35">
      <c r="A809" s="25" t="s">
        <v>1063</v>
      </c>
      <c r="B809" s="25" t="s">
        <v>1082</v>
      </c>
      <c r="C809" s="26">
        <v>124652</v>
      </c>
      <c r="D809" s="25" t="s">
        <v>1109</v>
      </c>
      <c r="E809" s="25" t="s">
        <v>1108</v>
      </c>
      <c r="F809" s="26" t="s">
        <v>215</v>
      </c>
      <c r="G809" s="26" t="s">
        <v>215</v>
      </c>
      <c r="H809" s="26">
        <v>1</v>
      </c>
      <c r="I809" s="26">
        <v>2</v>
      </c>
      <c r="J809" s="26">
        <v>1</v>
      </c>
      <c r="K809" s="26">
        <v>138</v>
      </c>
      <c r="L809" s="26" t="s">
        <v>28</v>
      </c>
      <c r="M809" s="27">
        <v>1593</v>
      </c>
      <c r="N809" s="28">
        <v>228966.18</v>
      </c>
      <c r="O809" s="26" t="s">
        <v>29</v>
      </c>
      <c r="P809" s="29"/>
      <c r="Q809" s="6"/>
      <c r="R809" s="29"/>
      <c r="S809" s="10"/>
      <c r="T809" s="8">
        <v>1</v>
      </c>
    </row>
    <row r="810" spans="1:20" ht="15.75" customHeight="1" x14ac:dyDescent="0.35">
      <c r="A810" s="25" t="s">
        <v>1063</v>
      </c>
      <c r="B810" s="25" t="s">
        <v>1082</v>
      </c>
      <c r="C810" s="26">
        <v>124661</v>
      </c>
      <c r="D810" s="25" t="s">
        <v>1110</v>
      </c>
      <c r="E810" s="25" t="s">
        <v>1108</v>
      </c>
      <c r="F810" s="26" t="s">
        <v>215</v>
      </c>
      <c r="G810" s="26" t="s">
        <v>215</v>
      </c>
      <c r="H810" s="26">
        <v>1</v>
      </c>
      <c r="I810" s="26">
        <v>2</v>
      </c>
      <c r="J810" s="26">
        <v>1</v>
      </c>
      <c r="K810" s="26">
        <v>138</v>
      </c>
      <c r="L810" s="26" t="s">
        <v>28</v>
      </c>
      <c r="M810" s="27">
        <v>1591</v>
      </c>
      <c r="N810" s="28">
        <v>228966.18</v>
      </c>
      <c r="O810" s="26" t="s">
        <v>29</v>
      </c>
      <c r="P810" s="29"/>
      <c r="Q810" s="6"/>
      <c r="R810" s="29"/>
      <c r="S810" s="10"/>
      <c r="T810" s="8">
        <v>1</v>
      </c>
    </row>
    <row r="811" spans="1:20" ht="15.75" customHeight="1" x14ac:dyDescent="0.35">
      <c r="A811" s="25" t="s">
        <v>1063</v>
      </c>
      <c r="B811" s="25" t="s">
        <v>1082</v>
      </c>
      <c r="C811" s="26">
        <v>124663</v>
      </c>
      <c r="D811" s="25" t="s">
        <v>1111</v>
      </c>
      <c r="E811" s="25" t="s">
        <v>1108</v>
      </c>
      <c r="F811" s="26" t="s">
        <v>215</v>
      </c>
      <c r="G811" s="26" t="s">
        <v>215</v>
      </c>
      <c r="H811" s="26">
        <v>1</v>
      </c>
      <c r="I811" s="26">
        <v>2</v>
      </c>
      <c r="J811" s="26">
        <v>1</v>
      </c>
      <c r="K811" s="26">
        <v>138</v>
      </c>
      <c r="L811" s="26" t="s">
        <v>28</v>
      </c>
      <c r="M811" s="27">
        <v>1592</v>
      </c>
      <c r="N811" s="28">
        <v>228966.18</v>
      </c>
      <c r="O811" s="26" t="s">
        <v>29</v>
      </c>
      <c r="P811" s="29"/>
      <c r="Q811" s="6"/>
      <c r="R811" s="29"/>
      <c r="S811" s="10"/>
      <c r="T811" s="8">
        <v>1</v>
      </c>
    </row>
    <row r="812" spans="1:20" ht="15.75" customHeight="1" x14ac:dyDescent="0.35">
      <c r="A812" s="25" t="s">
        <v>1063</v>
      </c>
      <c r="B812" s="25" t="s">
        <v>1082</v>
      </c>
      <c r="C812" s="26">
        <v>124674</v>
      </c>
      <c r="D812" s="25" t="s">
        <v>1112</v>
      </c>
      <c r="E812" s="25" t="s">
        <v>1113</v>
      </c>
      <c r="F812" s="26" t="s">
        <v>90</v>
      </c>
      <c r="G812" s="26" t="s">
        <v>90</v>
      </c>
      <c r="H812" s="26">
        <v>1</v>
      </c>
      <c r="I812" s="26">
        <v>2</v>
      </c>
      <c r="J812" s="26">
        <v>1</v>
      </c>
      <c r="K812" s="26">
        <v>138</v>
      </c>
      <c r="L812" s="26" t="s">
        <v>28</v>
      </c>
      <c r="M812" s="27">
        <v>1594</v>
      </c>
      <c r="N812" s="28">
        <v>233966.18</v>
      </c>
      <c r="O812" s="26" t="s">
        <v>29</v>
      </c>
      <c r="P812" s="29"/>
      <c r="Q812" s="6"/>
      <c r="R812" s="29"/>
      <c r="S812" s="10"/>
      <c r="T812" s="8">
        <v>1</v>
      </c>
    </row>
    <row r="813" spans="1:20" ht="15.75" customHeight="1" x14ac:dyDescent="0.35">
      <c r="A813" s="25" t="s">
        <v>1063</v>
      </c>
      <c r="B813" s="25" t="s">
        <v>1082</v>
      </c>
      <c r="C813" s="26">
        <v>124681</v>
      </c>
      <c r="D813" s="25" t="s">
        <v>1114</v>
      </c>
      <c r="E813" s="25" t="s">
        <v>1113</v>
      </c>
      <c r="F813" s="26" t="s">
        <v>90</v>
      </c>
      <c r="G813" s="26" t="s">
        <v>90</v>
      </c>
      <c r="H813" s="26">
        <v>1</v>
      </c>
      <c r="I813" s="26">
        <v>2</v>
      </c>
      <c r="J813" s="26">
        <v>1</v>
      </c>
      <c r="K813" s="26">
        <v>138</v>
      </c>
      <c r="L813" s="26" t="s">
        <v>28</v>
      </c>
      <c r="M813" s="27">
        <v>1601</v>
      </c>
      <c r="N813" s="28">
        <v>233966.18</v>
      </c>
      <c r="O813" s="26" t="s">
        <v>29</v>
      </c>
      <c r="P813" s="29"/>
      <c r="Q813" s="6"/>
      <c r="R813" s="29"/>
      <c r="S813" s="10"/>
      <c r="T813" s="8">
        <v>1</v>
      </c>
    </row>
    <row r="814" spans="1:20" ht="15.75" customHeight="1" x14ac:dyDescent="0.35">
      <c r="A814" s="25" t="s">
        <v>1063</v>
      </c>
      <c r="B814" s="25" t="s">
        <v>1082</v>
      </c>
      <c r="C814" s="26">
        <v>124684</v>
      </c>
      <c r="D814" s="25" t="s">
        <v>1115</v>
      </c>
      <c r="E814" s="25" t="s">
        <v>1113</v>
      </c>
      <c r="F814" s="26" t="s">
        <v>90</v>
      </c>
      <c r="G814" s="26" t="s">
        <v>90</v>
      </c>
      <c r="H814" s="26">
        <v>1</v>
      </c>
      <c r="I814" s="26">
        <v>2</v>
      </c>
      <c r="J814" s="26">
        <v>1</v>
      </c>
      <c r="K814" s="26">
        <v>138</v>
      </c>
      <c r="L814" s="26" t="s">
        <v>28</v>
      </c>
      <c r="M814" s="27">
        <v>1602</v>
      </c>
      <c r="N814" s="28">
        <v>223966.18</v>
      </c>
      <c r="O814" s="26" t="s">
        <v>29</v>
      </c>
      <c r="P814" s="29"/>
      <c r="Q814" s="6"/>
      <c r="R814" s="29"/>
      <c r="S814" s="10"/>
      <c r="T814" s="8">
        <v>1</v>
      </c>
    </row>
    <row r="815" spans="1:20" ht="15.75" customHeight="1" x14ac:dyDescent="0.35">
      <c r="A815" s="25" t="s">
        <v>1063</v>
      </c>
      <c r="B815" s="25" t="s">
        <v>1082</v>
      </c>
      <c r="C815" s="26">
        <v>124703</v>
      </c>
      <c r="D815" s="25" t="s">
        <v>1116</v>
      </c>
      <c r="E815" s="25" t="s">
        <v>1113</v>
      </c>
      <c r="F815" s="26" t="s">
        <v>90</v>
      </c>
      <c r="G815" s="26" t="s">
        <v>90</v>
      </c>
      <c r="H815" s="26">
        <v>1</v>
      </c>
      <c r="I815" s="26">
        <v>2</v>
      </c>
      <c r="J815" s="26">
        <v>1</v>
      </c>
      <c r="K815" s="26">
        <v>138</v>
      </c>
      <c r="L815" s="26" t="s">
        <v>28</v>
      </c>
      <c r="M815" s="27">
        <v>1610</v>
      </c>
      <c r="N815" s="28">
        <v>223966.18</v>
      </c>
      <c r="O815" s="26" t="s">
        <v>29</v>
      </c>
      <c r="P815" s="29"/>
      <c r="Q815" s="6"/>
      <c r="R815" s="29"/>
      <c r="S815" s="10"/>
      <c r="T815" s="8">
        <v>1</v>
      </c>
    </row>
    <row r="816" spans="1:20" ht="15.75" customHeight="1" x14ac:dyDescent="0.35">
      <c r="A816" s="25" t="s">
        <v>1063</v>
      </c>
      <c r="B816" s="25" t="s">
        <v>1082</v>
      </c>
      <c r="C816" s="26">
        <v>124714</v>
      </c>
      <c r="D816" s="25" t="s">
        <v>1117</v>
      </c>
      <c r="E816" s="25" t="s">
        <v>1118</v>
      </c>
      <c r="F816" s="26" t="s">
        <v>491</v>
      </c>
      <c r="G816" s="26" t="s">
        <v>491</v>
      </c>
      <c r="H816" s="26">
        <v>1</v>
      </c>
      <c r="I816" s="26">
        <v>2</v>
      </c>
      <c r="J816" s="26">
        <v>1</v>
      </c>
      <c r="K816" s="26">
        <v>138</v>
      </c>
      <c r="L816" s="26" t="s">
        <v>28</v>
      </c>
      <c r="M816" s="27">
        <v>1616</v>
      </c>
      <c r="N816" s="28">
        <v>243966.18</v>
      </c>
      <c r="O816" s="26" t="s">
        <v>29</v>
      </c>
      <c r="P816" s="29"/>
      <c r="Q816" s="6"/>
      <c r="R816" s="29"/>
      <c r="S816" s="10"/>
      <c r="T816" s="8">
        <v>1</v>
      </c>
    </row>
    <row r="817" spans="1:20" ht="15.75" customHeight="1" x14ac:dyDescent="0.35">
      <c r="A817" s="25" t="s">
        <v>1063</v>
      </c>
      <c r="B817" s="25" t="s">
        <v>1082</v>
      </c>
      <c r="C817" s="26">
        <v>124715</v>
      </c>
      <c r="D817" s="25" t="s">
        <v>1119</v>
      </c>
      <c r="E817" s="25" t="s">
        <v>1118</v>
      </c>
      <c r="F817" s="26" t="s">
        <v>491</v>
      </c>
      <c r="G817" s="26" t="s">
        <v>491</v>
      </c>
      <c r="H817" s="26">
        <v>1</v>
      </c>
      <c r="I817" s="26">
        <v>2</v>
      </c>
      <c r="J817" s="26">
        <v>1</v>
      </c>
      <c r="K817" s="26">
        <v>138</v>
      </c>
      <c r="L817" s="26" t="s">
        <v>28</v>
      </c>
      <c r="M817" s="27">
        <v>1617</v>
      </c>
      <c r="N817" s="28">
        <v>243966.18</v>
      </c>
      <c r="O817" s="26" t="s">
        <v>29</v>
      </c>
      <c r="P817" s="29"/>
      <c r="Q817" s="6"/>
      <c r="R817" s="29"/>
      <c r="S817" s="10"/>
      <c r="T817" s="8">
        <v>1</v>
      </c>
    </row>
    <row r="818" spans="1:20" ht="15.75" customHeight="1" x14ac:dyDescent="0.35">
      <c r="A818" s="25" t="s">
        <v>1063</v>
      </c>
      <c r="B818" s="25" t="s">
        <v>1082</v>
      </c>
      <c r="C818" s="26">
        <v>124717</v>
      </c>
      <c r="D818" s="25" t="s">
        <v>1120</v>
      </c>
      <c r="E818" s="25" t="s">
        <v>1118</v>
      </c>
      <c r="F818" s="26" t="s">
        <v>491</v>
      </c>
      <c r="G818" s="26" t="s">
        <v>491</v>
      </c>
      <c r="H818" s="26"/>
      <c r="I818" s="26"/>
      <c r="J818" s="26">
        <v>1</v>
      </c>
      <c r="K818" s="26">
        <v>138</v>
      </c>
      <c r="L818" s="26" t="s">
        <v>28</v>
      </c>
      <c r="M818" s="27">
        <v>1620</v>
      </c>
      <c r="N818" s="28"/>
      <c r="O818" s="26" t="s">
        <v>29</v>
      </c>
      <c r="P818" s="29"/>
      <c r="Q818" s="6"/>
      <c r="R818" s="29"/>
      <c r="S818" s="10"/>
      <c r="T818" s="8"/>
    </row>
    <row r="819" spans="1:20" ht="15.75" customHeight="1" x14ac:dyDescent="0.35">
      <c r="A819" s="25" t="s">
        <v>1063</v>
      </c>
      <c r="B819" s="25" t="s">
        <v>1082</v>
      </c>
      <c r="C819" s="26">
        <v>124724</v>
      </c>
      <c r="D819" s="25" t="s">
        <v>1121</v>
      </c>
      <c r="E819" s="25" t="s">
        <v>1118</v>
      </c>
      <c r="F819" s="26" t="s">
        <v>491</v>
      </c>
      <c r="G819" s="26" t="s">
        <v>491</v>
      </c>
      <c r="H819" s="26"/>
      <c r="I819" s="26"/>
      <c r="J819" s="26">
        <v>1</v>
      </c>
      <c r="K819" s="26">
        <v>138</v>
      </c>
      <c r="L819" s="26" t="s">
        <v>28</v>
      </c>
      <c r="M819" s="27">
        <v>1622</v>
      </c>
      <c r="N819" s="28"/>
      <c r="O819" s="26" t="s">
        <v>29</v>
      </c>
      <c r="P819" s="29"/>
      <c r="Q819" s="6"/>
      <c r="R819" s="29"/>
      <c r="S819" s="10"/>
      <c r="T819" s="8"/>
    </row>
    <row r="820" spans="1:20" ht="15.75" customHeight="1" x14ac:dyDescent="0.35">
      <c r="A820" s="25" t="s">
        <v>1063</v>
      </c>
      <c r="B820" s="25" t="s">
        <v>1082</v>
      </c>
      <c r="C820" s="26">
        <v>124732</v>
      </c>
      <c r="D820" s="25" t="s">
        <v>1122</v>
      </c>
      <c r="E820" s="25" t="s">
        <v>1118</v>
      </c>
      <c r="F820" s="26" t="s">
        <v>491</v>
      </c>
      <c r="G820" s="26" t="s">
        <v>491</v>
      </c>
      <c r="H820" s="26">
        <v>1</v>
      </c>
      <c r="I820" s="26">
        <v>2</v>
      </c>
      <c r="J820" s="26">
        <v>1</v>
      </c>
      <c r="K820" s="26">
        <v>138</v>
      </c>
      <c r="L820" s="26" t="s">
        <v>28</v>
      </c>
      <c r="M820" s="27">
        <v>1629</v>
      </c>
      <c r="N820" s="28">
        <v>243966.18</v>
      </c>
      <c r="O820" s="26" t="s">
        <v>29</v>
      </c>
      <c r="P820" s="29"/>
      <c r="Q820" s="6"/>
      <c r="R820" s="29"/>
      <c r="S820" s="10"/>
      <c r="T820" s="8">
        <v>1</v>
      </c>
    </row>
    <row r="821" spans="1:20" ht="15.75" customHeight="1" x14ac:dyDescent="0.35">
      <c r="A821" s="25" t="s">
        <v>1063</v>
      </c>
      <c r="B821" s="25" t="s">
        <v>1082</v>
      </c>
      <c r="C821" s="26">
        <v>124735</v>
      </c>
      <c r="D821" s="25" t="s">
        <v>747</v>
      </c>
      <c r="E821" s="25" t="s">
        <v>1118</v>
      </c>
      <c r="F821" s="26" t="s">
        <v>491</v>
      </c>
      <c r="G821" s="26" t="s">
        <v>491</v>
      </c>
      <c r="H821" s="26">
        <v>1</v>
      </c>
      <c r="I821" s="26">
        <v>2</v>
      </c>
      <c r="J821" s="26">
        <v>1</v>
      </c>
      <c r="K821" s="26">
        <v>138</v>
      </c>
      <c r="L821" s="26" t="s">
        <v>28</v>
      </c>
      <c r="M821" s="27">
        <v>1632</v>
      </c>
      <c r="N821" s="28">
        <v>243966.18</v>
      </c>
      <c r="O821" s="26" t="s">
        <v>29</v>
      </c>
      <c r="P821" s="29"/>
      <c r="Q821" s="6"/>
      <c r="R821" s="29"/>
      <c r="S821" s="10"/>
      <c r="T821" s="8">
        <v>1</v>
      </c>
    </row>
    <row r="822" spans="1:20" ht="15.75" customHeight="1" x14ac:dyDescent="0.35">
      <c r="A822" s="25" t="s">
        <v>1063</v>
      </c>
      <c r="B822" s="25" t="s">
        <v>1082</v>
      </c>
      <c r="C822" s="26">
        <v>124769</v>
      </c>
      <c r="D822" s="25" t="s">
        <v>1123</v>
      </c>
      <c r="E822" s="25" t="s">
        <v>1124</v>
      </c>
      <c r="F822" s="26" t="s">
        <v>90</v>
      </c>
      <c r="G822" s="26" t="s">
        <v>90</v>
      </c>
      <c r="H822" s="26">
        <v>1</v>
      </c>
      <c r="I822" s="26">
        <v>2</v>
      </c>
      <c r="J822" s="26">
        <v>1</v>
      </c>
      <c r="K822" s="26">
        <v>138</v>
      </c>
      <c r="L822" s="26" t="s">
        <v>28</v>
      </c>
      <c r="M822" s="27">
        <v>1598</v>
      </c>
      <c r="N822" s="28">
        <v>233966.18</v>
      </c>
      <c r="O822" s="26" t="s">
        <v>29</v>
      </c>
      <c r="P822" s="29"/>
      <c r="Q822" s="6"/>
      <c r="R822" s="29"/>
      <c r="S822" s="10"/>
      <c r="T822" s="8">
        <v>1</v>
      </c>
    </row>
    <row r="823" spans="1:20" ht="15.75" customHeight="1" x14ac:dyDescent="0.35">
      <c r="A823" s="25" t="s">
        <v>1063</v>
      </c>
      <c r="B823" s="25" t="s">
        <v>1082</v>
      </c>
      <c r="C823" s="26">
        <v>124787</v>
      </c>
      <c r="D823" s="25" t="s">
        <v>1125</v>
      </c>
      <c r="E823" s="25" t="s">
        <v>1124</v>
      </c>
      <c r="F823" s="26" t="s">
        <v>90</v>
      </c>
      <c r="G823" s="26" t="s">
        <v>90</v>
      </c>
      <c r="H823" s="26"/>
      <c r="I823" s="26"/>
      <c r="J823" s="26">
        <v>1</v>
      </c>
      <c r="K823" s="26">
        <v>138</v>
      </c>
      <c r="L823" s="26" t="s">
        <v>28</v>
      </c>
      <c r="M823" s="27">
        <v>1596</v>
      </c>
      <c r="N823" s="28"/>
      <c r="O823" s="26" t="s">
        <v>29</v>
      </c>
      <c r="P823" s="29"/>
      <c r="Q823" s="6"/>
      <c r="R823" s="29"/>
      <c r="S823" s="10"/>
      <c r="T823" s="8"/>
    </row>
    <row r="824" spans="1:20" ht="15.75" customHeight="1" x14ac:dyDescent="0.35">
      <c r="A824" s="25" t="s">
        <v>1063</v>
      </c>
      <c r="B824" s="25" t="s">
        <v>1082</v>
      </c>
      <c r="C824" s="26">
        <v>124793</v>
      </c>
      <c r="D824" s="25" t="s">
        <v>1085</v>
      </c>
      <c r="E824" s="25" t="s">
        <v>1124</v>
      </c>
      <c r="F824" s="26" t="s">
        <v>90</v>
      </c>
      <c r="G824" s="26" t="s">
        <v>90</v>
      </c>
      <c r="H824" s="26">
        <v>1</v>
      </c>
      <c r="I824" s="26">
        <v>2</v>
      </c>
      <c r="J824" s="26">
        <v>1</v>
      </c>
      <c r="K824" s="26">
        <v>138</v>
      </c>
      <c r="L824" s="26" t="s">
        <v>28</v>
      </c>
      <c r="M824" s="27">
        <v>1600</v>
      </c>
      <c r="N824" s="28">
        <v>233966.18</v>
      </c>
      <c r="O824" s="26" t="s">
        <v>29</v>
      </c>
      <c r="P824" s="29"/>
      <c r="Q824" s="6"/>
      <c r="R824" s="29"/>
      <c r="S824" s="10"/>
      <c r="T824" s="8">
        <v>1</v>
      </c>
    </row>
    <row r="825" spans="1:20" ht="15.75" customHeight="1" x14ac:dyDescent="0.35">
      <c r="A825" s="25" t="s">
        <v>1063</v>
      </c>
      <c r="B825" s="25" t="s">
        <v>1082</v>
      </c>
      <c r="C825" s="26">
        <v>124807</v>
      </c>
      <c r="D825" s="25" t="s">
        <v>1126</v>
      </c>
      <c r="E825" s="25" t="s">
        <v>1124</v>
      </c>
      <c r="F825" s="26" t="s">
        <v>90</v>
      </c>
      <c r="G825" s="26" t="s">
        <v>90</v>
      </c>
      <c r="H825" s="26">
        <v>1</v>
      </c>
      <c r="I825" s="26">
        <v>2</v>
      </c>
      <c r="J825" s="26">
        <v>1</v>
      </c>
      <c r="K825" s="26">
        <v>138</v>
      </c>
      <c r="L825" s="26" t="s">
        <v>28</v>
      </c>
      <c r="M825" s="27">
        <v>1611</v>
      </c>
      <c r="N825" s="28">
        <v>233966.18</v>
      </c>
      <c r="O825" s="26" t="s">
        <v>29</v>
      </c>
      <c r="P825" s="29"/>
      <c r="Q825" s="6"/>
      <c r="R825" s="29"/>
      <c r="S825" s="10"/>
      <c r="T825" s="8">
        <v>1</v>
      </c>
    </row>
    <row r="826" spans="1:20" ht="15.75" customHeight="1" x14ac:dyDescent="0.35">
      <c r="A826" s="25" t="s">
        <v>1063</v>
      </c>
      <c r="B826" s="25" t="s">
        <v>1082</v>
      </c>
      <c r="C826" s="26">
        <v>124816</v>
      </c>
      <c r="D826" s="25" t="s">
        <v>1127</v>
      </c>
      <c r="E826" s="25" t="s">
        <v>1128</v>
      </c>
      <c r="F826" s="26" t="s">
        <v>491</v>
      </c>
      <c r="G826" s="26" t="s">
        <v>491</v>
      </c>
      <c r="H826" s="26">
        <v>1</v>
      </c>
      <c r="I826" s="26">
        <v>2</v>
      </c>
      <c r="J826" s="26">
        <v>1</v>
      </c>
      <c r="K826" s="26">
        <v>138</v>
      </c>
      <c r="L826" s="26" t="s">
        <v>28</v>
      </c>
      <c r="M826" s="27">
        <v>1614</v>
      </c>
      <c r="N826" s="28">
        <v>243966.18</v>
      </c>
      <c r="O826" s="26" t="s">
        <v>29</v>
      </c>
      <c r="P826" s="29"/>
      <c r="Q826" s="6"/>
      <c r="R826" s="29"/>
      <c r="S826" s="10"/>
      <c r="T826" s="8">
        <v>1</v>
      </c>
    </row>
    <row r="827" spans="1:20" ht="15.75" customHeight="1" x14ac:dyDescent="0.35">
      <c r="A827" s="25" t="s">
        <v>1063</v>
      </c>
      <c r="B827" s="25" t="s">
        <v>1082</v>
      </c>
      <c r="C827" s="26">
        <v>124826</v>
      </c>
      <c r="D827" s="25" t="s">
        <v>1129</v>
      </c>
      <c r="E827" s="25" t="s">
        <v>1128</v>
      </c>
      <c r="F827" s="26" t="s">
        <v>491</v>
      </c>
      <c r="G827" s="26" t="s">
        <v>491</v>
      </c>
      <c r="H827" s="26">
        <v>1</v>
      </c>
      <c r="I827" s="26">
        <v>2</v>
      </c>
      <c r="J827" s="26">
        <v>1</v>
      </c>
      <c r="K827" s="26">
        <v>138</v>
      </c>
      <c r="L827" s="26" t="s">
        <v>28</v>
      </c>
      <c r="M827" s="27">
        <v>1624</v>
      </c>
      <c r="N827" s="28">
        <v>243966.18</v>
      </c>
      <c r="O827" s="26" t="s">
        <v>29</v>
      </c>
      <c r="P827" s="29"/>
      <c r="Q827" s="6"/>
      <c r="R827" s="29"/>
      <c r="S827" s="10"/>
      <c r="T827" s="8">
        <v>1</v>
      </c>
    </row>
    <row r="828" spans="1:20" ht="15.75" customHeight="1" x14ac:dyDescent="0.35">
      <c r="A828" s="25" t="s">
        <v>1063</v>
      </c>
      <c r="B828" s="25" t="s">
        <v>1082</v>
      </c>
      <c r="C828" s="26">
        <v>124834</v>
      </c>
      <c r="D828" s="25" t="s">
        <v>1130</v>
      </c>
      <c r="E828" s="25" t="s">
        <v>1131</v>
      </c>
      <c r="F828" s="26" t="s">
        <v>491</v>
      </c>
      <c r="G828" s="26" t="s">
        <v>491</v>
      </c>
      <c r="H828" s="26">
        <v>1</v>
      </c>
      <c r="I828" s="26">
        <v>2</v>
      </c>
      <c r="J828" s="26">
        <v>1</v>
      </c>
      <c r="K828" s="26">
        <v>138</v>
      </c>
      <c r="L828" s="26" t="s">
        <v>28</v>
      </c>
      <c r="M828" s="27">
        <v>1612</v>
      </c>
      <c r="N828" s="28">
        <v>243966.18</v>
      </c>
      <c r="O828" s="26" t="s">
        <v>29</v>
      </c>
      <c r="P828" s="29"/>
      <c r="Q828" s="6"/>
      <c r="R828" s="29"/>
      <c r="S828" s="10"/>
      <c r="T828" s="8">
        <v>1</v>
      </c>
    </row>
    <row r="829" spans="1:20" ht="15.75" customHeight="1" x14ac:dyDescent="0.35">
      <c r="A829" s="25" t="s">
        <v>1063</v>
      </c>
      <c r="B829" s="25" t="s">
        <v>1082</v>
      </c>
      <c r="C829" s="26">
        <v>124845</v>
      </c>
      <c r="D829" s="25" t="s">
        <v>1132</v>
      </c>
      <c r="E829" s="25" t="s">
        <v>1131</v>
      </c>
      <c r="F829" s="26" t="s">
        <v>491</v>
      </c>
      <c r="G829" s="26" t="s">
        <v>491</v>
      </c>
      <c r="H829" s="26">
        <v>1</v>
      </c>
      <c r="I829" s="26">
        <v>2</v>
      </c>
      <c r="J829" s="26">
        <v>1</v>
      </c>
      <c r="K829" s="26">
        <v>138</v>
      </c>
      <c r="L829" s="26" t="s">
        <v>28</v>
      </c>
      <c r="M829" s="27">
        <v>1634</v>
      </c>
      <c r="N829" s="28">
        <v>243966.18</v>
      </c>
      <c r="O829" s="26" t="s">
        <v>29</v>
      </c>
      <c r="P829" s="29"/>
      <c r="Q829" s="6"/>
      <c r="R829" s="29"/>
      <c r="S829" s="10"/>
      <c r="T829" s="8">
        <v>1</v>
      </c>
    </row>
    <row r="830" spans="1:20" ht="15.75" customHeight="1" x14ac:dyDescent="0.35">
      <c r="A830" s="25" t="s">
        <v>1063</v>
      </c>
      <c r="B830" s="25" t="s">
        <v>1082</v>
      </c>
      <c r="C830" s="26">
        <v>195501</v>
      </c>
      <c r="D830" s="25" t="s">
        <v>1133</v>
      </c>
      <c r="E830" s="25" t="s">
        <v>1086</v>
      </c>
      <c r="F830" s="26" t="s">
        <v>491</v>
      </c>
      <c r="G830" s="26" t="s">
        <v>491</v>
      </c>
      <c r="H830" s="26">
        <v>1</v>
      </c>
      <c r="I830" s="26">
        <v>2</v>
      </c>
      <c r="J830" s="26">
        <v>1</v>
      </c>
      <c r="K830" s="26">
        <v>138</v>
      </c>
      <c r="L830" s="26" t="s">
        <v>28</v>
      </c>
      <c r="M830" s="27">
        <v>1625</v>
      </c>
      <c r="N830" s="28">
        <v>233966.18</v>
      </c>
      <c r="O830" s="26" t="s">
        <v>29</v>
      </c>
      <c r="P830" s="29"/>
      <c r="Q830" s="6"/>
      <c r="R830" s="29"/>
      <c r="S830" s="10"/>
      <c r="T830" s="8">
        <v>1</v>
      </c>
    </row>
    <row r="831" spans="1:20" ht="15.75" customHeight="1" x14ac:dyDescent="0.35">
      <c r="A831" s="25" t="s">
        <v>1063</v>
      </c>
      <c r="B831" s="25" t="s">
        <v>1082</v>
      </c>
      <c r="C831" s="26">
        <v>195510</v>
      </c>
      <c r="D831" s="25" t="s">
        <v>1134</v>
      </c>
      <c r="E831" s="25" t="s">
        <v>1084</v>
      </c>
      <c r="F831" s="26" t="s">
        <v>491</v>
      </c>
      <c r="G831" s="26" t="s">
        <v>491</v>
      </c>
      <c r="H831" s="26">
        <v>1</v>
      </c>
      <c r="I831" s="26">
        <v>2</v>
      </c>
      <c r="J831" s="26">
        <v>1</v>
      </c>
      <c r="K831" s="26">
        <v>138</v>
      </c>
      <c r="L831" s="26" t="s">
        <v>28</v>
      </c>
      <c r="M831" s="27">
        <v>1623</v>
      </c>
      <c r="N831" s="28">
        <v>223966.18</v>
      </c>
      <c r="O831" s="26" t="s">
        <v>29</v>
      </c>
      <c r="P831" s="29"/>
      <c r="Q831" s="6"/>
      <c r="R831" s="29"/>
      <c r="S831" s="10"/>
      <c r="T831" s="8">
        <v>1</v>
      </c>
    </row>
    <row r="832" spans="1:20" ht="15.75" customHeight="1" x14ac:dyDescent="0.35">
      <c r="A832" s="25" t="s">
        <v>1063</v>
      </c>
      <c r="B832" s="25" t="s">
        <v>1082</v>
      </c>
      <c r="C832" s="26">
        <v>195517</v>
      </c>
      <c r="D832" s="25" t="s">
        <v>1135</v>
      </c>
      <c r="E832" s="25" t="s">
        <v>1128</v>
      </c>
      <c r="F832" s="26" t="s">
        <v>491</v>
      </c>
      <c r="G832" s="26" t="s">
        <v>491</v>
      </c>
      <c r="H832" s="26">
        <v>1</v>
      </c>
      <c r="I832" s="26">
        <v>2</v>
      </c>
      <c r="J832" s="26">
        <v>1</v>
      </c>
      <c r="K832" s="26">
        <v>138</v>
      </c>
      <c r="L832" s="26" t="s">
        <v>28</v>
      </c>
      <c r="M832" s="27">
        <v>1627</v>
      </c>
      <c r="N832" s="28">
        <v>243966.18</v>
      </c>
      <c r="O832" s="26" t="s">
        <v>29</v>
      </c>
      <c r="P832" s="29"/>
      <c r="Q832" s="6"/>
      <c r="R832" s="29"/>
      <c r="S832" s="10"/>
      <c r="T832" s="8">
        <v>1</v>
      </c>
    </row>
    <row r="833" spans="1:20" ht="15.75" customHeight="1" x14ac:dyDescent="0.35">
      <c r="A833" s="25" t="s">
        <v>1063</v>
      </c>
      <c r="B833" s="25" t="s">
        <v>1082</v>
      </c>
      <c r="C833" s="26">
        <v>195525</v>
      </c>
      <c r="D833" s="25" t="s">
        <v>239</v>
      </c>
      <c r="E833" s="25" t="s">
        <v>1098</v>
      </c>
      <c r="F833" s="26" t="s">
        <v>491</v>
      </c>
      <c r="G833" s="26" t="s">
        <v>491</v>
      </c>
      <c r="H833" s="26">
        <v>1</v>
      </c>
      <c r="I833" s="26">
        <v>2</v>
      </c>
      <c r="J833" s="26">
        <v>1</v>
      </c>
      <c r="K833" s="26">
        <v>138</v>
      </c>
      <c r="L833" s="26" t="s">
        <v>28</v>
      </c>
      <c r="M833" s="27">
        <v>1630</v>
      </c>
      <c r="N833" s="28">
        <v>223966.18</v>
      </c>
      <c r="O833" s="26" t="s">
        <v>29</v>
      </c>
      <c r="P833" s="29"/>
      <c r="Q833" s="6"/>
      <c r="R833" s="29"/>
      <c r="S833" s="10"/>
      <c r="T833" s="8">
        <v>1</v>
      </c>
    </row>
    <row r="834" spans="1:20" ht="15.75" customHeight="1" x14ac:dyDescent="0.35">
      <c r="A834" s="25" t="s">
        <v>1063</v>
      </c>
      <c r="B834" s="25" t="s">
        <v>1082</v>
      </c>
      <c r="C834" s="26">
        <v>195532</v>
      </c>
      <c r="D834" s="25" t="s">
        <v>1136</v>
      </c>
      <c r="E834" s="25" t="s">
        <v>1118</v>
      </c>
      <c r="F834" s="26" t="s">
        <v>491</v>
      </c>
      <c r="G834" s="26" t="s">
        <v>491</v>
      </c>
      <c r="H834" s="26">
        <v>1</v>
      </c>
      <c r="I834" s="26">
        <v>2</v>
      </c>
      <c r="J834" s="26">
        <v>1</v>
      </c>
      <c r="K834" s="26">
        <v>138</v>
      </c>
      <c r="L834" s="26" t="s">
        <v>28</v>
      </c>
      <c r="M834" s="27">
        <v>1621</v>
      </c>
      <c r="N834" s="28">
        <v>243966.18</v>
      </c>
      <c r="O834" s="26" t="s">
        <v>29</v>
      </c>
      <c r="P834" s="29"/>
      <c r="Q834" s="6"/>
      <c r="R834" s="29"/>
      <c r="S834" s="10"/>
      <c r="T834" s="8">
        <v>1</v>
      </c>
    </row>
    <row r="835" spans="1:20" ht="15.75" customHeight="1" x14ac:dyDescent="0.35">
      <c r="A835" s="25" t="s">
        <v>1063</v>
      </c>
      <c r="B835" s="25" t="s">
        <v>1082</v>
      </c>
      <c r="C835" s="26">
        <v>195533</v>
      </c>
      <c r="D835" s="25" t="s">
        <v>1137</v>
      </c>
      <c r="E835" s="25" t="s">
        <v>1128</v>
      </c>
      <c r="F835" s="26" t="s">
        <v>491</v>
      </c>
      <c r="G835" s="26" t="s">
        <v>491</v>
      </c>
      <c r="H835" s="26">
        <v>1</v>
      </c>
      <c r="I835" s="26">
        <v>2</v>
      </c>
      <c r="J835" s="26">
        <v>1</v>
      </c>
      <c r="K835" s="26">
        <v>138</v>
      </c>
      <c r="L835" s="26" t="s">
        <v>28</v>
      </c>
      <c r="M835" s="27">
        <v>1618</v>
      </c>
      <c r="N835" s="28">
        <v>243966.18</v>
      </c>
      <c r="O835" s="26" t="s">
        <v>29</v>
      </c>
      <c r="P835" s="29"/>
      <c r="Q835" s="6"/>
      <c r="R835" s="29"/>
      <c r="S835" s="10"/>
      <c r="T835" s="8">
        <v>1</v>
      </c>
    </row>
    <row r="836" spans="1:20" ht="15.75" customHeight="1" x14ac:dyDescent="0.35">
      <c r="A836" s="25" t="s">
        <v>1063</v>
      </c>
      <c r="B836" s="25" t="s">
        <v>1082</v>
      </c>
      <c r="C836" s="26">
        <v>195544</v>
      </c>
      <c r="D836" s="25" t="s">
        <v>1138</v>
      </c>
      <c r="E836" s="25" t="s">
        <v>1084</v>
      </c>
      <c r="F836" s="26" t="s">
        <v>491</v>
      </c>
      <c r="G836" s="26" t="s">
        <v>491</v>
      </c>
      <c r="H836" s="26"/>
      <c r="I836" s="26"/>
      <c r="J836" s="26">
        <v>1</v>
      </c>
      <c r="K836" s="26">
        <v>138</v>
      </c>
      <c r="L836" s="26" t="s">
        <v>28</v>
      </c>
      <c r="M836" s="27">
        <v>1633</v>
      </c>
      <c r="N836" s="28"/>
      <c r="O836" s="26" t="s">
        <v>29</v>
      </c>
      <c r="P836" s="29"/>
      <c r="Q836" s="6"/>
      <c r="R836" s="29"/>
      <c r="S836" s="10"/>
      <c r="T836" s="8"/>
    </row>
    <row r="837" spans="1:20" ht="15.75" customHeight="1" x14ac:dyDescent="0.35">
      <c r="A837" s="25" t="s">
        <v>1063</v>
      </c>
      <c r="B837" s="25" t="s">
        <v>1082</v>
      </c>
      <c r="C837" s="26">
        <v>195545</v>
      </c>
      <c r="D837" s="25" t="s">
        <v>1139</v>
      </c>
      <c r="E837" s="25" t="s">
        <v>1128</v>
      </c>
      <c r="F837" s="26" t="s">
        <v>491</v>
      </c>
      <c r="G837" s="26" t="s">
        <v>491</v>
      </c>
      <c r="H837" s="26"/>
      <c r="I837" s="26"/>
      <c r="J837" s="26">
        <v>1</v>
      </c>
      <c r="K837" s="26">
        <v>138</v>
      </c>
      <c r="L837" s="26" t="s">
        <v>28</v>
      </c>
      <c r="M837" s="27">
        <v>1619</v>
      </c>
      <c r="N837" s="28"/>
      <c r="O837" s="26" t="s">
        <v>29</v>
      </c>
      <c r="P837" s="29"/>
      <c r="Q837" s="6"/>
      <c r="R837" s="29"/>
      <c r="S837" s="10"/>
      <c r="T837" s="8"/>
    </row>
    <row r="838" spans="1:20" ht="15.75" customHeight="1" x14ac:dyDescent="0.35">
      <c r="A838" s="25" t="s">
        <v>1063</v>
      </c>
      <c r="B838" s="25" t="s">
        <v>1082</v>
      </c>
      <c r="C838" s="26">
        <v>303735</v>
      </c>
      <c r="D838" s="25" t="s">
        <v>1140</v>
      </c>
      <c r="E838" s="25" t="s">
        <v>1118</v>
      </c>
      <c r="F838" s="26" t="s">
        <v>491</v>
      </c>
      <c r="G838" s="26" t="s">
        <v>491</v>
      </c>
      <c r="H838" s="26">
        <v>1</v>
      </c>
      <c r="I838" s="26">
        <v>2</v>
      </c>
      <c r="J838" s="26">
        <v>1</v>
      </c>
      <c r="K838" s="26">
        <v>138</v>
      </c>
      <c r="L838" s="26" t="s">
        <v>28</v>
      </c>
      <c r="M838" s="27">
        <v>1631</v>
      </c>
      <c r="N838" s="28">
        <v>243966.18</v>
      </c>
      <c r="O838" s="26" t="s">
        <v>29</v>
      </c>
      <c r="P838" s="29"/>
      <c r="Q838" s="6"/>
      <c r="R838" s="29"/>
      <c r="S838" s="10"/>
      <c r="T838" s="8">
        <v>1</v>
      </c>
    </row>
    <row r="839" spans="1:20" ht="15.75" customHeight="1" x14ac:dyDescent="0.35">
      <c r="A839" s="25" t="s">
        <v>1063</v>
      </c>
      <c r="B839" s="25" t="s">
        <v>1082</v>
      </c>
      <c r="C839" s="26">
        <v>314117</v>
      </c>
      <c r="D839" s="25" t="s">
        <v>1141</v>
      </c>
      <c r="E839" s="25" t="s">
        <v>1124</v>
      </c>
      <c r="F839" s="26" t="s">
        <v>90</v>
      </c>
      <c r="G839" s="26" t="s">
        <v>90</v>
      </c>
      <c r="H839" s="26"/>
      <c r="I839" s="26"/>
      <c r="J839" s="26">
        <v>1</v>
      </c>
      <c r="K839" s="26">
        <v>138</v>
      </c>
      <c r="L839" s="26" t="s">
        <v>28</v>
      </c>
      <c r="M839" s="27">
        <v>1595</v>
      </c>
      <c r="N839" s="28"/>
      <c r="O839" s="26" t="s">
        <v>29</v>
      </c>
      <c r="P839" s="29"/>
      <c r="Q839" s="6"/>
      <c r="R839" s="29"/>
      <c r="S839" s="10"/>
      <c r="T839" s="8"/>
    </row>
    <row r="840" spans="1:20" ht="15.75" customHeight="1" x14ac:dyDescent="0.35">
      <c r="A840" s="25" t="s">
        <v>1063</v>
      </c>
      <c r="B840" s="25" t="s">
        <v>1142</v>
      </c>
      <c r="C840" s="26">
        <v>124887</v>
      </c>
      <c r="D840" s="25" t="s">
        <v>1143</v>
      </c>
      <c r="E840" s="25" t="s">
        <v>1144</v>
      </c>
      <c r="F840" s="26" t="s">
        <v>215</v>
      </c>
      <c r="G840" s="26" t="s">
        <v>215</v>
      </c>
      <c r="H840" s="26"/>
      <c r="I840" s="26"/>
      <c r="J840" s="26">
        <v>1</v>
      </c>
      <c r="K840" s="26">
        <v>138</v>
      </c>
      <c r="L840" s="26" t="s">
        <v>28</v>
      </c>
      <c r="M840" s="27">
        <v>1636</v>
      </c>
      <c r="N840" s="28"/>
      <c r="O840" s="26" t="s">
        <v>29</v>
      </c>
      <c r="P840" s="29"/>
      <c r="Q840" s="6"/>
      <c r="R840" s="29"/>
      <c r="S840" s="10"/>
      <c r="T840" s="8"/>
    </row>
    <row r="841" spans="1:20" ht="15.75" customHeight="1" x14ac:dyDescent="0.35">
      <c r="A841" s="25" t="s">
        <v>1063</v>
      </c>
      <c r="B841" s="25" t="s">
        <v>1142</v>
      </c>
      <c r="C841" s="26">
        <v>124920</v>
      </c>
      <c r="D841" s="25" t="s">
        <v>1145</v>
      </c>
      <c r="E841" s="25" t="s">
        <v>1146</v>
      </c>
      <c r="F841" s="26" t="s">
        <v>90</v>
      </c>
      <c r="G841" s="26" t="s">
        <v>90</v>
      </c>
      <c r="H841" s="26"/>
      <c r="I841" s="26"/>
      <c r="J841" s="26">
        <v>1</v>
      </c>
      <c r="K841" s="26">
        <v>138</v>
      </c>
      <c r="L841" s="26" t="s">
        <v>28</v>
      </c>
      <c r="M841" s="27">
        <v>1652</v>
      </c>
      <c r="N841" s="28"/>
      <c r="O841" s="26" t="s">
        <v>29</v>
      </c>
      <c r="P841" s="29"/>
      <c r="Q841" s="6"/>
      <c r="R841" s="29"/>
      <c r="S841" s="10"/>
      <c r="T841" s="8"/>
    </row>
    <row r="842" spans="1:20" ht="15.75" customHeight="1" x14ac:dyDescent="0.35">
      <c r="A842" s="25" t="s">
        <v>1063</v>
      </c>
      <c r="B842" s="25" t="s">
        <v>1142</v>
      </c>
      <c r="C842" s="26">
        <v>124935</v>
      </c>
      <c r="D842" s="25" t="s">
        <v>1147</v>
      </c>
      <c r="E842" s="25" t="s">
        <v>1148</v>
      </c>
      <c r="F842" s="26" t="s">
        <v>90</v>
      </c>
      <c r="G842" s="26" t="s">
        <v>90</v>
      </c>
      <c r="H842" s="26"/>
      <c r="I842" s="26"/>
      <c r="J842" s="26">
        <v>1</v>
      </c>
      <c r="K842" s="26">
        <v>138</v>
      </c>
      <c r="L842" s="26" t="s">
        <v>28</v>
      </c>
      <c r="M842" s="27">
        <v>1648</v>
      </c>
      <c r="N842" s="28"/>
      <c r="O842" s="26" t="s">
        <v>29</v>
      </c>
      <c r="P842" s="29"/>
      <c r="Q842" s="6"/>
      <c r="R842" s="29"/>
      <c r="S842" s="10"/>
      <c r="T842" s="8"/>
    </row>
    <row r="843" spans="1:20" ht="15.75" customHeight="1" x14ac:dyDescent="0.35">
      <c r="A843" s="25" t="s">
        <v>1063</v>
      </c>
      <c r="B843" s="25" t="s">
        <v>1142</v>
      </c>
      <c r="C843" s="26">
        <v>124942</v>
      </c>
      <c r="D843" s="25" t="s">
        <v>1149</v>
      </c>
      <c r="E843" s="25" t="s">
        <v>1148</v>
      </c>
      <c r="F843" s="26" t="s">
        <v>90</v>
      </c>
      <c r="G843" s="26" t="s">
        <v>90</v>
      </c>
      <c r="H843" s="26"/>
      <c r="I843" s="26"/>
      <c r="J843" s="26">
        <v>1</v>
      </c>
      <c r="K843" s="26">
        <v>138</v>
      </c>
      <c r="L843" s="26" t="s">
        <v>28</v>
      </c>
      <c r="M843" s="27">
        <v>1654</v>
      </c>
      <c r="N843" s="28"/>
      <c r="O843" s="26" t="s">
        <v>29</v>
      </c>
      <c r="P843" s="29"/>
      <c r="Q843" s="6"/>
      <c r="R843" s="29"/>
      <c r="S843" s="10"/>
      <c r="T843" s="8"/>
    </row>
    <row r="844" spans="1:20" ht="15.75" customHeight="1" x14ac:dyDescent="0.35">
      <c r="A844" s="25" t="s">
        <v>1063</v>
      </c>
      <c r="B844" s="25" t="s">
        <v>1142</v>
      </c>
      <c r="C844" s="26">
        <v>124958</v>
      </c>
      <c r="D844" s="25" t="s">
        <v>1150</v>
      </c>
      <c r="E844" s="25" t="s">
        <v>1148</v>
      </c>
      <c r="F844" s="26" t="s">
        <v>90</v>
      </c>
      <c r="G844" s="26" t="s">
        <v>90</v>
      </c>
      <c r="H844" s="26"/>
      <c r="I844" s="26"/>
      <c r="J844" s="26">
        <v>1</v>
      </c>
      <c r="K844" s="26">
        <v>138</v>
      </c>
      <c r="L844" s="26" t="s">
        <v>28</v>
      </c>
      <c r="M844" s="27">
        <v>1668</v>
      </c>
      <c r="N844" s="28"/>
      <c r="O844" s="26" t="s">
        <v>29</v>
      </c>
      <c r="P844" s="29"/>
      <c r="Q844" s="6"/>
      <c r="R844" s="29"/>
      <c r="S844" s="10"/>
      <c r="T844" s="8"/>
    </row>
    <row r="845" spans="1:20" ht="15.75" customHeight="1" x14ac:dyDescent="0.35">
      <c r="A845" s="25" t="s">
        <v>1063</v>
      </c>
      <c r="B845" s="25" t="s">
        <v>1142</v>
      </c>
      <c r="C845" s="26">
        <v>124982</v>
      </c>
      <c r="D845" s="25" t="s">
        <v>1151</v>
      </c>
      <c r="E845" s="25" t="s">
        <v>1152</v>
      </c>
      <c r="F845" s="26" t="s">
        <v>90</v>
      </c>
      <c r="G845" s="26" t="s">
        <v>90</v>
      </c>
      <c r="H845" s="26"/>
      <c r="I845" s="26"/>
      <c r="J845" s="26">
        <v>1</v>
      </c>
      <c r="K845" s="26">
        <v>138</v>
      </c>
      <c r="L845" s="26" t="s">
        <v>28</v>
      </c>
      <c r="M845" s="27">
        <v>1665</v>
      </c>
      <c r="N845" s="28"/>
      <c r="O845" s="26" t="s">
        <v>29</v>
      </c>
      <c r="P845" s="29"/>
      <c r="Q845" s="6"/>
      <c r="R845" s="29"/>
      <c r="S845" s="10"/>
      <c r="T845" s="8"/>
    </row>
    <row r="846" spans="1:20" ht="15.75" customHeight="1" x14ac:dyDescent="0.35">
      <c r="A846" s="25" t="s">
        <v>1063</v>
      </c>
      <c r="B846" s="25" t="s">
        <v>1142</v>
      </c>
      <c r="C846" s="26">
        <v>124983</v>
      </c>
      <c r="D846" s="25" t="s">
        <v>1153</v>
      </c>
      <c r="E846" s="25" t="s">
        <v>1152</v>
      </c>
      <c r="F846" s="26" t="s">
        <v>90</v>
      </c>
      <c r="G846" s="26" t="s">
        <v>90</v>
      </c>
      <c r="H846" s="26"/>
      <c r="I846" s="26"/>
      <c r="J846" s="26">
        <v>1</v>
      </c>
      <c r="K846" s="26">
        <v>138</v>
      </c>
      <c r="L846" s="26" t="s">
        <v>28</v>
      </c>
      <c r="M846" s="27">
        <v>1666</v>
      </c>
      <c r="N846" s="28"/>
      <c r="O846" s="26" t="s">
        <v>29</v>
      </c>
      <c r="P846" s="29"/>
      <c r="Q846" s="6"/>
      <c r="R846" s="29"/>
      <c r="S846" s="10"/>
      <c r="T846" s="8"/>
    </row>
    <row r="847" spans="1:20" ht="15.75" customHeight="1" x14ac:dyDescent="0.35">
      <c r="A847" s="25" t="s">
        <v>1063</v>
      </c>
      <c r="B847" s="25" t="s">
        <v>1142</v>
      </c>
      <c r="C847" s="26">
        <v>125014</v>
      </c>
      <c r="D847" s="25" t="s">
        <v>1154</v>
      </c>
      <c r="E847" s="25" t="s">
        <v>1155</v>
      </c>
      <c r="F847" s="26" t="s">
        <v>90</v>
      </c>
      <c r="G847" s="26" t="s">
        <v>90</v>
      </c>
      <c r="H847" s="26"/>
      <c r="I847" s="26"/>
      <c r="J847" s="26">
        <v>1</v>
      </c>
      <c r="K847" s="26">
        <v>138</v>
      </c>
      <c r="L847" s="26" t="s">
        <v>28</v>
      </c>
      <c r="M847" s="27">
        <v>1667</v>
      </c>
      <c r="N847" s="28"/>
      <c r="O847" s="26" t="s">
        <v>29</v>
      </c>
      <c r="P847" s="29"/>
      <c r="Q847" s="6"/>
      <c r="R847" s="29"/>
      <c r="S847" s="10"/>
      <c r="T847" s="8"/>
    </row>
    <row r="848" spans="1:20" ht="15.75" customHeight="1" x14ac:dyDescent="0.35">
      <c r="A848" s="25" t="s">
        <v>1063</v>
      </c>
      <c r="B848" s="25" t="s">
        <v>1142</v>
      </c>
      <c r="C848" s="26">
        <v>125030</v>
      </c>
      <c r="D848" s="25" t="s">
        <v>938</v>
      </c>
      <c r="E848" s="25" t="s">
        <v>1156</v>
      </c>
      <c r="F848" s="26" t="s">
        <v>215</v>
      </c>
      <c r="G848" s="26" t="s">
        <v>215</v>
      </c>
      <c r="H848" s="26"/>
      <c r="I848" s="26"/>
      <c r="J848" s="26">
        <v>1</v>
      </c>
      <c r="K848" s="26">
        <v>138</v>
      </c>
      <c r="L848" s="26" t="s">
        <v>28</v>
      </c>
      <c r="M848" s="27">
        <v>1639</v>
      </c>
      <c r="N848" s="28"/>
      <c r="O848" s="26" t="s">
        <v>29</v>
      </c>
      <c r="P848" s="29"/>
      <c r="Q848" s="6"/>
      <c r="R848" s="29"/>
      <c r="S848" s="10"/>
      <c r="T848" s="8"/>
    </row>
    <row r="849" spans="1:20" ht="15.75" customHeight="1" x14ac:dyDescent="0.35">
      <c r="A849" s="25" t="s">
        <v>1063</v>
      </c>
      <c r="B849" s="25" t="s">
        <v>1142</v>
      </c>
      <c r="C849" s="26">
        <v>125101</v>
      </c>
      <c r="D849" s="25" t="s">
        <v>1157</v>
      </c>
      <c r="E849" s="25" t="s">
        <v>1158</v>
      </c>
      <c r="F849" s="26" t="s">
        <v>90</v>
      </c>
      <c r="G849" s="26" t="s">
        <v>90</v>
      </c>
      <c r="H849" s="26"/>
      <c r="I849" s="26"/>
      <c r="J849" s="26">
        <v>1</v>
      </c>
      <c r="K849" s="26">
        <v>138</v>
      </c>
      <c r="L849" s="26" t="s">
        <v>28</v>
      </c>
      <c r="M849" s="27">
        <v>1655</v>
      </c>
      <c r="N849" s="28"/>
      <c r="O849" s="26" t="s">
        <v>29</v>
      </c>
      <c r="P849" s="29"/>
      <c r="Q849" s="6"/>
      <c r="R849" s="29"/>
      <c r="S849" s="10"/>
      <c r="T849" s="8"/>
    </row>
    <row r="850" spans="1:20" ht="15.75" customHeight="1" x14ac:dyDescent="0.35">
      <c r="A850" s="25" t="s">
        <v>1063</v>
      </c>
      <c r="B850" s="25" t="s">
        <v>1142</v>
      </c>
      <c r="C850" s="26">
        <v>125104</v>
      </c>
      <c r="D850" s="25" t="s">
        <v>1159</v>
      </c>
      <c r="E850" s="25" t="s">
        <v>1158</v>
      </c>
      <c r="F850" s="26" t="s">
        <v>90</v>
      </c>
      <c r="G850" s="26" t="s">
        <v>90</v>
      </c>
      <c r="H850" s="26"/>
      <c r="I850" s="26"/>
      <c r="J850" s="26">
        <v>1</v>
      </c>
      <c r="K850" s="26">
        <v>138</v>
      </c>
      <c r="L850" s="26" t="s">
        <v>28</v>
      </c>
      <c r="M850" s="27">
        <v>1661</v>
      </c>
      <c r="N850" s="28"/>
      <c r="O850" s="26" t="s">
        <v>29</v>
      </c>
      <c r="P850" s="29"/>
      <c r="Q850" s="6"/>
      <c r="R850" s="29"/>
      <c r="S850" s="10"/>
      <c r="T850" s="8"/>
    </row>
    <row r="851" spans="1:20" ht="15.75" customHeight="1" x14ac:dyDescent="0.35">
      <c r="A851" s="25" t="s">
        <v>1063</v>
      </c>
      <c r="B851" s="25" t="s">
        <v>1142</v>
      </c>
      <c r="C851" s="26">
        <v>125146</v>
      </c>
      <c r="D851" s="25" t="s">
        <v>1160</v>
      </c>
      <c r="E851" s="25" t="s">
        <v>1161</v>
      </c>
      <c r="F851" s="26" t="s">
        <v>90</v>
      </c>
      <c r="G851" s="26" t="s">
        <v>90</v>
      </c>
      <c r="H851" s="26"/>
      <c r="I851" s="26"/>
      <c r="J851" s="26">
        <v>1</v>
      </c>
      <c r="K851" s="26">
        <v>138</v>
      </c>
      <c r="L851" s="26" t="s">
        <v>28</v>
      </c>
      <c r="M851" s="27">
        <v>1663</v>
      </c>
      <c r="N851" s="28"/>
      <c r="O851" s="26" t="s">
        <v>29</v>
      </c>
      <c r="P851" s="29"/>
      <c r="Q851" s="6"/>
      <c r="R851" s="29"/>
      <c r="S851" s="10"/>
      <c r="T851" s="8"/>
    </row>
    <row r="852" spans="1:20" ht="15.75" customHeight="1" x14ac:dyDescent="0.35">
      <c r="A852" s="25" t="s">
        <v>1063</v>
      </c>
      <c r="B852" s="25" t="s">
        <v>1142</v>
      </c>
      <c r="C852" s="26">
        <v>125152</v>
      </c>
      <c r="D852" s="25" t="s">
        <v>1162</v>
      </c>
      <c r="E852" s="25" t="s">
        <v>1163</v>
      </c>
      <c r="F852" s="26" t="s">
        <v>90</v>
      </c>
      <c r="G852" s="26" t="s">
        <v>90</v>
      </c>
      <c r="H852" s="26"/>
      <c r="I852" s="26"/>
      <c r="J852" s="26">
        <v>1</v>
      </c>
      <c r="K852" s="26">
        <v>138</v>
      </c>
      <c r="L852" s="26" t="s">
        <v>28</v>
      </c>
      <c r="M852" s="27">
        <v>1650</v>
      </c>
      <c r="N852" s="28"/>
      <c r="O852" s="26" t="s">
        <v>29</v>
      </c>
      <c r="P852" s="29"/>
      <c r="Q852" s="6"/>
      <c r="R852" s="29"/>
      <c r="S852" s="10"/>
      <c r="T852" s="8"/>
    </row>
    <row r="853" spans="1:20" ht="15.75" customHeight="1" x14ac:dyDescent="0.35">
      <c r="A853" s="25" t="s">
        <v>1063</v>
      </c>
      <c r="B853" s="25" t="s">
        <v>1142</v>
      </c>
      <c r="C853" s="26">
        <v>125154</v>
      </c>
      <c r="D853" s="25" t="s">
        <v>1164</v>
      </c>
      <c r="E853" s="25" t="s">
        <v>1163</v>
      </c>
      <c r="F853" s="26" t="s">
        <v>90</v>
      </c>
      <c r="G853" s="26" t="s">
        <v>90</v>
      </c>
      <c r="H853" s="26"/>
      <c r="I853" s="26"/>
      <c r="J853" s="26">
        <v>1</v>
      </c>
      <c r="K853" s="26">
        <v>138</v>
      </c>
      <c r="L853" s="26" t="s">
        <v>28</v>
      </c>
      <c r="M853" s="27">
        <v>1651</v>
      </c>
      <c r="N853" s="28"/>
      <c r="O853" s="26" t="s">
        <v>29</v>
      </c>
      <c r="P853" s="29"/>
      <c r="Q853" s="6"/>
      <c r="R853" s="29"/>
      <c r="S853" s="10"/>
      <c r="T853" s="8"/>
    </row>
    <row r="854" spans="1:20" ht="15.75" customHeight="1" x14ac:dyDescent="0.35">
      <c r="A854" s="25" t="s">
        <v>1063</v>
      </c>
      <c r="B854" s="25" t="s">
        <v>1142</v>
      </c>
      <c r="C854" s="26">
        <v>125161</v>
      </c>
      <c r="D854" s="25" t="s">
        <v>1165</v>
      </c>
      <c r="E854" s="25" t="s">
        <v>1163</v>
      </c>
      <c r="F854" s="26" t="s">
        <v>90</v>
      </c>
      <c r="G854" s="26" t="s">
        <v>90</v>
      </c>
      <c r="H854" s="26"/>
      <c r="I854" s="26"/>
      <c r="J854" s="26">
        <v>1</v>
      </c>
      <c r="K854" s="26">
        <v>138</v>
      </c>
      <c r="L854" s="26" t="s">
        <v>28</v>
      </c>
      <c r="M854" s="27">
        <v>1660</v>
      </c>
      <c r="N854" s="28"/>
      <c r="O854" s="26" t="s">
        <v>29</v>
      </c>
      <c r="P854" s="29"/>
      <c r="Q854" s="6"/>
      <c r="R854" s="29"/>
      <c r="S854" s="10"/>
      <c r="T854" s="8"/>
    </row>
    <row r="855" spans="1:20" ht="15.75" customHeight="1" x14ac:dyDescent="0.35">
      <c r="A855" s="25" t="s">
        <v>1063</v>
      </c>
      <c r="B855" s="25" t="s">
        <v>1142</v>
      </c>
      <c r="C855" s="26">
        <v>125183</v>
      </c>
      <c r="D855" s="25" t="s">
        <v>1166</v>
      </c>
      <c r="E855" s="25" t="s">
        <v>1167</v>
      </c>
      <c r="F855" s="26" t="s">
        <v>215</v>
      </c>
      <c r="G855" s="26" t="s">
        <v>215</v>
      </c>
      <c r="H855" s="26"/>
      <c r="I855" s="26"/>
      <c r="J855" s="26">
        <v>1</v>
      </c>
      <c r="K855" s="26">
        <v>138</v>
      </c>
      <c r="L855" s="26" t="s">
        <v>28</v>
      </c>
      <c r="M855" s="27">
        <v>1638</v>
      </c>
      <c r="N855" s="28"/>
      <c r="O855" s="26" t="s">
        <v>29</v>
      </c>
      <c r="P855" s="29"/>
      <c r="Q855" s="6"/>
      <c r="R855" s="29"/>
      <c r="S855" s="10"/>
      <c r="T855" s="8"/>
    </row>
    <row r="856" spans="1:20" ht="15.75" customHeight="1" x14ac:dyDescent="0.35">
      <c r="A856" s="25" t="s">
        <v>1063</v>
      </c>
      <c r="B856" s="25" t="s">
        <v>1142</v>
      </c>
      <c r="C856" s="26">
        <v>125190</v>
      </c>
      <c r="D856" s="25" t="s">
        <v>1168</v>
      </c>
      <c r="E856" s="25" t="s">
        <v>1167</v>
      </c>
      <c r="F856" s="26" t="s">
        <v>215</v>
      </c>
      <c r="G856" s="26" t="s">
        <v>215</v>
      </c>
      <c r="H856" s="26"/>
      <c r="I856" s="26"/>
      <c r="J856" s="26">
        <v>1</v>
      </c>
      <c r="K856" s="26">
        <v>138</v>
      </c>
      <c r="L856" s="26" t="s">
        <v>28</v>
      </c>
      <c r="M856" s="27">
        <v>1644</v>
      </c>
      <c r="N856" s="28"/>
      <c r="O856" s="26" t="s">
        <v>29</v>
      </c>
      <c r="P856" s="29"/>
      <c r="Q856" s="6"/>
      <c r="R856" s="29"/>
      <c r="S856" s="10"/>
      <c r="T856" s="8"/>
    </row>
    <row r="857" spans="1:20" ht="15.75" customHeight="1" x14ac:dyDescent="0.35">
      <c r="A857" s="25" t="s">
        <v>1063</v>
      </c>
      <c r="B857" s="25" t="s">
        <v>1142</v>
      </c>
      <c r="C857" s="26">
        <v>125251</v>
      </c>
      <c r="D857" s="25" t="s">
        <v>1169</v>
      </c>
      <c r="E857" s="25" t="s">
        <v>1170</v>
      </c>
      <c r="F857" s="26" t="s">
        <v>215</v>
      </c>
      <c r="G857" s="26" t="s">
        <v>215</v>
      </c>
      <c r="H857" s="26"/>
      <c r="I857" s="26"/>
      <c r="J857" s="26">
        <v>1</v>
      </c>
      <c r="K857" s="26">
        <v>138</v>
      </c>
      <c r="L857" s="26" t="s">
        <v>28</v>
      </c>
      <c r="M857" s="27">
        <v>1640</v>
      </c>
      <c r="N857" s="28"/>
      <c r="O857" s="26" t="s">
        <v>29</v>
      </c>
      <c r="P857" s="29"/>
      <c r="Q857" s="6"/>
      <c r="R857" s="29"/>
      <c r="S857" s="10"/>
      <c r="T857" s="8"/>
    </row>
    <row r="858" spans="1:20" ht="15.75" customHeight="1" x14ac:dyDescent="0.35">
      <c r="A858" s="25" t="s">
        <v>1063</v>
      </c>
      <c r="B858" s="25" t="s">
        <v>1142</v>
      </c>
      <c r="C858" s="26">
        <v>125289</v>
      </c>
      <c r="D858" s="25" t="s">
        <v>1171</v>
      </c>
      <c r="E858" s="25" t="s">
        <v>1172</v>
      </c>
      <c r="F858" s="26" t="s">
        <v>215</v>
      </c>
      <c r="G858" s="26" t="s">
        <v>215</v>
      </c>
      <c r="H858" s="26"/>
      <c r="I858" s="26"/>
      <c r="J858" s="26">
        <v>1</v>
      </c>
      <c r="K858" s="26">
        <v>138</v>
      </c>
      <c r="L858" s="26" t="s">
        <v>28</v>
      </c>
      <c r="M858" s="27">
        <v>1646</v>
      </c>
      <c r="N858" s="28"/>
      <c r="O858" s="26" t="s">
        <v>29</v>
      </c>
      <c r="P858" s="29"/>
      <c r="Q858" s="6"/>
      <c r="R858" s="29"/>
      <c r="S858" s="10"/>
      <c r="T858" s="8"/>
    </row>
    <row r="859" spans="1:20" ht="15.75" customHeight="1" x14ac:dyDescent="0.35">
      <c r="A859" s="25" t="s">
        <v>1063</v>
      </c>
      <c r="B859" s="25" t="s">
        <v>1142</v>
      </c>
      <c r="C859" s="26">
        <v>125355</v>
      </c>
      <c r="D859" s="25" t="s">
        <v>1173</v>
      </c>
      <c r="E859" s="25" t="s">
        <v>575</v>
      </c>
      <c r="F859" s="26" t="s">
        <v>90</v>
      </c>
      <c r="G859" s="26" t="s">
        <v>90</v>
      </c>
      <c r="H859" s="26"/>
      <c r="I859" s="26"/>
      <c r="J859" s="26">
        <v>1</v>
      </c>
      <c r="K859" s="26">
        <v>138</v>
      </c>
      <c r="L859" s="26" t="s">
        <v>28</v>
      </c>
      <c r="M859" s="27">
        <v>1653</v>
      </c>
      <c r="N859" s="28"/>
      <c r="O859" s="26" t="s">
        <v>29</v>
      </c>
      <c r="P859" s="29"/>
      <c r="Q859" s="6"/>
      <c r="R859" s="29"/>
      <c r="S859" s="10"/>
      <c r="T859" s="8"/>
    </row>
    <row r="860" spans="1:20" ht="15.75" customHeight="1" x14ac:dyDescent="0.35">
      <c r="A860" s="25" t="s">
        <v>1063</v>
      </c>
      <c r="B860" s="25" t="s">
        <v>1142</v>
      </c>
      <c r="C860" s="26">
        <v>125359</v>
      </c>
      <c r="D860" s="25" t="s">
        <v>1174</v>
      </c>
      <c r="E860" s="25" t="s">
        <v>575</v>
      </c>
      <c r="F860" s="26" t="s">
        <v>90</v>
      </c>
      <c r="G860" s="26" t="s">
        <v>90</v>
      </c>
      <c r="H860" s="26">
        <v>1</v>
      </c>
      <c r="I860" s="26">
        <v>2</v>
      </c>
      <c r="J860" s="26">
        <v>1</v>
      </c>
      <c r="K860" s="26">
        <v>138</v>
      </c>
      <c r="L860" s="26" t="s">
        <v>28</v>
      </c>
      <c r="M860" s="27">
        <v>1658</v>
      </c>
      <c r="N860" s="28">
        <v>160500.21</v>
      </c>
      <c r="O860" s="26" t="s">
        <v>29</v>
      </c>
      <c r="P860" s="29"/>
      <c r="Q860" s="6"/>
      <c r="R860" s="29"/>
      <c r="S860" s="10"/>
      <c r="T860" s="8">
        <v>1</v>
      </c>
    </row>
    <row r="861" spans="1:20" ht="15.75" customHeight="1" x14ac:dyDescent="0.35">
      <c r="A861" s="25" t="s">
        <v>1063</v>
      </c>
      <c r="B861" s="25" t="s">
        <v>1142</v>
      </c>
      <c r="C861" s="26">
        <v>125365</v>
      </c>
      <c r="D861" s="25" t="s">
        <v>1175</v>
      </c>
      <c r="E861" s="25" t="s">
        <v>575</v>
      </c>
      <c r="F861" s="26" t="s">
        <v>90</v>
      </c>
      <c r="G861" s="26" t="s">
        <v>90</v>
      </c>
      <c r="H861" s="26"/>
      <c r="I861" s="26"/>
      <c r="J861" s="26">
        <v>1</v>
      </c>
      <c r="K861" s="26">
        <v>138</v>
      </c>
      <c r="L861" s="26" t="s">
        <v>28</v>
      </c>
      <c r="M861" s="27">
        <v>1662</v>
      </c>
      <c r="N861" s="28"/>
      <c r="O861" s="26" t="s">
        <v>29</v>
      </c>
      <c r="P861" s="29"/>
      <c r="Q861" s="6"/>
      <c r="R861" s="29"/>
      <c r="S861" s="10"/>
      <c r="T861" s="8"/>
    </row>
    <row r="862" spans="1:20" ht="15.75" customHeight="1" x14ac:dyDescent="0.35">
      <c r="A862" s="25" t="s">
        <v>1063</v>
      </c>
      <c r="B862" s="25" t="s">
        <v>1142</v>
      </c>
      <c r="C862" s="26">
        <v>125478</v>
      </c>
      <c r="D862" s="25" t="s">
        <v>503</v>
      </c>
      <c r="E862" s="25" t="s">
        <v>1176</v>
      </c>
      <c r="F862" s="26" t="s">
        <v>215</v>
      </c>
      <c r="G862" s="26" t="s">
        <v>215</v>
      </c>
      <c r="H862" s="26"/>
      <c r="I862" s="26"/>
      <c r="J862" s="26">
        <v>1</v>
      </c>
      <c r="K862" s="26">
        <v>138</v>
      </c>
      <c r="L862" s="26" t="s">
        <v>28</v>
      </c>
      <c r="M862" s="27">
        <v>1645</v>
      </c>
      <c r="N862" s="28"/>
      <c r="O862" s="26" t="s">
        <v>29</v>
      </c>
      <c r="P862" s="29"/>
      <c r="Q862" s="6"/>
      <c r="R862" s="29"/>
      <c r="S862" s="10"/>
      <c r="T862" s="8"/>
    </row>
    <row r="863" spans="1:20" ht="15.75" customHeight="1" x14ac:dyDescent="0.35">
      <c r="A863" s="25" t="s">
        <v>1063</v>
      </c>
      <c r="B863" s="25" t="s">
        <v>1142</v>
      </c>
      <c r="C863" s="26">
        <v>125503</v>
      </c>
      <c r="D863" s="25" t="s">
        <v>1177</v>
      </c>
      <c r="E863" s="25" t="s">
        <v>1178</v>
      </c>
      <c r="F863" s="26" t="s">
        <v>90</v>
      </c>
      <c r="G863" s="26" t="s">
        <v>90</v>
      </c>
      <c r="H863" s="26"/>
      <c r="I863" s="26"/>
      <c r="J863" s="26">
        <v>1</v>
      </c>
      <c r="K863" s="26">
        <v>138</v>
      </c>
      <c r="L863" s="26" t="s">
        <v>28</v>
      </c>
      <c r="M863" s="27">
        <v>1659</v>
      </c>
      <c r="N863" s="28"/>
      <c r="O863" s="26" t="s">
        <v>29</v>
      </c>
      <c r="P863" s="29"/>
      <c r="Q863" s="6"/>
      <c r="R863" s="29"/>
      <c r="S863" s="10"/>
      <c r="T863" s="8"/>
    </row>
    <row r="864" spans="1:20" ht="15.75" customHeight="1" x14ac:dyDescent="0.35">
      <c r="A864" s="25" t="s">
        <v>1063</v>
      </c>
      <c r="B864" s="25" t="s">
        <v>1142</v>
      </c>
      <c r="C864" s="26">
        <v>196003</v>
      </c>
      <c r="D864" s="25" t="s">
        <v>1179</v>
      </c>
      <c r="E864" s="25" t="s">
        <v>1180</v>
      </c>
      <c r="F864" s="26" t="s">
        <v>215</v>
      </c>
      <c r="G864" s="26" t="s">
        <v>215</v>
      </c>
      <c r="H864" s="26"/>
      <c r="I864" s="26"/>
      <c r="J864" s="26">
        <v>1</v>
      </c>
      <c r="K864" s="26">
        <v>138</v>
      </c>
      <c r="L864" s="26" t="s">
        <v>28</v>
      </c>
      <c r="M864" s="27">
        <v>1647</v>
      </c>
      <c r="N864" s="28"/>
      <c r="O864" s="26" t="s">
        <v>29</v>
      </c>
      <c r="P864" s="29"/>
      <c r="Q864" s="6"/>
      <c r="R864" s="29"/>
      <c r="S864" s="10"/>
      <c r="T864" s="8"/>
    </row>
    <row r="865" spans="1:20" ht="15.75" customHeight="1" x14ac:dyDescent="0.35">
      <c r="A865" s="25" t="s">
        <v>1063</v>
      </c>
      <c r="B865" s="25" t="s">
        <v>1142</v>
      </c>
      <c r="C865" s="26">
        <v>196004</v>
      </c>
      <c r="D865" s="25" t="s">
        <v>1181</v>
      </c>
      <c r="E865" s="25" t="s">
        <v>1146</v>
      </c>
      <c r="F865" s="26" t="s">
        <v>90</v>
      </c>
      <c r="G865" s="26" t="s">
        <v>90</v>
      </c>
      <c r="H865" s="26"/>
      <c r="I865" s="26"/>
      <c r="J865" s="26">
        <v>1</v>
      </c>
      <c r="K865" s="26">
        <v>138</v>
      </c>
      <c r="L865" s="26" t="s">
        <v>28</v>
      </c>
      <c r="M865" s="27">
        <v>1657</v>
      </c>
      <c r="N865" s="28"/>
      <c r="O865" s="26" t="s">
        <v>29</v>
      </c>
      <c r="P865" s="29"/>
      <c r="Q865" s="6"/>
      <c r="R865" s="29"/>
      <c r="S865" s="10"/>
      <c r="T865" s="8"/>
    </row>
    <row r="866" spans="1:20" ht="15.75" customHeight="1" x14ac:dyDescent="0.35">
      <c r="A866" s="25" t="s">
        <v>1063</v>
      </c>
      <c r="B866" s="25" t="s">
        <v>1142</v>
      </c>
      <c r="C866" s="26">
        <v>196031</v>
      </c>
      <c r="D866" s="25" t="s">
        <v>1182</v>
      </c>
      <c r="E866" s="25" t="s">
        <v>1156</v>
      </c>
      <c r="F866" s="26" t="s">
        <v>215</v>
      </c>
      <c r="G866" s="26" t="s">
        <v>215</v>
      </c>
      <c r="H866" s="26"/>
      <c r="I866" s="26"/>
      <c r="J866" s="26">
        <v>1</v>
      </c>
      <c r="K866" s="26">
        <v>138</v>
      </c>
      <c r="L866" s="26" t="s">
        <v>28</v>
      </c>
      <c r="M866" s="27">
        <v>1641</v>
      </c>
      <c r="N866" s="28"/>
      <c r="O866" s="26" t="s">
        <v>29</v>
      </c>
      <c r="P866" s="29"/>
      <c r="Q866" s="6"/>
      <c r="R866" s="29"/>
      <c r="S866" s="10"/>
      <c r="T866" s="8"/>
    </row>
    <row r="867" spans="1:20" ht="15.75" customHeight="1" x14ac:dyDescent="0.35">
      <c r="A867" s="25" t="s">
        <v>1063</v>
      </c>
      <c r="B867" s="25" t="s">
        <v>1142</v>
      </c>
      <c r="C867" s="26">
        <v>196036</v>
      </c>
      <c r="D867" s="25" t="s">
        <v>1183</v>
      </c>
      <c r="E867" s="25" t="s">
        <v>1156</v>
      </c>
      <c r="F867" s="26" t="s">
        <v>215</v>
      </c>
      <c r="G867" s="26" t="s">
        <v>215</v>
      </c>
      <c r="H867" s="26"/>
      <c r="I867" s="26"/>
      <c r="J867" s="26">
        <v>1</v>
      </c>
      <c r="K867" s="26">
        <v>138</v>
      </c>
      <c r="L867" s="26" t="s">
        <v>28</v>
      </c>
      <c r="M867" s="27">
        <v>1642</v>
      </c>
      <c r="N867" s="28"/>
      <c r="O867" s="26" t="s">
        <v>29</v>
      </c>
      <c r="P867" s="29"/>
      <c r="Q867" s="6"/>
      <c r="R867" s="29"/>
      <c r="S867" s="10"/>
      <c r="T867" s="8"/>
    </row>
    <row r="868" spans="1:20" ht="15.75" customHeight="1" x14ac:dyDescent="0.35">
      <c r="A868" s="25" t="s">
        <v>1063</v>
      </c>
      <c r="B868" s="25" t="s">
        <v>1142</v>
      </c>
      <c r="C868" s="26">
        <v>314236</v>
      </c>
      <c r="D868" s="25" t="s">
        <v>1184</v>
      </c>
      <c r="E868" s="25" t="s">
        <v>1146</v>
      </c>
      <c r="F868" s="26" t="s">
        <v>90</v>
      </c>
      <c r="G868" s="26" t="s">
        <v>90</v>
      </c>
      <c r="H868" s="26"/>
      <c r="I868" s="26"/>
      <c r="J868" s="26">
        <v>1</v>
      </c>
      <c r="K868" s="26">
        <v>138</v>
      </c>
      <c r="L868" s="26" t="s">
        <v>28</v>
      </c>
      <c r="M868" s="27">
        <v>1649</v>
      </c>
      <c r="N868" s="28"/>
      <c r="O868" s="26" t="s">
        <v>29</v>
      </c>
      <c r="P868" s="29"/>
      <c r="Q868" s="6"/>
      <c r="R868" s="29"/>
      <c r="S868" s="10"/>
      <c r="T868" s="8"/>
    </row>
    <row r="869" spans="1:20" ht="15.75" customHeight="1" x14ac:dyDescent="0.35">
      <c r="A869" s="25" t="s">
        <v>1063</v>
      </c>
      <c r="B869" s="25" t="s">
        <v>1142</v>
      </c>
      <c r="C869" s="26">
        <v>314251</v>
      </c>
      <c r="D869" s="25" t="s">
        <v>1185</v>
      </c>
      <c r="E869" s="25" t="s">
        <v>575</v>
      </c>
      <c r="F869" s="26" t="s">
        <v>90</v>
      </c>
      <c r="G869" s="26" t="s">
        <v>90</v>
      </c>
      <c r="H869" s="26"/>
      <c r="I869" s="26"/>
      <c r="J869" s="26">
        <v>1</v>
      </c>
      <c r="K869" s="26">
        <v>138</v>
      </c>
      <c r="L869" s="26" t="s">
        <v>28</v>
      </c>
      <c r="M869" s="27">
        <v>1664</v>
      </c>
      <c r="N869" s="28"/>
      <c r="O869" s="26" t="s">
        <v>29</v>
      </c>
      <c r="P869" s="29"/>
      <c r="Q869" s="6"/>
      <c r="R869" s="29"/>
      <c r="S869" s="10"/>
      <c r="T869" s="8"/>
    </row>
    <row r="870" spans="1:20" ht="15.75" customHeight="1" x14ac:dyDescent="0.35">
      <c r="A870" s="25" t="s">
        <v>1063</v>
      </c>
      <c r="B870" s="25" t="s">
        <v>1142</v>
      </c>
      <c r="C870" s="26">
        <v>314259</v>
      </c>
      <c r="D870" s="25" t="s">
        <v>1186</v>
      </c>
      <c r="E870" s="25" t="s">
        <v>1152</v>
      </c>
      <c r="F870" s="26" t="s">
        <v>215</v>
      </c>
      <c r="G870" s="26" t="s">
        <v>215</v>
      </c>
      <c r="H870" s="26"/>
      <c r="I870" s="26"/>
      <c r="J870" s="26">
        <v>1</v>
      </c>
      <c r="K870" s="26">
        <v>138</v>
      </c>
      <c r="L870" s="26" t="s">
        <v>28</v>
      </c>
      <c r="M870" s="27">
        <v>1637</v>
      </c>
      <c r="N870" s="28"/>
      <c r="O870" s="26" t="s">
        <v>29</v>
      </c>
      <c r="P870" s="29"/>
      <c r="Q870" s="6"/>
      <c r="R870" s="29"/>
      <c r="S870" s="10"/>
      <c r="T870" s="8"/>
    </row>
    <row r="871" spans="1:20" ht="15.75" customHeight="1" x14ac:dyDescent="0.35">
      <c r="A871" s="25" t="s">
        <v>1063</v>
      </c>
      <c r="B871" s="25" t="s">
        <v>1142</v>
      </c>
      <c r="C871" s="26">
        <v>314260</v>
      </c>
      <c r="D871" s="25" t="s">
        <v>1187</v>
      </c>
      <c r="E871" s="25" t="s">
        <v>1188</v>
      </c>
      <c r="F871" s="26" t="s">
        <v>215</v>
      </c>
      <c r="G871" s="26" t="s">
        <v>215</v>
      </c>
      <c r="H871" s="26"/>
      <c r="I871" s="26"/>
      <c r="J871" s="26">
        <v>1</v>
      </c>
      <c r="K871" s="26">
        <v>138</v>
      </c>
      <c r="L871" s="26" t="s">
        <v>28</v>
      </c>
      <c r="M871" s="27">
        <v>1643</v>
      </c>
      <c r="N871" s="28"/>
      <c r="O871" s="26" t="s">
        <v>29</v>
      </c>
      <c r="P871" s="29"/>
      <c r="Q871" s="6"/>
      <c r="R871" s="29"/>
      <c r="S871" s="10"/>
      <c r="T871" s="8"/>
    </row>
    <row r="872" spans="1:20" ht="15.75" customHeight="1" x14ac:dyDescent="0.35">
      <c r="A872" s="25" t="s">
        <v>1063</v>
      </c>
      <c r="B872" s="25" t="s">
        <v>1142</v>
      </c>
      <c r="C872" s="26">
        <v>314261</v>
      </c>
      <c r="D872" s="25" t="s">
        <v>1189</v>
      </c>
      <c r="E872" s="25" t="s">
        <v>1163</v>
      </c>
      <c r="F872" s="26" t="s">
        <v>90</v>
      </c>
      <c r="G872" s="26" t="s">
        <v>90</v>
      </c>
      <c r="H872" s="26"/>
      <c r="I872" s="26"/>
      <c r="J872" s="26">
        <v>1</v>
      </c>
      <c r="K872" s="26">
        <v>138</v>
      </c>
      <c r="L872" s="26" t="s">
        <v>28</v>
      </c>
      <c r="M872" s="27">
        <v>1656</v>
      </c>
      <c r="N872" s="28"/>
      <c r="O872" s="26" t="s">
        <v>29</v>
      </c>
      <c r="P872" s="29"/>
      <c r="Q872" s="6"/>
      <c r="R872" s="29"/>
      <c r="S872" s="10"/>
      <c r="T872" s="8"/>
    </row>
    <row r="873" spans="1:20" ht="15.75" customHeight="1" x14ac:dyDescent="0.35">
      <c r="A873" s="25" t="s">
        <v>1063</v>
      </c>
      <c r="B873" s="25" t="s">
        <v>1190</v>
      </c>
      <c r="C873" s="26">
        <v>125536</v>
      </c>
      <c r="D873" s="25" t="s">
        <v>1191</v>
      </c>
      <c r="E873" s="25" t="s">
        <v>1192</v>
      </c>
      <c r="F873" s="26" t="s">
        <v>215</v>
      </c>
      <c r="G873" s="26" t="s">
        <v>215</v>
      </c>
      <c r="H873" s="26">
        <v>1</v>
      </c>
      <c r="I873" s="26">
        <v>2</v>
      </c>
      <c r="J873" s="26">
        <v>1</v>
      </c>
      <c r="K873" s="26">
        <v>138</v>
      </c>
      <c r="L873" s="26" t="s">
        <v>28</v>
      </c>
      <c r="M873" s="27">
        <v>1687</v>
      </c>
      <c r="N873" s="30">
        <v>385756.45</v>
      </c>
      <c r="O873" s="26" t="s">
        <v>29</v>
      </c>
      <c r="P873" s="29"/>
      <c r="Q873" s="6"/>
      <c r="R873" s="29"/>
      <c r="S873" s="10"/>
      <c r="T873" s="8">
        <v>1</v>
      </c>
    </row>
    <row r="874" spans="1:20" ht="15.75" customHeight="1" x14ac:dyDescent="0.35">
      <c r="A874" s="25" t="s">
        <v>1063</v>
      </c>
      <c r="B874" s="25" t="s">
        <v>1190</v>
      </c>
      <c r="C874" s="26">
        <v>125552</v>
      </c>
      <c r="D874" s="25" t="s">
        <v>1193</v>
      </c>
      <c r="E874" s="25" t="s">
        <v>1194</v>
      </c>
      <c r="F874" s="26" t="s">
        <v>215</v>
      </c>
      <c r="G874" s="26" t="s">
        <v>215</v>
      </c>
      <c r="H874" s="26">
        <v>1</v>
      </c>
      <c r="I874" s="26">
        <v>3</v>
      </c>
      <c r="J874" s="26">
        <v>1</v>
      </c>
      <c r="K874" s="26">
        <v>138</v>
      </c>
      <c r="L874" s="26" t="s">
        <v>28</v>
      </c>
      <c r="M874" s="27">
        <v>1672</v>
      </c>
      <c r="N874" s="30">
        <v>239668.95</v>
      </c>
      <c r="O874" s="26" t="s">
        <v>29</v>
      </c>
      <c r="P874" s="29"/>
      <c r="Q874" s="6"/>
      <c r="R874" s="29"/>
      <c r="S874" s="10"/>
      <c r="T874" s="8">
        <v>1</v>
      </c>
    </row>
    <row r="875" spans="1:20" ht="15.75" customHeight="1" x14ac:dyDescent="0.35">
      <c r="A875" s="25" t="s">
        <v>1063</v>
      </c>
      <c r="B875" s="25" t="s">
        <v>1190</v>
      </c>
      <c r="C875" s="26">
        <v>125575</v>
      </c>
      <c r="D875" s="25" t="s">
        <v>381</v>
      </c>
      <c r="E875" s="25" t="s">
        <v>1195</v>
      </c>
      <c r="F875" s="26" t="s">
        <v>215</v>
      </c>
      <c r="G875" s="26" t="s">
        <v>215</v>
      </c>
      <c r="H875" s="26"/>
      <c r="I875" s="26"/>
      <c r="J875" s="26">
        <v>1</v>
      </c>
      <c r="K875" s="26">
        <v>138</v>
      </c>
      <c r="L875" s="26" t="s">
        <v>28</v>
      </c>
      <c r="M875" s="27">
        <v>1674</v>
      </c>
      <c r="N875" s="28"/>
      <c r="O875" s="26" t="s">
        <v>29</v>
      </c>
      <c r="P875" s="29"/>
      <c r="Q875" s="6"/>
      <c r="R875" s="29"/>
      <c r="S875" s="10"/>
      <c r="T875" s="8"/>
    </row>
    <row r="876" spans="1:20" ht="15.75" customHeight="1" x14ac:dyDescent="0.35">
      <c r="A876" s="25" t="s">
        <v>1063</v>
      </c>
      <c r="B876" s="25" t="s">
        <v>1190</v>
      </c>
      <c r="C876" s="26">
        <v>125576</v>
      </c>
      <c r="D876" s="25" t="s">
        <v>1196</v>
      </c>
      <c r="E876" s="25" t="s">
        <v>1195</v>
      </c>
      <c r="F876" s="26" t="s">
        <v>215</v>
      </c>
      <c r="G876" s="26" t="s">
        <v>215</v>
      </c>
      <c r="H876" s="26"/>
      <c r="I876" s="26"/>
      <c r="J876" s="26">
        <v>1</v>
      </c>
      <c r="K876" s="26">
        <v>138</v>
      </c>
      <c r="L876" s="26" t="s">
        <v>28</v>
      </c>
      <c r="M876" s="27">
        <v>1675</v>
      </c>
      <c r="N876" s="28"/>
      <c r="O876" s="26" t="s">
        <v>29</v>
      </c>
      <c r="P876" s="29"/>
      <c r="Q876" s="6"/>
      <c r="R876" s="29"/>
      <c r="S876" s="10"/>
      <c r="T876" s="8"/>
    </row>
    <row r="877" spans="1:20" ht="15.75" customHeight="1" x14ac:dyDescent="0.35">
      <c r="A877" s="25" t="s">
        <v>1063</v>
      </c>
      <c r="B877" s="25" t="s">
        <v>1190</v>
      </c>
      <c r="C877" s="26">
        <v>125582</v>
      </c>
      <c r="D877" s="25" t="s">
        <v>1197</v>
      </c>
      <c r="E877" s="25" t="s">
        <v>1195</v>
      </c>
      <c r="F877" s="26" t="s">
        <v>215</v>
      </c>
      <c r="G877" s="26" t="s">
        <v>215</v>
      </c>
      <c r="H877" s="26"/>
      <c r="I877" s="26"/>
      <c r="J877" s="26">
        <v>1</v>
      </c>
      <c r="K877" s="26">
        <v>138</v>
      </c>
      <c r="L877" s="26" t="s">
        <v>28</v>
      </c>
      <c r="M877" s="27">
        <v>1681</v>
      </c>
      <c r="N877" s="28"/>
      <c r="O877" s="26" t="s">
        <v>29</v>
      </c>
      <c r="P877" s="29"/>
      <c r="Q877" s="6"/>
      <c r="R877" s="29"/>
      <c r="S877" s="10"/>
      <c r="T877" s="8"/>
    </row>
    <row r="878" spans="1:20" ht="15.75" customHeight="1" x14ac:dyDescent="0.35">
      <c r="A878" s="25" t="s">
        <v>1063</v>
      </c>
      <c r="B878" s="25" t="s">
        <v>1190</v>
      </c>
      <c r="C878" s="26">
        <v>125592</v>
      </c>
      <c r="D878" s="25" t="s">
        <v>1198</v>
      </c>
      <c r="E878" s="25" t="s">
        <v>1199</v>
      </c>
      <c r="F878" s="26" t="s">
        <v>215</v>
      </c>
      <c r="G878" s="26" t="s">
        <v>215</v>
      </c>
      <c r="H878" s="26"/>
      <c r="I878" s="26"/>
      <c r="J878" s="26">
        <v>1</v>
      </c>
      <c r="K878" s="26">
        <v>138</v>
      </c>
      <c r="L878" s="26" t="s">
        <v>28</v>
      </c>
      <c r="M878" s="27">
        <v>1669</v>
      </c>
      <c r="N878" s="28"/>
      <c r="O878" s="26" t="s">
        <v>29</v>
      </c>
      <c r="P878" s="29"/>
      <c r="Q878" s="6"/>
      <c r="R878" s="29"/>
      <c r="S878" s="10"/>
      <c r="T878" s="8"/>
    </row>
    <row r="879" spans="1:20" ht="15.75" customHeight="1" x14ac:dyDescent="0.35">
      <c r="A879" s="25" t="s">
        <v>1063</v>
      </c>
      <c r="B879" s="25" t="s">
        <v>1190</v>
      </c>
      <c r="C879" s="26">
        <v>125597</v>
      </c>
      <c r="D879" s="25" t="s">
        <v>1200</v>
      </c>
      <c r="E879" s="25" t="s">
        <v>1199</v>
      </c>
      <c r="F879" s="26" t="s">
        <v>215</v>
      </c>
      <c r="G879" s="26" t="s">
        <v>215</v>
      </c>
      <c r="H879" s="26">
        <v>1</v>
      </c>
      <c r="I879" s="26">
        <v>2</v>
      </c>
      <c r="J879" s="26">
        <v>1</v>
      </c>
      <c r="K879" s="26">
        <v>138</v>
      </c>
      <c r="L879" s="26" t="s">
        <v>28</v>
      </c>
      <c r="M879" s="27">
        <v>1671</v>
      </c>
      <c r="N879" s="30">
        <v>160729.35</v>
      </c>
      <c r="O879" s="26" t="s">
        <v>29</v>
      </c>
      <c r="P879" s="29"/>
      <c r="Q879" s="6"/>
      <c r="R879" s="29"/>
      <c r="S879" s="10"/>
      <c r="T879" s="8">
        <v>1</v>
      </c>
    </row>
    <row r="880" spans="1:20" ht="15.75" customHeight="1" x14ac:dyDescent="0.35">
      <c r="A880" s="25" t="s">
        <v>1063</v>
      </c>
      <c r="B880" s="25" t="s">
        <v>1190</v>
      </c>
      <c r="C880" s="26">
        <v>125604</v>
      </c>
      <c r="D880" s="25" t="s">
        <v>1201</v>
      </c>
      <c r="E880" s="25" t="s">
        <v>1199</v>
      </c>
      <c r="F880" s="26" t="s">
        <v>215</v>
      </c>
      <c r="G880" s="26" t="s">
        <v>215</v>
      </c>
      <c r="H880" s="26">
        <v>1</v>
      </c>
      <c r="I880" s="26">
        <v>4</v>
      </c>
      <c r="J880" s="26">
        <v>1</v>
      </c>
      <c r="K880" s="26">
        <v>138</v>
      </c>
      <c r="L880" s="26" t="s">
        <v>28</v>
      </c>
      <c r="M880" s="27">
        <v>1676</v>
      </c>
      <c r="N880" s="30">
        <v>336448.94</v>
      </c>
      <c r="O880" s="26" t="s">
        <v>29</v>
      </c>
      <c r="P880" s="29"/>
      <c r="Q880" s="6"/>
      <c r="R880" s="29"/>
      <c r="S880" s="10"/>
      <c r="T880" s="8">
        <v>1</v>
      </c>
    </row>
    <row r="881" spans="1:20" ht="15.75" customHeight="1" x14ac:dyDescent="0.35">
      <c r="A881" s="25" t="s">
        <v>1063</v>
      </c>
      <c r="B881" s="25" t="s">
        <v>1190</v>
      </c>
      <c r="C881" s="26">
        <v>125612</v>
      </c>
      <c r="D881" s="25" t="s">
        <v>1202</v>
      </c>
      <c r="E881" s="25" t="s">
        <v>1203</v>
      </c>
      <c r="F881" s="26" t="s">
        <v>90</v>
      </c>
      <c r="G881" s="26" t="s">
        <v>90</v>
      </c>
      <c r="H881" s="26"/>
      <c r="I881" s="26"/>
      <c r="J881" s="26">
        <v>1</v>
      </c>
      <c r="K881" s="26">
        <v>138</v>
      </c>
      <c r="L881" s="26" t="s">
        <v>28</v>
      </c>
      <c r="M881" s="27">
        <v>1690</v>
      </c>
      <c r="N881" s="28"/>
      <c r="O881" s="26" t="s">
        <v>29</v>
      </c>
      <c r="P881" s="29"/>
      <c r="Q881" s="6"/>
      <c r="R881" s="29"/>
      <c r="S881" s="10"/>
      <c r="T881" s="8"/>
    </row>
    <row r="882" spans="1:20" ht="15.75" customHeight="1" x14ac:dyDescent="0.35">
      <c r="A882" s="25" t="s">
        <v>1063</v>
      </c>
      <c r="B882" s="25" t="s">
        <v>1190</v>
      </c>
      <c r="C882" s="26">
        <v>125620</v>
      </c>
      <c r="D882" s="25" t="s">
        <v>1204</v>
      </c>
      <c r="E882" s="25" t="s">
        <v>1203</v>
      </c>
      <c r="F882" s="26" t="s">
        <v>90</v>
      </c>
      <c r="G882" s="26" t="s">
        <v>90</v>
      </c>
      <c r="H882" s="26">
        <v>1</v>
      </c>
      <c r="I882" s="26">
        <v>4</v>
      </c>
      <c r="J882" s="26">
        <v>1</v>
      </c>
      <c r="K882" s="26">
        <v>138</v>
      </c>
      <c r="L882" s="26" t="s">
        <v>28</v>
      </c>
      <c r="M882" s="27">
        <v>1694</v>
      </c>
      <c r="N882" s="30">
        <v>313968.32</v>
      </c>
      <c r="O882" s="26" t="s">
        <v>29</v>
      </c>
      <c r="P882" s="29"/>
      <c r="Q882" s="6"/>
      <c r="R882" s="29"/>
      <c r="S882" s="10"/>
      <c r="T882" s="8">
        <v>1</v>
      </c>
    </row>
    <row r="883" spans="1:20" ht="15.75" customHeight="1" x14ac:dyDescent="0.35">
      <c r="A883" s="25" t="s">
        <v>1063</v>
      </c>
      <c r="B883" s="25" t="s">
        <v>1190</v>
      </c>
      <c r="C883" s="26">
        <v>125643</v>
      </c>
      <c r="D883" s="25" t="s">
        <v>1205</v>
      </c>
      <c r="E883" s="25" t="s">
        <v>1206</v>
      </c>
      <c r="F883" s="26" t="s">
        <v>90</v>
      </c>
      <c r="G883" s="26" t="s">
        <v>90</v>
      </c>
      <c r="H883" s="26">
        <v>1</v>
      </c>
      <c r="I883" s="26">
        <v>3</v>
      </c>
      <c r="J883" s="26">
        <v>1</v>
      </c>
      <c r="K883" s="26">
        <v>138</v>
      </c>
      <c r="L883" s="26" t="s">
        <v>28</v>
      </c>
      <c r="M883" s="27">
        <v>1692</v>
      </c>
      <c r="N883" s="30">
        <v>272383.69</v>
      </c>
      <c r="O883" s="26" t="s">
        <v>29</v>
      </c>
      <c r="P883" s="29"/>
      <c r="Q883" s="6"/>
      <c r="R883" s="29"/>
      <c r="S883" s="10"/>
      <c r="T883" s="8">
        <v>1</v>
      </c>
    </row>
    <row r="884" spans="1:20" ht="15.75" customHeight="1" x14ac:dyDescent="0.35">
      <c r="A884" s="25" t="s">
        <v>1063</v>
      </c>
      <c r="B884" s="25" t="s">
        <v>1190</v>
      </c>
      <c r="C884" s="26">
        <v>125653</v>
      </c>
      <c r="D884" s="25" t="s">
        <v>1207</v>
      </c>
      <c r="E884" s="25" t="s">
        <v>1206</v>
      </c>
      <c r="F884" s="26" t="s">
        <v>90</v>
      </c>
      <c r="G884" s="26" t="s">
        <v>90</v>
      </c>
      <c r="H884" s="26">
        <v>1</v>
      </c>
      <c r="I884" s="26">
        <v>2</v>
      </c>
      <c r="J884" s="26">
        <v>1</v>
      </c>
      <c r="K884" s="26">
        <v>138</v>
      </c>
      <c r="L884" s="26" t="s">
        <v>28</v>
      </c>
      <c r="M884" s="27">
        <v>1697</v>
      </c>
      <c r="N884" s="30">
        <v>162327.35</v>
      </c>
      <c r="O884" s="26" t="s">
        <v>29</v>
      </c>
      <c r="P884" s="29"/>
      <c r="Q884" s="6"/>
      <c r="R884" s="29"/>
      <c r="S884" s="10"/>
      <c r="T884" s="8">
        <v>1</v>
      </c>
    </row>
    <row r="885" spans="1:20" ht="15.75" customHeight="1" x14ac:dyDescent="0.35">
      <c r="A885" s="25" t="s">
        <v>1063</v>
      </c>
      <c r="B885" s="25" t="s">
        <v>1190</v>
      </c>
      <c r="C885" s="26">
        <v>125682</v>
      </c>
      <c r="D885" s="25" t="s">
        <v>1208</v>
      </c>
      <c r="E885" s="25" t="s">
        <v>1209</v>
      </c>
      <c r="F885" s="26" t="s">
        <v>215</v>
      </c>
      <c r="G885" s="26" t="s">
        <v>215</v>
      </c>
      <c r="H885" s="26">
        <v>1</v>
      </c>
      <c r="I885" s="26">
        <v>3</v>
      </c>
      <c r="J885" s="26">
        <v>1</v>
      </c>
      <c r="K885" s="26">
        <v>138</v>
      </c>
      <c r="L885" s="26" t="s">
        <v>28</v>
      </c>
      <c r="M885" s="27">
        <v>1686</v>
      </c>
      <c r="N885" s="30">
        <v>239258.89</v>
      </c>
      <c r="O885" s="26" t="s">
        <v>29</v>
      </c>
      <c r="P885" s="29"/>
      <c r="Q885" s="6"/>
      <c r="R885" s="29"/>
      <c r="S885" s="10"/>
      <c r="T885" s="8">
        <v>1</v>
      </c>
    </row>
    <row r="886" spans="1:20" ht="15.75" customHeight="1" x14ac:dyDescent="0.35">
      <c r="A886" s="25" t="s">
        <v>1063</v>
      </c>
      <c r="B886" s="25" t="s">
        <v>1190</v>
      </c>
      <c r="C886" s="26">
        <v>125699</v>
      </c>
      <c r="D886" s="25" t="s">
        <v>1210</v>
      </c>
      <c r="E886" s="25" t="s">
        <v>1211</v>
      </c>
      <c r="F886" s="26" t="s">
        <v>215</v>
      </c>
      <c r="G886" s="26" t="s">
        <v>215</v>
      </c>
      <c r="H886" s="26">
        <v>1</v>
      </c>
      <c r="I886" s="26">
        <v>3</v>
      </c>
      <c r="J886" s="26">
        <v>1</v>
      </c>
      <c r="K886" s="26">
        <v>138</v>
      </c>
      <c r="L886" s="26" t="s">
        <v>28</v>
      </c>
      <c r="M886" s="27">
        <v>1677</v>
      </c>
      <c r="N886" s="30">
        <v>249361.67</v>
      </c>
      <c r="O886" s="26" t="s">
        <v>29</v>
      </c>
      <c r="P886" s="29"/>
      <c r="Q886" s="6"/>
      <c r="R886" s="29"/>
      <c r="S886" s="10"/>
      <c r="T886" s="8">
        <v>1</v>
      </c>
    </row>
    <row r="887" spans="1:20" ht="15.75" customHeight="1" x14ac:dyDescent="0.35">
      <c r="A887" s="25" t="s">
        <v>1063</v>
      </c>
      <c r="B887" s="25" t="s">
        <v>1190</v>
      </c>
      <c r="C887" s="26">
        <v>125708</v>
      </c>
      <c r="D887" s="25" t="s">
        <v>1212</v>
      </c>
      <c r="E887" s="25" t="s">
        <v>1211</v>
      </c>
      <c r="F887" s="26" t="s">
        <v>215</v>
      </c>
      <c r="G887" s="26" t="s">
        <v>215</v>
      </c>
      <c r="H887" s="26">
        <v>1</v>
      </c>
      <c r="I887" s="26">
        <v>5</v>
      </c>
      <c r="J887" s="26">
        <v>1</v>
      </c>
      <c r="K887" s="26">
        <v>138</v>
      </c>
      <c r="L887" s="26" t="s">
        <v>28</v>
      </c>
      <c r="M887" s="27">
        <v>1688</v>
      </c>
      <c r="N887" s="30">
        <v>445775.63</v>
      </c>
      <c r="O887" s="26" t="s">
        <v>29</v>
      </c>
      <c r="P887" s="29"/>
      <c r="Q887" s="6"/>
      <c r="R887" s="29"/>
      <c r="S887" s="10"/>
      <c r="T887" s="8">
        <v>1</v>
      </c>
    </row>
    <row r="888" spans="1:20" ht="15.75" customHeight="1" x14ac:dyDescent="0.35">
      <c r="A888" s="25" t="s">
        <v>1063</v>
      </c>
      <c r="B888" s="25" t="s">
        <v>1190</v>
      </c>
      <c r="C888" s="26">
        <v>125736</v>
      </c>
      <c r="D888" s="25" t="s">
        <v>1213</v>
      </c>
      <c r="E888" s="25" t="s">
        <v>1214</v>
      </c>
      <c r="F888" s="26" t="s">
        <v>215</v>
      </c>
      <c r="G888" s="26" t="s">
        <v>215</v>
      </c>
      <c r="H888" s="26"/>
      <c r="I888" s="26"/>
      <c r="J888" s="26">
        <v>1</v>
      </c>
      <c r="K888" s="26">
        <v>138</v>
      </c>
      <c r="L888" s="26" t="s">
        <v>28</v>
      </c>
      <c r="M888" s="27">
        <v>1670</v>
      </c>
      <c r="N888" s="28"/>
      <c r="O888" s="26" t="s">
        <v>29</v>
      </c>
      <c r="P888" s="29"/>
      <c r="Q888" s="6"/>
      <c r="R888" s="29"/>
      <c r="S888" s="10"/>
      <c r="T888" s="8"/>
    </row>
    <row r="889" spans="1:20" ht="15.75" customHeight="1" x14ac:dyDescent="0.35">
      <c r="A889" s="25" t="s">
        <v>1063</v>
      </c>
      <c r="B889" s="25" t="s">
        <v>1190</v>
      </c>
      <c r="C889" s="26">
        <v>125740</v>
      </c>
      <c r="D889" s="25" t="s">
        <v>1215</v>
      </c>
      <c r="E889" s="25" t="s">
        <v>1214</v>
      </c>
      <c r="F889" s="26" t="s">
        <v>215</v>
      </c>
      <c r="G889" s="26" t="s">
        <v>215</v>
      </c>
      <c r="H889" s="26"/>
      <c r="I889" s="26"/>
      <c r="J889" s="26">
        <v>1</v>
      </c>
      <c r="K889" s="26">
        <v>138</v>
      </c>
      <c r="L889" s="26" t="s">
        <v>28</v>
      </c>
      <c r="M889" s="27">
        <v>1673</v>
      </c>
      <c r="N889" s="28"/>
      <c r="O889" s="26" t="s">
        <v>29</v>
      </c>
      <c r="P889" s="29"/>
      <c r="Q889" s="6"/>
      <c r="R889" s="29"/>
      <c r="S889" s="10"/>
      <c r="T889" s="8"/>
    </row>
    <row r="890" spans="1:20" ht="15.75" customHeight="1" x14ac:dyDescent="0.35">
      <c r="A890" s="25" t="s">
        <v>1063</v>
      </c>
      <c r="B890" s="25" t="s">
        <v>1190</v>
      </c>
      <c r="C890" s="26">
        <v>125745</v>
      </c>
      <c r="D890" s="25" t="s">
        <v>299</v>
      </c>
      <c r="E890" s="25" t="s">
        <v>1214</v>
      </c>
      <c r="F890" s="26" t="s">
        <v>215</v>
      </c>
      <c r="G890" s="26" t="s">
        <v>215</v>
      </c>
      <c r="H890" s="26"/>
      <c r="I890" s="26"/>
      <c r="J890" s="26">
        <v>1</v>
      </c>
      <c r="K890" s="26">
        <v>138</v>
      </c>
      <c r="L890" s="26" t="s">
        <v>28</v>
      </c>
      <c r="M890" s="27">
        <v>1683</v>
      </c>
      <c r="N890" s="28"/>
      <c r="O890" s="26" t="s">
        <v>29</v>
      </c>
      <c r="P890" s="29"/>
      <c r="Q890" s="6"/>
      <c r="R890" s="29"/>
      <c r="S890" s="10"/>
      <c r="T890" s="8"/>
    </row>
    <row r="891" spans="1:20" ht="15.75" customHeight="1" x14ac:dyDescent="0.35">
      <c r="A891" s="25" t="s">
        <v>1063</v>
      </c>
      <c r="B891" s="25" t="s">
        <v>1190</v>
      </c>
      <c r="C891" s="26">
        <v>125770</v>
      </c>
      <c r="D891" s="25" t="s">
        <v>1216</v>
      </c>
      <c r="E891" s="25" t="s">
        <v>1217</v>
      </c>
      <c r="F891" s="26" t="s">
        <v>215</v>
      </c>
      <c r="G891" s="26" t="s">
        <v>215</v>
      </c>
      <c r="H891" s="26">
        <v>1</v>
      </c>
      <c r="I891" s="26">
        <v>2</v>
      </c>
      <c r="J891" s="26">
        <v>1</v>
      </c>
      <c r="K891" s="26">
        <v>138</v>
      </c>
      <c r="L891" s="26" t="s">
        <v>28</v>
      </c>
      <c r="M891" s="27">
        <v>1678</v>
      </c>
      <c r="N891" s="30">
        <v>160075.71</v>
      </c>
      <c r="O891" s="26" t="s">
        <v>29</v>
      </c>
      <c r="P891" s="29"/>
      <c r="Q891" s="6"/>
      <c r="R891" s="29"/>
      <c r="S891" s="10"/>
      <c r="T891" s="8">
        <v>1</v>
      </c>
    </row>
    <row r="892" spans="1:20" ht="15.75" customHeight="1" x14ac:dyDescent="0.35">
      <c r="A892" s="25" t="s">
        <v>1063</v>
      </c>
      <c r="B892" s="25" t="s">
        <v>1190</v>
      </c>
      <c r="C892" s="26">
        <v>125771</v>
      </c>
      <c r="D892" s="25" t="s">
        <v>1218</v>
      </c>
      <c r="E892" s="25" t="s">
        <v>1217</v>
      </c>
      <c r="F892" s="26" t="s">
        <v>215</v>
      </c>
      <c r="G892" s="26" t="s">
        <v>215</v>
      </c>
      <c r="H892" s="26">
        <v>1</v>
      </c>
      <c r="I892" s="26">
        <v>5</v>
      </c>
      <c r="J892" s="26">
        <v>1</v>
      </c>
      <c r="K892" s="26">
        <v>138</v>
      </c>
      <c r="L892" s="26" t="s">
        <v>28</v>
      </c>
      <c r="M892" s="27">
        <v>1679</v>
      </c>
      <c r="N892" s="30">
        <v>455738.57</v>
      </c>
      <c r="O892" s="26" t="s">
        <v>29</v>
      </c>
      <c r="P892" s="29"/>
      <c r="Q892" s="6"/>
      <c r="R892" s="29"/>
      <c r="S892" s="10"/>
      <c r="T892" s="8">
        <v>1</v>
      </c>
    </row>
    <row r="893" spans="1:20" ht="15.75" customHeight="1" x14ac:dyDescent="0.35">
      <c r="A893" s="25" t="s">
        <v>1063</v>
      </c>
      <c r="B893" s="25" t="s">
        <v>1190</v>
      </c>
      <c r="C893" s="26">
        <v>125772</v>
      </c>
      <c r="D893" s="25" t="s">
        <v>1069</v>
      </c>
      <c r="E893" s="25" t="s">
        <v>1217</v>
      </c>
      <c r="F893" s="26" t="s">
        <v>215</v>
      </c>
      <c r="G893" s="26" t="s">
        <v>215</v>
      </c>
      <c r="H893" s="26"/>
      <c r="I893" s="26"/>
      <c r="J893" s="26">
        <v>1</v>
      </c>
      <c r="K893" s="26">
        <v>138</v>
      </c>
      <c r="L893" s="26" t="s">
        <v>28</v>
      </c>
      <c r="M893" s="27">
        <v>1680</v>
      </c>
      <c r="N893" s="28"/>
      <c r="O893" s="26" t="s">
        <v>29</v>
      </c>
      <c r="P893" s="29"/>
      <c r="Q893" s="6"/>
      <c r="R893" s="29"/>
      <c r="S893" s="10"/>
      <c r="T893" s="8"/>
    </row>
    <row r="894" spans="1:20" ht="15.75" customHeight="1" x14ac:dyDescent="0.35">
      <c r="A894" s="25" t="s">
        <v>1063</v>
      </c>
      <c r="B894" s="25" t="s">
        <v>1190</v>
      </c>
      <c r="C894" s="26">
        <v>125780</v>
      </c>
      <c r="D894" s="25" t="s">
        <v>1219</v>
      </c>
      <c r="E894" s="25" t="s">
        <v>1217</v>
      </c>
      <c r="F894" s="26" t="s">
        <v>215</v>
      </c>
      <c r="G894" s="26" t="s">
        <v>215</v>
      </c>
      <c r="H894" s="26">
        <v>1</v>
      </c>
      <c r="I894" s="26">
        <v>3</v>
      </c>
      <c r="J894" s="26">
        <v>1</v>
      </c>
      <c r="K894" s="26">
        <v>138</v>
      </c>
      <c r="L894" s="26" t="s">
        <v>28</v>
      </c>
      <c r="M894" s="27">
        <v>1684</v>
      </c>
      <c r="N894" s="30">
        <v>272143.76</v>
      </c>
      <c r="O894" s="26" t="s">
        <v>29</v>
      </c>
      <c r="P894" s="29"/>
      <c r="Q894" s="6"/>
      <c r="R894" s="29"/>
      <c r="S894" s="10"/>
      <c r="T894" s="8">
        <v>1</v>
      </c>
    </row>
    <row r="895" spans="1:20" ht="15.75" customHeight="1" x14ac:dyDescent="0.35">
      <c r="A895" s="25" t="s">
        <v>1063</v>
      </c>
      <c r="B895" s="25" t="s">
        <v>1190</v>
      </c>
      <c r="C895" s="26">
        <v>125781</v>
      </c>
      <c r="D895" s="25" t="s">
        <v>1220</v>
      </c>
      <c r="E895" s="25" t="s">
        <v>1217</v>
      </c>
      <c r="F895" s="26" t="s">
        <v>215</v>
      </c>
      <c r="G895" s="26" t="s">
        <v>215</v>
      </c>
      <c r="H895" s="26"/>
      <c r="I895" s="26"/>
      <c r="J895" s="26">
        <v>1</v>
      </c>
      <c r="K895" s="26">
        <v>138</v>
      </c>
      <c r="L895" s="26" t="s">
        <v>28</v>
      </c>
      <c r="M895" s="27">
        <v>1685</v>
      </c>
      <c r="N895" s="28"/>
      <c r="O895" s="26" t="s">
        <v>29</v>
      </c>
      <c r="P895" s="29"/>
      <c r="Q895" s="6"/>
      <c r="R895" s="29"/>
      <c r="S895" s="10"/>
      <c r="T895" s="8"/>
    </row>
    <row r="896" spans="1:20" ht="15.75" customHeight="1" x14ac:dyDescent="0.35">
      <c r="A896" s="25" t="s">
        <v>1063</v>
      </c>
      <c r="B896" s="25" t="s">
        <v>1190</v>
      </c>
      <c r="C896" s="26">
        <v>125793</v>
      </c>
      <c r="D896" s="25" t="s">
        <v>1221</v>
      </c>
      <c r="E896" s="25" t="s">
        <v>1222</v>
      </c>
      <c r="F896" s="26" t="s">
        <v>90</v>
      </c>
      <c r="G896" s="26" t="s">
        <v>90</v>
      </c>
      <c r="H896" s="26"/>
      <c r="I896" s="26"/>
      <c r="J896" s="26">
        <v>1</v>
      </c>
      <c r="K896" s="26">
        <v>138</v>
      </c>
      <c r="L896" s="26" t="s">
        <v>28</v>
      </c>
      <c r="M896" s="27">
        <v>1695</v>
      </c>
      <c r="N896" s="28"/>
      <c r="O896" s="26" t="s">
        <v>29</v>
      </c>
      <c r="P896" s="29"/>
      <c r="Q896" s="6"/>
      <c r="R896" s="29"/>
      <c r="S896" s="10"/>
      <c r="T896" s="8"/>
    </row>
    <row r="897" spans="1:20" ht="15.75" customHeight="1" x14ac:dyDescent="0.35">
      <c r="A897" s="25" t="s">
        <v>1063</v>
      </c>
      <c r="B897" s="25" t="s">
        <v>1190</v>
      </c>
      <c r="C897" s="26">
        <v>125799</v>
      </c>
      <c r="D897" s="25" t="s">
        <v>1223</v>
      </c>
      <c r="E897" s="25" t="s">
        <v>1222</v>
      </c>
      <c r="F897" s="26" t="s">
        <v>90</v>
      </c>
      <c r="G897" s="26" t="s">
        <v>90</v>
      </c>
      <c r="H897" s="26">
        <v>1</v>
      </c>
      <c r="I897" s="26">
        <v>2</v>
      </c>
      <c r="J897" s="26">
        <v>1</v>
      </c>
      <c r="K897" s="26">
        <v>138</v>
      </c>
      <c r="L897" s="26" t="s">
        <v>28</v>
      </c>
      <c r="M897" s="27">
        <v>1698</v>
      </c>
      <c r="N897" s="30">
        <v>160531.60999999999</v>
      </c>
      <c r="O897" s="26" t="s">
        <v>29</v>
      </c>
      <c r="P897" s="29"/>
      <c r="Q897" s="6"/>
      <c r="R897" s="29"/>
      <c r="S897" s="10"/>
      <c r="T897" s="8">
        <v>1</v>
      </c>
    </row>
    <row r="898" spans="1:20" ht="15.75" customHeight="1" x14ac:dyDescent="0.35">
      <c r="A898" s="25" t="s">
        <v>1063</v>
      </c>
      <c r="B898" s="25" t="s">
        <v>1190</v>
      </c>
      <c r="C898" s="26">
        <v>125811</v>
      </c>
      <c r="D898" s="25" t="s">
        <v>1224</v>
      </c>
      <c r="E898" s="25" t="s">
        <v>1225</v>
      </c>
      <c r="F898" s="26" t="s">
        <v>90</v>
      </c>
      <c r="G898" s="26" t="s">
        <v>90</v>
      </c>
      <c r="H898" s="26">
        <v>1</v>
      </c>
      <c r="I898" s="26">
        <v>4</v>
      </c>
      <c r="J898" s="26">
        <v>1</v>
      </c>
      <c r="K898" s="26">
        <v>138</v>
      </c>
      <c r="L898" s="26" t="s">
        <v>28</v>
      </c>
      <c r="M898" s="27">
        <v>1689</v>
      </c>
      <c r="N898" s="30">
        <v>314449.84000000003</v>
      </c>
      <c r="O898" s="26" t="s">
        <v>29</v>
      </c>
      <c r="P898" s="29"/>
      <c r="Q898" s="6"/>
      <c r="R898" s="29"/>
      <c r="S898" s="10"/>
      <c r="T898" s="8">
        <v>1</v>
      </c>
    </row>
    <row r="899" spans="1:20" ht="15.75" customHeight="1" x14ac:dyDescent="0.35">
      <c r="A899" s="25" t="s">
        <v>1063</v>
      </c>
      <c r="B899" s="25" t="s">
        <v>1190</v>
      </c>
      <c r="C899" s="26">
        <v>125853</v>
      </c>
      <c r="D899" s="25" t="s">
        <v>1226</v>
      </c>
      <c r="E899" s="25" t="s">
        <v>1227</v>
      </c>
      <c r="F899" s="26" t="s">
        <v>215</v>
      </c>
      <c r="G899" s="26" t="s">
        <v>215</v>
      </c>
      <c r="H899" s="26"/>
      <c r="I899" s="26"/>
      <c r="J899" s="26">
        <v>1</v>
      </c>
      <c r="K899" s="26">
        <v>138</v>
      </c>
      <c r="L899" s="26" t="s">
        <v>28</v>
      </c>
      <c r="M899" s="27">
        <v>1682</v>
      </c>
      <c r="N899" s="28"/>
      <c r="O899" s="26" t="s">
        <v>29</v>
      </c>
      <c r="P899" s="29"/>
      <c r="Q899" s="6"/>
      <c r="R899" s="29"/>
      <c r="S899" s="10"/>
      <c r="T899" s="8"/>
    </row>
    <row r="900" spans="1:20" ht="15.75" customHeight="1" x14ac:dyDescent="0.35">
      <c r="A900" s="25" t="s">
        <v>1063</v>
      </c>
      <c r="B900" s="25" t="s">
        <v>1190</v>
      </c>
      <c r="C900" s="26">
        <v>196506</v>
      </c>
      <c r="D900" s="25" t="s">
        <v>1228</v>
      </c>
      <c r="E900" s="25" t="s">
        <v>1229</v>
      </c>
      <c r="F900" s="26" t="s">
        <v>90</v>
      </c>
      <c r="G900" s="26" t="s">
        <v>90</v>
      </c>
      <c r="H900" s="26"/>
      <c r="I900" s="26"/>
      <c r="J900" s="26">
        <v>1</v>
      </c>
      <c r="K900" s="26">
        <v>138</v>
      </c>
      <c r="L900" s="26" t="s">
        <v>28</v>
      </c>
      <c r="M900" s="27">
        <v>1696</v>
      </c>
      <c r="N900" s="28"/>
      <c r="O900" s="26" t="s">
        <v>29</v>
      </c>
      <c r="P900" s="29"/>
      <c r="Q900" s="6"/>
      <c r="R900" s="29"/>
      <c r="S900" s="10"/>
      <c r="T900" s="8"/>
    </row>
    <row r="901" spans="1:20" ht="15.75" customHeight="1" x14ac:dyDescent="0.35">
      <c r="A901" s="25" t="s">
        <v>1063</v>
      </c>
      <c r="B901" s="25" t="s">
        <v>1190</v>
      </c>
      <c r="C901" s="26">
        <v>196510</v>
      </c>
      <c r="D901" s="25" t="s">
        <v>1230</v>
      </c>
      <c r="E901" s="25" t="s">
        <v>1206</v>
      </c>
      <c r="F901" s="26" t="s">
        <v>90</v>
      </c>
      <c r="G901" s="26" t="s">
        <v>90</v>
      </c>
      <c r="H901" s="26"/>
      <c r="I901" s="26"/>
      <c r="J901" s="26">
        <v>1</v>
      </c>
      <c r="K901" s="26">
        <v>138</v>
      </c>
      <c r="L901" s="26" t="s">
        <v>28</v>
      </c>
      <c r="M901" s="27">
        <v>1700</v>
      </c>
      <c r="N901" s="28"/>
      <c r="O901" s="26" t="s">
        <v>29</v>
      </c>
      <c r="P901" s="29"/>
      <c r="Q901" s="6"/>
      <c r="R901" s="29"/>
      <c r="S901" s="10"/>
      <c r="T901" s="8"/>
    </row>
    <row r="902" spans="1:20" ht="15.75" customHeight="1" x14ac:dyDescent="0.35">
      <c r="A902" s="25" t="s">
        <v>1063</v>
      </c>
      <c r="B902" s="25" t="s">
        <v>1190</v>
      </c>
      <c r="C902" s="26">
        <v>196517</v>
      </c>
      <c r="D902" s="25" t="s">
        <v>1231</v>
      </c>
      <c r="E902" s="25" t="s">
        <v>1232</v>
      </c>
      <c r="F902" s="26" t="s">
        <v>90</v>
      </c>
      <c r="G902" s="26" t="s">
        <v>90</v>
      </c>
      <c r="H902" s="26">
        <v>1</v>
      </c>
      <c r="I902" s="26">
        <v>5</v>
      </c>
      <c r="J902" s="26">
        <v>1</v>
      </c>
      <c r="K902" s="26">
        <v>138</v>
      </c>
      <c r="L902" s="26" t="s">
        <v>28</v>
      </c>
      <c r="M902" s="27">
        <v>1699</v>
      </c>
      <c r="N902" s="30">
        <v>486239.05</v>
      </c>
      <c r="O902" s="26" t="s">
        <v>29</v>
      </c>
      <c r="P902" s="29"/>
      <c r="Q902" s="6"/>
      <c r="R902" s="29"/>
      <c r="S902" s="10"/>
      <c r="T902" s="8">
        <v>1</v>
      </c>
    </row>
    <row r="903" spans="1:20" ht="15.75" customHeight="1" x14ac:dyDescent="0.35">
      <c r="A903" s="25" t="s">
        <v>1063</v>
      </c>
      <c r="B903" s="25" t="s">
        <v>1190</v>
      </c>
      <c r="C903" s="26">
        <v>196525</v>
      </c>
      <c r="D903" s="25" t="s">
        <v>1233</v>
      </c>
      <c r="E903" s="25" t="s">
        <v>1229</v>
      </c>
      <c r="F903" s="26" t="s">
        <v>90</v>
      </c>
      <c r="G903" s="26" t="s">
        <v>90</v>
      </c>
      <c r="H903" s="26"/>
      <c r="I903" s="26"/>
      <c r="J903" s="26">
        <v>1</v>
      </c>
      <c r="K903" s="26">
        <v>138</v>
      </c>
      <c r="L903" s="26" t="s">
        <v>28</v>
      </c>
      <c r="M903" s="27">
        <v>1691</v>
      </c>
      <c r="N903" s="28"/>
      <c r="O903" s="26" t="s">
        <v>29</v>
      </c>
      <c r="P903" s="29"/>
      <c r="Q903" s="6"/>
      <c r="R903" s="29"/>
      <c r="S903" s="10"/>
      <c r="T903" s="8"/>
    </row>
    <row r="904" spans="1:20" ht="15.75" customHeight="1" x14ac:dyDescent="0.35">
      <c r="A904" s="25" t="s">
        <v>1063</v>
      </c>
      <c r="B904" s="25" t="s">
        <v>1190</v>
      </c>
      <c r="C904" s="26">
        <v>196526</v>
      </c>
      <c r="D904" s="25" t="s">
        <v>1234</v>
      </c>
      <c r="E904" s="25" t="s">
        <v>1222</v>
      </c>
      <c r="F904" s="26" t="s">
        <v>90</v>
      </c>
      <c r="G904" s="26" t="s">
        <v>90</v>
      </c>
      <c r="H904" s="26">
        <v>1</v>
      </c>
      <c r="I904" s="26">
        <v>2</v>
      </c>
      <c r="J904" s="26">
        <v>1</v>
      </c>
      <c r="K904" s="26">
        <v>138</v>
      </c>
      <c r="L904" s="26" t="s">
        <v>28</v>
      </c>
      <c r="M904" s="27">
        <v>1693</v>
      </c>
      <c r="N904" s="30">
        <v>160290.82999999999</v>
      </c>
      <c r="O904" s="26" t="s">
        <v>29</v>
      </c>
      <c r="P904" s="29"/>
      <c r="Q904" s="6"/>
      <c r="R904" s="29"/>
      <c r="S904" s="10"/>
      <c r="T904" s="8">
        <v>1</v>
      </c>
    </row>
    <row r="905" spans="1:20" ht="15.75" customHeight="1" x14ac:dyDescent="0.35">
      <c r="A905" s="25" t="s">
        <v>1235</v>
      </c>
      <c r="B905" s="25" t="s">
        <v>1236</v>
      </c>
      <c r="C905" s="26">
        <v>112031</v>
      </c>
      <c r="D905" s="25" t="s">
        <v>1237</v>
      </c>
      <c r="E905" s="25" t="s">
        <v>1238</v>
      </c>
      <c r="F905" s="26" t="s">
        <v>90</v>
      </c>
      <c r="G905" s="26" t="s">
        <v>90</v>
      </c>
      <c r="H905" s="26">
        <v>1</v>
      </c>
      <c r="I905" s="26">
        <v>9</v>
      </c>
      <c r="J905" s="26">
        <v>1</v>
      </c>
      <c r="K905" s="26">
        <v>138</v>
      </c>
      <c r="L905" s="26" t="s">
        <v>28</v>
      </c>
      <c r="M905" s="27">
        <v>1701</v>
      </c>
      <c r="N905" s="28">
        <v>1232937.25</v>
      </c>
      <c r="O905" s="26" t="s">
        <v>29</v>
      </c>
      <c r="P905" s="29"/>
      <c r="Q905" s="6"/>
      <c r="R905" s="29"/>
      <c r="S905" s="10"/>
      <c r="T905" s="8">
        <v>1</v>
      </c>
    </row>
    <row r="906" spans="1:20" ht="15.75" customHeight="1" x14ac:dyDescent="0.35">
      <c r="A906" s="25" t="s">
        <v>1235</v>
      </c>
      <c r="B906" s="25" t="s">
        <v>1236</v>
      </c>
      <c r="C906" s="26">
        <v>112042</v>
      </c>
      <c r="D906" s="25" t="s">
        <v>1239</v>
      </c>
      <c r="E906" s="25" t="s">
        <v>1238</v>
      </c>
      <c r="F906" s="26" t="s">
        <v>90</v>
      </c>
      <c r="G906" s="26" t="s">
        <v>90</v>
      </c>
      <c r="H906" s="26">
        <v>1</v>
      </c>
      <c r="I906" s="26">
        <v>4</v>
      </c>
      <c r="J906" s="26">
        <v>1</v>
      </c>
      <c r="K906" s="26">
        <v>138</v>
      </c>
      <c r="L906" s="26" t="s">
        <v>28</v>
      </c>
      <c r="M906" s="27">
        <v>1702</v>
      </c>
      <c r="N906" s="28">
        <v>336798.67</v>
      </c>
      <c r="O906" s="26" t="s">
        <v>29</v>
      </c>
      <c r="P906" s="29"/>
      <c r="Q906" s="6"/>
      <c r="R906" s="29"/>
      <c r="S906" s="10"/>
      <c r="T906" s="8">
        <v>1</v>
      </c>
    </row>
    <row r="907" spans="1:20" ht="15.75" customHeight="1" x14ac:dyDescent="0.35">
      <c r="A907" s="25" t="s">
        <v>1235</v>
      </c>
      <c r="B907" s="25" t="s">
        <v>1240</v>
      </c>
      <c r="C907" s="26">
        <v>112120</v>
      </c>
      <c r="D907" s="25" t="s">
        <v>1241</v>
      </c>
      <c r="E907" s="25" t="s">
        <v>1242</v>
      </c>
      <c r="F907" s="26" t="s">
        <v>215</v>
      </c>
      <c r="G907" s="26" t="s">
        <v>215</v>
      </c>
      <c r="H907" s="26"/>
      <c r="I907" s="26"/>
      <c r="J907" s="26">
        <v>1</v>
      </c>
      <c r="K907" s="26">
        <v>138</v>
      </c>
      <c r="L907" s="26" t="s">
        <v>28</v>
      </c>
      <c r="M907" s="27">
        <v>1703</v>
      </c>
      <c r="N907" s="28"/>
      <c r="O907" s="26" t="s">
        <v>29</v>
      </c>
      <c r="P907" s="29"/>
      <c r="Q907" s="6"/>
      <c r="R907" s="29"/>
      <c r="S907" s="10"/>
      <c r="T907" s="8"/>
    </row>
    <row r="908" spans="1:20" ht="15.75" customHeight="1" x14ac:dyDescent="0.35">
      <c r="A908" s="25" t="s">
        <v>1235</v>
      </c>
      <c r="B908" s="25" t="s">
        <v>1243</v>
      </c>
      <c r="C908" s="26">
        <v>112573</v>
      </c>
      <c r="D908" s="25" t="s">
        <v>1244</v>
      </c>
      <c r="E908" s="25" t="s">
        <v>1245</v>
      </c>
      <c r="F908" s="26" t="s">
        <v>555</v>
      </c>
      <c r="G908" s="26" t="s">
        <v>555</v>
      </c>
      <c r="H908" s="26">
        <v>1</v>
      </c>
      <c r="I908" s="26">
        <v>6</v>
      </c>
      <c r="J908" s="26">
        <v>1</v>
      </c>
      <c r="K908" s="26">
        <v>138</v>
      </c>
      <c r="L908" s="26" t="s">
        <v>28</v>
      </c>
      <c r="M908" s="27">
        <v>1711</v>
      </c>
      <c r="N908" s="28">
        <v>697001.28</v>
      </c>
      <c r="O908" s="26" t="s">
        <v>29</v>
      </c>
      <c r="P908" s="29"/>
      <c r="Q908" s="6"/>
      <c r="R908" s="29"/>
      <c r="S908" s="10"/>
      <c r="T908" s="8">
        <v>1</v>
      </c>
    </row>
    <row r="909" spans="1:20" ht="15.75" customHeight="1" x14ac:dyDescent="0.35">
      <c r="A909" s="25" t="s">
        <v>1235</v>
      </c>
      <c r="B909" s="25" t="s">
        <v>1243</v>
      </c>
      <c r="C909" s="26">
        <v>112574</v>
      </c>
      <c r="D909" s="25" t="s">
        <v>1246</v>
      </c>
      <c r="E909" s="25" t="s">
        <v>1245</v>
      </c>
      <c r="F909" s="26" t="s">
        <v>555</v>
      </c>
      <c r="G909" s="26" t="s">
        <v>555</v>
      </c>
      <c r="H909" s="26">
        <v>1</v>
      </c>
      <c r="I909" s="26">
        <v>4</v>
      </c>
      <c r="J909" s="26">
        <v>1</v>
      </c>
      <c r="K909" s="26">
        <v>138</v>
      </c>
      <c r="L909" s="26" t="s">
        <v>28</v>
      </c>
      <c r="M909" s="27">
        <v>1712</v>
      </c>
      <c r="N909" s="28">
        <v>583800.4</v>
      </c>
      <c r="O909" s="26" t="s">
        <v>29</v>
      </c>
      <c r="P909" s="29"/>
      <c r="Q909" s="6"/>
      <c r="R909" s="29"/>
      <c r="S909" s="10"/>
      <c r="T909" s="8">
        <v>1</v>
      </c>
    </row>
    <row r="910" spans="1:20" ht="15.75" customHeight="1" x14ac:dyDescent="0.35">
      <c r="A910" s="25" t="s">
        <v>1235</v>
      </c>
      <c r="B910" s="25" t="s">
        <v>1243</v>
      </c>
      <c r="C910" s="26">
        <v>112576</v>
      </c>
      <c r="D910" s="25" t="s">
        <v>1247</v>
      </c>
      <c r="E910" s="25" t="s">
        <v>1248</v>
      </c>
      <c r="F910" s="26" t="s">
        <v>215</v>
      </c>
      <c r="G910" s="26" t="s">
        <v>215</v>
      </c>
      <c r="H910" s="26"/>
      <c r="I910" s="26"/>
      <c r="J910" s="26">
        <v>1</v>
      </c>
      <c r="K910" s="26">
        <v>138</v>
      </c>
      <c r="L910" s="26" t="s">
        <v>28</v>
      </c>
      <c r="M910" s="27">
        <v>1704</v>
      </c>
      <c r="N910" s="28"/>
      <c r="O910" s="26" t="s">
        <v>29</v>
      </c>
      <c r="P910" s="29"/>
      <c r="Q910" s="6"/>
      <c r="R910" s="29"/>
      <c r="S910" s="10"/>
      <c r="T910" s="8"/>
    </row>
    <row r="911" spans="1:20" ht="15.75" customHeight="1" x14ac:dyDescent="0.35">
      <c r="A911" s="25" t="s">
        <v>1235</v>
      </c>
      <c r="B911" s="25" t="s">
        <v>1243</v>
      </c>
      <c r="C911" s="26">
        <v>112585</v>
      </c>
      <c r="D911" s="25" t="s">
        <v>1249</v>
      </c>
      <c r="E911" s="25" t="s">
        <v>1248</v>
      </c>
      <c r="F911" s="26" t="s">
        <v>215</v>
      </c>
      <c r="G911" s="26" t="s">
        <v>215</v>
      </c>
      <c r="H911" s="26">
        <v>1</v>
      </c>
      <c r="I911" s="26">
        <v>2</v>
      </c>
      <c r="J911" s="26">
        <v>1</v>
      </c>
      <c r="K911" s="26">
        <v>138</v>
      </c>
      <c r="L911" s="26" t="s">
        <v>28</v>
      </c>
      <c r="M911" s="27">
        <v>1706</v>
      </c>
      <c r="N911" s="28">
        <v>528799.28</v>
      </c>
      <c r="O911" s="26" t="s">
        <v>29</v>
      </c>
      <c r="P911" s="29"/>
      <c r="Q911" s="6"/>
      <c r="R911" s="29"/>
      <c r="S911" s="10"/>
      <c r="T911" s="8">
        <v>1</v>
      </c>
    </row>
    <row r="912" spans="1:20" ht="15.75" customHeight="1" x14ac:dyDescent="0.35">
      <c r="A912" s="25" t="s">
        <v>1235</v>
      </c>
      <c r="B912" s="25" t="s">
        <v>1243</v>
      </c>
      <c r="C912" s="26">
        <v>112643</v>
      </c>
      <c r="D912" s="25" t="s">
        <v>1250</v>
      </c>
      <c r="E912" s="25" t="s">
        <v>1251</v>
      </c>
      <c r="F912" s="26" t="s">
        <v>555</v>
      </c>
      <c r="G912" s="26" t="s">
        <v>555</v>
      </c>
      <c r="H912" s="26">
        <v>1</v>
      </c>
      <c r="I912" s="26">
        <v>6</v>
      </c>
      <c r="J912" s="26">
        <v>1</v>
      </c>
      <c r="K912" s="26">
        <v>138</v>
      </c>
      <c r="L912" s="26" t="s">
        <v>28</v>
      </c>
      <c r="M912" s="27">
        <v>1709</v>
      </c>
      <c r="N912" s="28">
        <v>801783.89</v>
      </c>
      <c r="O912" s="26" t="s">
        <v>29</v>
      </c>
      <c r="P912" s="29"/>
      <c r="Q912" s="6"/>
      <c r="R912" s="29"/>
      <c r="S912" s="10"/>
      <c r="T912" s="8">
        <v>1</v>
      </c>
    </row>
    <row r="913" spans="1:21" ht="15.75" customHeight="1" x14ac:dyDescent="0.35">
      <c r="A913" s="25" t="s">
        <v>1235</v>
      </c>
      <c r="B913" s="25" t="s">
        <v>1243</v>
      </c>
      <c r="C913" s="26">
        <v>173504</v>
      </c>
      <c r="D913" s="25" t="s">
        <v>813</v>
      </c>
      <c r="E913" s="25" t="s">
        <v>1248</v>
      </c>
      <c r="F913" s="26" t="s">
        <v>215</v>
      </c>
      <c r="G913" s="26" t="s">
        <v>215</v>
      </c>
      <c r="H913" s="26">
        <v>1</v>
      </c>
      <c r="I913" s="26">
        <v>4</v>
      </c>
      <c r="J913" s="26">
        <v>1</v>
      </c>
      <c r="K913" s="26">
        <v>138</v>
      </c>
      <c r="L913" s="26" t="s">
        <v>28</v>
      </c>
      <c r="M913" s="27">
        <v>1705</v>
      </c>
      <c r="N913" s="28">
        <v>580689.22</v>
      </c>
      <c r="O913" s="26" t="s">
        <v>29</v>
      </c>
      <c r="P913" s="29"/>
      <c r="Q913" s="6"/>
      <c r="R913" s="29"/>
      <c r="S913" s="10"/>
      <c r="T913" s="8">
        <v>1</v>
      </c>
    </row>
    <row r="914" spans="1:21" ht="15.75" customHeight="1" x14ac:dyDescent="0.35">
      <c r="A914" s="25" t="s">
        <v>1235</v>
      </c>
      <c r="B914" s="25" t="s">
        <v>1243</v>
      </c>
      <c r="C914" s="26">
        <v>173514</v>
      </c>
      <c r="D914" s="25" t="s">
        <v>1252</v>
      </c>
      <c r="E914" s="25" t="s">
        <v>1245</v>
      </c>
      <c r="F914" s="26" t="s">
        <v>555</v>
      </c>
      <c r="G914" s="26" t="s">
        <v>555</v>
      </c>
      <c r="H914" s="26">
        <v>1</v>
      </c>
      <c r="I914" s="26">
        <v>1</v>
      </c>
      <c r="J914" s="26">
        <v>1</v>
      </c>
      <c r="K914" s="26">
        <v>138</v>
      </c>
      <c r="L914" s="26" t="s">
        <v>28</v>
      </c>
      <c r="M914" s="27">
        <v>1707</v>
      </c>
      <c r="N914" s="28">
        <v>159624.17000000001</v>
      </c>
      <c r="O914" s="26" t="s">
        <v>29</v>
      </c>
      <c r="P914" s="29"/>
      <c r="Q914" s="6"/>
      <c r="R914" s="29"/>
      <c r="S914" s="10"/>
      <c r="T914" s="8">
        <v>1</v>
      </c>
    </row>
    <row r="915" spans="1:21" ht="15.75" customHeight="1" x14ac:dyDescent="0.35">
      <c r="A915" s="25" t="s">
        <v>1235</v>
      </c>
      <c r="B915" s="25" t="s">
        <v>1243</v>
      </c>
      <c r="C915" s="26">
        <v>173515</v>
      </c>
      <c r="D915" s="25" t="s">
        <v>1253</v>
      </c>
      <c r="E915" s="25" t="s">
        <v>1254</v>
      </c>
      <c r="F915" s="26" t="s">
        <v>555</v>
      </c>
      <c r="G915" s="26" t="s">
        <v>555</v>
      </c>
      <c r="H915" s="26"/>
      <c r="I915" s="26"/>
      <c r="J915" s="26">
        <v>1</v>
      </c>
      <c r="K915" s="26">
        <v>138</v>
      </c>
      <c r="L915" s="26" t="s">
        <v>28</v>
      </c>
      <c r="M915" s="27">
        <v>1708</v>
      </c>
      <c r="N915" s="28"/>
      <c r="O915" s="26" t="s">
        <v>29</v>
      </c>
      <c r="P915" s="29"/>
      <c r="Q915" s="6"/>
      <c r="R915" s="29"/>
      <c r="S915" s="10"/>
      <c r="T915" s="8"/>
      <c r="U915" s="36" t="s">
        <v>1255</v>
      </c>
    </row>
    <row r="916" spans="1:21" ht="15.75" customHeight="1" x14ac:dyDescent="0.35">
      <c r="A916" s="25" t="s">
        <v>1235</v>
      </c>
      <c r="B916" s="25" t="s">
        <v>1243</v>
      </c>
      <c r="C916" s="26">
        <v>173555</v>
      </c>
      <c r="D916" s="25" t="s">
        <v>1256</v>
      </c>
      <c r="E916" s="25" t="s">
        <v>1257</v>
      </c>
      <c r="F916" s="26" t="s">
        <v>555</v>
      </c>
      <c r="G916" s="26" t="s">
        <v>555</v>
      </c>
      <c r="H916" s="26">
        <v>1</v>
      </c>
      <c r="I916" s="26">
        <v>4</v>
      </c>
      <c r="J916" s="26">
        <v>1</v>
      </c>
      <c r="K916" s="26">
        <v>138</v>
      </c>
      <c r="L916" s="26" t="s">
        <v>28</v>
      </c>
      <c r="M916" s="27">
        <v>1710</v>
      </c>
      <c r="N916" s="28">
        <v>586539.68000000005</v>
      </c>
      <c r="O916" s="26" t="s">
        <v>29</v>
      </c>
      <c r="P916" s="29"/>
      <c r="Q916" s="6"/>
      <c r="R916" s="29"/>
      <c r="S916" s="10"/>
      <c r="T916" s="8">
        <v>1</v>
      </c>
    </row>
    <row r="917" spans="1:21" ht="15.75" customHeight="1" x14ac:dyDescent="0.35">
      <c r="A917" s="25" t="s">
        <v>1235</v>
      </c>
      <c r="B917" s="25" t="s">
        <v>1258</v>
      </c>
      <c r="C917" s="26">
        <v>113393</v>
      </c>
      <c r="D917" s="25" t="s">
        <v>1259</v>
      </c>
      <c r="E917" s="25" t="s">
        <v>1260</v>
      </c>
      <c r="F917" s="26" t="s">
        <v>90</v>
      </c>
      <c r="G917" s="26" t="s">
        <v>90</v>
      </c>
      <c r="H917" s="26">
        <v>1</v>
      </c>
      <c r="I917" s="26">
        <v>8</v>
      </c>
      <c r="J917" s="26">
        <v>1</v>
      </c>
      <c r="K917" s="26">
        <v>138</v>
      </c>
      <c r="L917" s="26" t="s">
        <v>28</v>
      </c>
      <c r="M917" s="27">
        <v>1726</v>
      </c>
      <c r="N917" s="28">
        <v>562749.64</v>
      </c>
      <c r="O917" s="26" t="s">
        <v>29</v>
      </c>
      <c r="P917" s="29"/>
      <c r="Q917" s="6"/>
      <c r="R917" s="29"/>
      <c r="S917" s="10"/>
      <c r="T917" s="8">
        <v>1</v>
      </c>
    </row>
    <row r="918" spans="1:21" ht="15.75" customHeight="1" x14ac:dyDescent="0.35">
      <c r="A918" s="25" t="s">
        <v>1235</v>
      </c>
      <c r="B918" s="25" t="s">
        <v>1258</v>
      </c>
      <c r="C918" s="26">
        <v>113436</v>
      </c>
      <c r="D918" s="25" t="s">
        <v>1261</v>
      </c>
      <c r="E918" s="25" t="s">
        <v>1262</v>
      </c>
      <c r="F918" s="26" t="s">
        <v>90</v>
      </c>
      <c r="G918" s="26" t="s">
        <v>90</v>
      </c>
      <c r="H918" s="26">
        <v>1</v>
      </c>
      <c r="I918" s="26">
        <v>4</v>
      </c>
      <c r="J918" s="26">
        <v>1</v>
      </c>
      <c r="K918" s="26">
        <v>138</v>
      </c>
      <c r="L918" s="26" t="s">
        <v>28</v>
      </c>
      <c r="M918" s="27">
        <v>1732</v>
      </c>
      <c r="N918" s="28">
        <v>298127.43</v>
      </c>
      <c r="O918" s="26" t="s">
        <v>29</v>
      </c>
      <c r="P918" s="29"/>
      <c r="Q918" s="6"/>
      <c r="R918" s="29"/>
      <c r="S918" s="10"/>
      <c r="T918" s="8">
        <v>1</v>
      </c>
    </row>
    <row r="919" spans="1:21" ht="15.75" customHeight="1" x14ac:dyDescent="0.35">
      <c r="A919" s="25" t="s">
        <v>1235</v>
      </c>
      <c r="B919" s="25" t="s">
        <v>1258</v>
      </c>
      <c r="C919" s="26">
        <v>113439</v>
      </c>
      <c r="D919" s="25" t="s">
        <v>1263</v>
      </c>
      <c r="E919" s="25" t="s">
        <v>1262</v>
      </c>
      <c r="F919" s="26" t="s">
        <v>90</v>
      </c>
      <c r="G919" s="26" t="s">
        <v>90</v>
      </c>
      <c r="H919" s="26"/>
      <c r="I919" s="26"/>
      <c r="J919" s="26">
        <v>1</v>
      </c>
      <c r="K919" s="26">
        <v>138</v>
      </c>
      <c r="L919" s="26" t="s">
        <v>28</v>
      </c>
      <c r="M919" s="27">
        <v>1735</v>
      </c>
      <c r="N919" s="28"/>
      <c r="O919" s="26" t="s">
        <v>29</v>
      </c>
      <c r="P919" s="29"/>
      <c r="Q919" s="6"/>
      <c r="R919" s="29"/>
      <c r="S919" s="10"/>
      <c r="T919" s="8"/>
    </row>
    <row r="920" spans="1:21" ht="15.75" customHeight="1" x14ac:dyDescent="0.35">
      <c r="A920" s="25" t="s">
        <v>1235</v>
      </c>
      <c r="B920" s="25" t="s">
        <v>1258</v>
      </c>
      <c r="C920" s="26">
        <v>113451</v>
      </c>
      <c r="D920" s="25" t="s">
        <v>1264</v>
      </c>
      <c r="E920" s="25" t="s">
        <v>1265</v>
      </c>
      <c r="F920" s="26" t="s">
        <v>90</v>
      </c>
      <c r="G920" s="26" t="s">
        <v>90</v>
      </c>
      <c r="H920" s="26">
        <v>1</v>
      </c>
      <c r="I920" s="26">
        <v>2</v>
      </c>
      <c r="J920" s="26">
        <v>1</v>
      </c>
      <c r="K920" s="26">
        <v>138</v>
      </c>
      <c r="L920" s="26" t="s">
        <v>28</v>
      </c>
      <c r="M920" s="27">
        <v>1729</v>
      </c>
      <c r="N920" s="28">
        <v>716664.73</v>
      </c>
      <c r="O920" s="26" t="s">
        <v>29</v>
      </c>
      <c r="P920" s="29"/>
      <c r="Q920" s="6"/>
      <c r="R920" s="29"/>
      <c r="S920" s="10"/>
      <c r="T920" s="8">
        <v>1</v>
      </c>
    </row>
    <row r="921" spans="1:21" ht="15.75" customHeight="1" x14ac:dyDescent="0.35">
      <c r="A921" s="25" t="s">
        <v>1235</v>
      </c>
      <c r="B921" s="25" t="s">
        <v>1258</v>
      </c>
      <c r="C921" s="26">
        <v>113452</v>
      </c>
      <c r="D921" s="25" t="s">
        <v>1266</v>
      </c>
      <c r="E921" s="25" t="s">
        <v>1265</v>
      </c>
      <c r="F921" s="26" t="s">
        <v>90</v>
      </c>
      <c r="G921" s="26" t="s">
        <v>90</v>
      </c>
      <c r="H921" s="26">
        <v>1</v>
      </c>
      <c r="I921" s="26">
        <v>14</v>
      </c>
      <c r="J921" s="26">
        <v>1</v>
      </c>
      <c r="K921" s="26">
        <v>138</v>
      </c>
      <c r="L921" s="26" t="s">
        <v>28</v>
      </c>
      <c r="M921" s="27">
        <v>1730</v>
      </c>
      <c r="N921" s="28">
        <v>986746.48</v>
      </c>
      <c r="O921" s="26" t="s">
        <v>29</v>
      </c>
      <c r="P921" s="29"/>
      <c r="Q921" s="6"/>
      <c r="R921" s="29"/>
      <c r="S921" s="10"/>
      <c r="T921" s="8">
        <v>1</v>
      </c>
    </row>
    <row r="922" spans="1:21" ht="15.75" customHeight="1" x14ac:dyDescent="0.35">
      <c r="A922" s="25" t="s">
        <v>1235</v>
      </c>
      <c r="B922" s="25" t="s">
        <v>1258</v>
      </c>
      <c r="C922" s="26">
        <v>113465</v>
      </c>
      <c r="D922" s="25" t="s">
        <v>813</v>
      </c>
      <c r="E922" s="25" t="s">
        <v>1265</v>
      </c>
      <c r="F922" s="26" t="s">
        <v>90</v>
      </c>
      <c r="G922" s="26" t="s">
        <v>90</v>
      </c>
      <c r="H922" s="26"/>
      <c r="I922" s="26"/>
      <c r="J922" s="26">
        <v>1</v>
      </c>
      <c r="K922" s="26">
        <v>138</v>
      </c>
      <c r="L922" s="26" t="s">
        <v>28</v>
      </c>
      <c r="M922" s="27">
        <v>1737</v>
      </c>
      <c r="N922" s="28"/>
      <c r="O922" s="26" t="s">
        <v>29</v>
      </c>
      <c r="P922" s="29"/>
      <c r="Q922" s="6"/>
      <c r="R922" s="29"/>
      <c r="S922" s="10"/>
      <c r="T922" s="8"/>
    </row>
    <row r="923" spans="1:21" ht="15.75" customHeight="1" x14ac:dyDescent="0.35">
      <c r="A923" s="25" t="s">
        <v>1235</v>
      </c>
      <c r="B923" s="25" t="s">
        <v>1258</v>
      </c>
      <c r="C923" s="26">
        <v>113555</v>
      </c>
      <c r="D923" s="25" t="s">
        <v>1267</v>
      </c>
      <c r="E923" s="25" t="s">
        <v>1268</v>
      </c>
      <c r="F923" s="26" t="s">
        <v>491</v>
      </c>
      <c r="G923" s="26" t="s">
        <v>491</v>
      </c>
      <c r="H923" s="26">
        <v>1</v>
      </c>
      <c r="I923" s="26">
        <v>6</v>
      </c>
      <c r="J923" s="26">
        <v>1</v>
      </c>
      <c r="K923" s="26">
        <v>138</v>
      </c>
      <c r="L923" s="26" t="s">
        <v>28</v>
      </c>
      <c r="M923" s="27">
        <v>1741</v>
      </c>
      <c r="N923" s="28">
        <v>436779.92</v>
      </c>
      <c r="O923" s="26" t="s">
        <v>29</v>
      </c>
      <c r="P923" s="29"/>
      <c r="Q923" s="6"/>
      <c r="R923" s="29"/>
      <c r="S923" s="10"/>
      <c r="T923" s="8">
        <v>1</v>
      </c>
    </row>
    <row r="924" spans="1:21" ht="15.75" customHeight="1" x14ac:dyDescent="0.35">
      <c r="A924" s="25" t="s">
        <v>1235</v>
      </c>
      <c r="B924" s="25" t="s">
        <v>1258</v>
      </c>
      <c r="C924" s="26">
        <v>113566</v>
      </c>
      <c r="D924" s="25" t="s">
        <v>1269</v>
      </c>
      <c r="E924" s="25" t="s">
        <v>1268</v>
      </c>
      <c r="F924" s="26" t="s">
        <v>491</v>
      </c>
      <c r="G924" s="26" t="s">
        <v>491</v>
      </c>
      <c r="H924" s="26">
        <v>1</v>
      </c>
      <c r="I924" s="26">
        <v>3</v>
      </c>
      <c r="J924" s="26">
        <v>1</v>
      </c>
      <c r="K924" s="26">
        <v>138</v>
      </c>
      <c r="L924" s="26" t="s">
        <v>28</v>
      </c>
      <c r="M924" s="27">
        <v>1747</v>
      </c>
      <c r="N924" s="28">
        <v>361926.77</v>
      </c>
      <c r="O924" s="26" t="s">
        <v>29</v>
      </c>
      <c r="P924" s="29"/>
      <c r="Q924" s="6"/>
      <c r="R924" s="29"/>
      <c r="S924" s="10"/>
      <c r="T924" s="8">
        <v>1</v>
      </c>
    </row>
    <row r="925" spans="1:21" ht="15.75" customHeight="1" x14ac:dyDescent="0.35">
      <c r="A925" s="25" t="s">
        <v>1235</v>
      </c>
      <c r="B925" s="25" t="s">
        <v>1258</v>
      </c>
      <c r="C925" s="26">
        <v>113567</v>
      </c>
      <c r="D925" s="25" t="s">
        <v>1270</v>
      </c>
      <c r="E925" s="25" t="s">
        <v>1268</v>
      </c>
      <c r="F925" s="26" t="s">
        <v>491</v>
      </c>
      <c r="G925" s="26" t="s">
        <v>491</v>
      </c>
      <c r="H925" s="26">
        <v>1</v>
      </c>
      <c r="I925" s="26">
        <v>5</v>
      </c>
      <c r="J925" s="26">
        <v>1</v>
      </c>
      <c r="K925" s="26">
        <v>138</v>
      </c>
      <c r="L925" s="26" t="s">
        <v>28</v>
      </c>
      <c r="M925" s="27">
        <v>1748</v>
      </c>
      <c r="N925" s="28">
        <v>483029.3</v>
      </c>
      <c r="O925" s="26" t="s">
        <v>29</v>
      </c>
      <c r="P925" s="29"/>
      <c r="Q925" s="6"/>
      <c r="R925" s="29"/>
      <c r="S925" s="10"/>
      <c r="T925" s="8">
        <v>1</v>
      </c>
    </row>
    <row r="926" spans="1:21" ht="15.75" customHeight="1" x14ac:dyDescent="0.35">
      <c r="A926" s="25" t="s">
        <v>1235</v>
      </c>
      <c r="B926" s="25" t="s">
        <v>1258</v>
      </c>
      <c r="C926" s="26">
        <v>113607</v>
      </c>
      <c r="D926" s="25" t="s">
        <v>1271</v>
      </c>
      <c r="E926" s="25" t="s">
        <v>1272</v>
      </c>
      <c r="F926" s="26" t="s">
        <v>491</v>
      </c>
      <c r="G926" s="26" t="s">
        <v>491</v>
      </c>
      <c r="H926" s="26">
        <v>1</v>
      </c>
      <c r="I926" s="26">
        <v>8</v>
      </c>
      <c r="J926" s="26">
        <v>1</v>
      </c>
      <c r="K926" s="26">
        <v>138</v>
      </c>
      <c r="L926" s="26" t="s">
        <v>28</v>
      </c>
      <c r="M926" s="27">
        <v>1739</v>
      </c>
      <c r="N926" s="28">
        <v>534411.47</v>
      </c>
      <c r="O926" s="26" t="s">
        <v>29</v>
      </c>
      <c r="P926" s="29"/>
      <c r="Q926" s="6"/>
      <c r="R926" s="29"/>
      <c r="S926" s="10"/>
      <c r="T926" s="8">
        <v>1</v>
      </c>
    </row>
    <row r="927" spans="1:21" ht="15.75" customHeight="1" x14ac:dyDescent="0.35">
      <c r="A927" s="25" t="s">
        <v>1235</v>
      </c>
      <c r="B927" s="25" t="s">
        <v>1258</v>
      </c>
      <c r="C927" s="26">
        <v>113614</v>
      </c>
      <c r="D927" s="25" t="s">
        <v>940</v>
      </c>
      <c r="E927" s="25" t="s">
        <v>1272</v>
      </c>
      <c r="F927" s="26" t="s">
        <v>491</v>
      </c>
      <c r="G927" s="26" t="s">
        <v>491</v>
      </c>
      <c r="H927" s="26">
        <v>1</v>
      </c>
      <c r="I927" s="26">
        <v>8</v>
      </c>
      <c r="J927" s="26">
        <v>1</v>
      </c>
      <c r="K927" s="26">
        <v>138</v>
      </c>
      <c r="L927" s="26" t="s">
        <v>28</v>
      </c>
      <c r="M927" s="27">
        <v>1742</v>
      </c>
      <c r="N927" s="28">
        <v>545468.67000000004</v>
      </c>
      <c r="O927" s="26" t="s">
        <v>29</v>
      </c>
      <c r="P927" s="29"/>
      <c r="Q927" s="6"/>
      <c r="R927" s="29"/>
      <c r="S927" s="10"/>
      <c r="T927" s="8">
        <v>1</v>
      </c>
    </row>
    <row r="928" spans="1:21" ht="15.75" customHeight="1" x14ac:dyDescent="0.35">
      <c r="A928" s="25" t="s">
        <v>1235</v>
      </c>
      <c r="B928" s="25" t="s">
        <v>1258</v>
      </c>
      <c r="C928" s="26">
        <v>113615</v>
      </c>
      <c r="D928" s="25" t="s">
        <v>1273</v>
      </c>
      <c r="E928" s="25" t="s">
        <v>1272</v>
      </c>
      <c r="F928" s="26" t="s">
        <v>491</v>
      </c>
      <c r="G928" s="26" t="s">
        <v>491</v>
      </c>
      <c r="H928" s="26">
        <v>1</v>
      </c>
      <c r="I928" s="26">
        <v>2</v>
      </c>
      <c r="J928" s="26">
        <v>1</v>
      </c>
      <c r="K928" s="26">
        <v>138</v>
      </c>
      <c r="L928" s="26" t="s">
        <v>28</v>
      </c>
      <c r="M928" s="27">
        <v>1744</v>
      </c>
      <c r="N928" s="28">
        <v>323164.42</v>
      </c>
      <c r="O928" s="26" t="s">
        <v>29</v>
      </c>
      <c r="P928" s="29"/>
      <c r="Q928" s="6"/>
      <c r="R928" s="29"/>
      <c r="S928" s="10"/>
      <c r="T928" s="8">
        <v>1</v>
      </c>
    </row>
    <row r="929" spans="1:20" ht="15.75" customHeight="1" x14ac:dyDescent="0.35">
      <c r="A929" s="25" t="s">
        <v>1235</v>
      </c>
      <c r="B929" s="25" t="s">
        <v>1258</v>
      </c>
      <c r="C929" s="26">
        <v>113625</v>
      </c>
      <c r="D929" s="25" t="s">
        <v>1274</v>
      </c>
      <c r="E929" s="25" t="s">
        <v>237</v>
      </c>
      <c r="F929" s="26" t="s">
        <v>491</v>
      </c>
      <c r="G929" s="26" t="s">
        <v>491</v>
      </c>
      <c r="H929" s="26">
        <v>1</v>
      </c>
      <c r="I929" s="26">
        <v>2</v>
      </c>
      <c r="J929" s="26">
        <v>1</v>
      </c>
      <c r="K929" s="26">
        <v>138</v>
      </c>
      <c r="L929" s="26" t="s">
        <v>28</v>
      </c>
      <c r="M929" s="27">
        <v>1740</v>
      </c>
      <c r="N929" s="28">
        <v>227024.48</v>
      </c>
      <c r="O929" s="26" t="s">
        <v>29</v>
      </c>
      <c r="P929" s="29"/>
      <c r="Q929" s="6"/>
      <c r="R929" s="29"/>
      <c r="S929" s="10"/>
      <c r="T929" s="8">
        <v>1</v>
      </c>
    </row>
    <row r="930" spans="1:20" ht="15.75" customHeight="1" x14ac:dyDescent="0.35">
      <c r="A930" s="25" t="s">
        <v>1235</v>
      </c>
      <c r="B930" s="25" t="s">
        <v>1258</v>
      </c>
      <c r="C930" s="26">
        <v>113630</v>
      </c>
      <c r="D930" s="25" t="s">
        <v>1275</v>
      </c>
      <c r="E930" s="25" t="s">
        <v>237</v>
      </c>
      <c r="F930" s="26" t="s">
        <v>491</v>
      </c>
      <c r="G930" s="26" t="s">
        <v>491</v>
      </c>
      <c r="H930" s="26">
        <v>1</v>
      </c>
      <c r="I930" s="26">
        <v>2</v>
      </c>
      <c r="J930" s="26">
        <v>1</v>
      </c>
      <c r="K930" s="26">
        <v>138</v>
      </c>
      <c r="L930" s="26" t="s">
        <v>28</v>
      </c>
      <c r="M930" s="27">
        <v>1743</v>
      </c>
      <c r="N930" s="28">
        <v>195333.11</v>
      </c>
      <c r="O930" s="26" t="s">
        <v>29</v>
      </c>
      <c r="P930" s="29"/>
      <c r="Q930" s="6"/>
      <c r="R930" s="29"/>
      <c r="S930" s="10"/>
      <c r="T930" s="8">
        <v>1</v>
      </c>
    </row>
    <row r="931" spans="1:20" ht="15.75" customHeight="1" x14ac:dyDescent="0.35">
      <c r="A931" s="25" t="s">
        <v>1235</v>
      </c>
      <c r="B931" s="25" t="s">
        <v>1258</v>
      </c>
      <c r="C931" s="26">
        <v>113632</v>
      </c>
      <c r="D931" s="25" t="s">
        <v>547</v>
      </c>
      <c r="E931" s="25" t="s">
        <v>237</v>
      </c>
      <c r="F931" s="26" t="s">
        <v>491</v>
      </c>
      <c r="G931" s="26" t="s">
        <v>491</v>
      </c>
      <c r="H931" s="26">
        <v>1</v>
      </c>
      <c r="I931" s="26">
        <v>6</v>
      </c>
      <c r="J931" s="26">
        <v>1</v>
      </c>
      <c r="K931" s="26">
        <v>138</v>
      </c>
      <c r="L931" s="26" t="s">
        <v>28</v>
      </c>
      <c r="M931" s="27">
        <v>1745</v>
      </c>
      <c r="N931" s="28">
        <v>439980.67</v>
      </c>
      <c r="O931" s="26" t="s">
        <v>29</v>
      </c>
      <c r="P931" s="29"/>
      <c r="Q931" s="6"/>
      <c r="R931" s="29"/>
      <c r="S931" s="10"/>
      <c r="T931" s="8">
        <v>1</v>
      </c>
    </row>
    <row r="932" spans="1:20" ht="15.75" customHeight="1" x14ac:dyDescent="0.35">
      <c r="A932" s="25" t="s">
        <v>1235</v>
      </c>
      <c r="B932" s="25" t="s">
        <v>1258</v>
      </c>
      <c r="C932" s="26">
        <v>113644</v>
      </c>
      <c r="D932" s="25" t="s">
        <v>1276</v>
      </c>
      <c r="E932" s="25" t="s">
        <v>1277</v>
      </c>
      <c r="F932" s="26" t="s">
        <v>90</v>
      </c>
      <c r="G932" s="26" t="s">
        <v>90</v>
      </c>
      <c r="H932" s="26">
        <v>1</v>
      </c>
      <c r="I932" s="26">
        <v>1</v>
      </c>
      <c r="J932" s="26">
        <v>1</v>
      </c>
      <c r="K932" s="26">
        <v>138</v>
      </c>
      <c r="L932" s="26" t="s">
        <v>28</v>
      </c>
      <c r="M932" s="27">
        <v>1728</v>
      </c>
      <c r="N932" s="28">
        <v>285395.96999999997</v>
      </c>
      <c r="O932" s="26" t="s">
        <v>29</v>
      </c>
      <c r="P932" s="29"/>
      <c r="Q932" s="6"/>
      <c r="R932" s="29"/>
      <c r="S932" s="10"/>
      <c r="T932" s="8">
        <v>1</v>
      </c>
    </row>
    <row r="933" spans="1:20" ht="15.75" customHeight="1" x14ac:dyDescent="0.35">
      <c r="A933" s="25" t="s">
        <v>1235</v>
      </c>
      <c r="B933" s="25" t="s">
        <v>1258</v>
      </c>
      <c r="C933" s="26">
        <v>113648</v>
      </c>
      <c r="D933" s="25" t="s">
        <v>1278</v>
      </c>
      <c r="E933" s="25" t="s">
        <v>1277</v>
      </c>
      <c r="F933" s="26" t="s">
        <v>90</v>
      </c>
      <c r="G933" s="26" t="s">
        <v>90</v>
      </c>
      <c r="H933" s="26">
        <v>1</v>
      </c>
      <c r="I933" s="26">
        <v>5</v>
      </c>
      <c r="J933" s="26">
        <v>1</v>
      </c>
      <c r="K933" s="26">
        <v>138</v>
      </c>
      <c r="L933" s="26" t="s">
        <v>28</v>
      </c>
      <c r="M933" s="27">
        <v>1731</v>
      </c>
      <c r="N933" s="34">
        <v>373294.56</v>
      </c>
      <c r="O933" s="26" t="s">
        <v>29</v>
      </c>
      <c r="P933" s="29"/>
      <c r="Q933" s="6"/>
      <c r="R933" s="29"/>
      <c r="S933" s="10"/>
      <c r="T933" s="8">
        <v>1</v>
      </c>
    </row>
    <row r="934" spans="1:20" ht="15.75" customHeight="1" x14ac:dyDescent="0.35">
      <c r="A934" s="25" t="s">
        <v>1235</v>
      </c>
      <c r="B934" s="25" t="s">
        <v>1258</v>
      </c>
      <c r="C934" s="26">
        <v>113720</v>
      </c>
      <c r="D934" s="25" t="s">
        <v>1279</v>
      </c>
      <c r="E934" s="25" t="s">
        <v>1280</v>
      </c>
      <c r="F934" s="26" t="s">
        <v>90</v>
      </c>
      <c r="G934" s="26" t="s">
        <v>90</v>
      </c>
      <c r="H934" s="26">
        <v>1</v>
      </c>
      <c r="I934" s="26">
        <v>7</v>
      </c>
      <c r="J934" s="26">
        <v>1</v>
      </c>
      <c r="K934" s="26">
        <v>138</v>
      </c>
      <c r="L934" s="26" t="s">
        <v>28</v>
      </c>
      <c r="M934" s="27">
        <v>1727</v>
      </c>
      <c r="N934" s="28">
        <v>469697.85</v>
      </c>
      <c r="O934" s="26" t="s">
        <v>29</v>
      </c>
      <c r="P934" s="29"/>
      <c r="Q934" s="6"/>
      <c r="R934" s="29"/>
      <c r="S934" s="10"/>
      <c r="T934" s="8">
        <v>1</v>
      </c>
    </row>
    <row r="935" spans="1:20" ht="15.75" customHeight="1" x14ac:dyDescent="0.35">
      <c r="A935" s="25" t="s">
        <v>1235</v>
      </c>
      <c r="B935" s="25" t="s">
        <v>1258</v>
      </c>
      <c r="C935" s="26">
        <v>113726</v>
      </c>
      <c r="D935" s="25" t="s">
        <v>1281</v>
      </c>
      <c r="E935" s="25" t="s">
        <v>1280</v>
      </c>
      <c r="F935" s="26" t="s">
        <v>90</v>
      </c>
      <c r="G935" s="26" t="s">
        <v>90</v>
      </c>
      <c r="H935" s="26"/>
      <c r="I935" s="26"/>
      <c r="J935" s="26">
        <v>1</v>
      </c>
      <c r="K935" s="26">
        <v>138</v>
      </c>
      <c r="L935" s="26" t="s">
        <v>28</v>
      </c>
      <c r="M935" s="27">
        <v>1733</v>
      </c>
      <c r="N935" s="28"/>
      <c r="O935" s="26" t="s">
        <v>29</v>
      </c>
      <c r="P935" s="29"/>
      <c r="Q935" s="6"/>
      <c r="R935" s="29"/>
      <c r="S935" s="10"/>
      <c r="T935" s="8"/>
    </row>
    <row r="936" spans="1:20" ht="15.75" customHeight="1" x14ac:dyDescent="0.35">
      <c r="A936" s="25" t="s">
        <v>1235</v>
      </c>
      <c r="B936" s="25" t="s">
        <v>1258</v>
      </c>
      <c r="C936" s="26">
        <v>113753</v>
      </c>
      <c r="D936" s="25" t="s">
        <v>1263</v>
      </c>
      <c r="E936" s="25" t="s">
        <v>1282</v>
      </c>
      <c r="F936" s="26" t="s">
        <v>90</v>
      </c>
      <c r="G936" s="26" t="s">
        <v>90</v>
      </c>
      <c r="H936" s="26"/>
      <c r="I936" s="26"/>
      <c r="J936" s="26">
        <v>1</v>
      </c>
      <c r="K936" s="26">
        <v>138</v>
      </c>
      <c r="L936" s="26" t="s">
        <v>28</v>
      </c>
      <c r="M936" s="27">
        <v>1736</v>
      </c>
      <c r="N936" s="28"/>
      <c r="O936" s="26" t="s">
        <v>29</v>
      </c>
      <c r="P936" s="29"/>
      <c r="Q936" s="6"/>
      <c r="R936" s="29"/>
      <c r="S936" s="10"/>
      <c r="T936" s="8"/>
    </row>
    <row r="937" spans="1:20" ht="15.75" customHeight="1" x14ac:dyDescent="0.35">
      <c r="A937" s="25" t="s">
        <v>1235</v>
      </c>
      <c r="B937" s="25" t="s">
        <v>1258</v>
      </c>
      <c r="C937" s="26">
        <v>113837</v>
      </c>
      <c r="D937" s="25" t="s">
        <v>1283</v>
      </c>
      <c r="E937" s="25" t="s">
        <v>1284</v>
      </c>
      <c r="F937" s="26" t="s">
        <v>491</v>
      </c>
      <c r="G937" s="26" t="s">
        <v>491</v>
      </c>
      <c r="H937" s="26">
        <v>1</v>
      </c>
      <c r="I937" s="26">
        <v>6</v>
      </c>
      <c r="J937" s="26">
        <v>1</v>
      </c>
      <c r="K937" s="26">
        <v>138</v>
      </c>
      <c r="L937" s="26" t="s">
        <v>28</v>
      </c>
      <c r="M937" s="27">
        <v>1746</v>
      </c>
      <c r="N937" s="28">
        <v>469965.55</v>
      </c>
      <c r="O937" s="26" t="s">
        <v>29</v>
      </c>
      <c r="P937" s="29"/>
      <c r="Q937" s="6"/>
      <c r="R937" s="29"/>
      <c r="S937" s="10"/>
      <c r="T937" s="8">
        <v>1</v>
      </c>
    </row>
    <row r="938" spans="1:20" ht="15.75" customHeight="1" x14ac:dyDescent="0.35">
      <c r="A938" s="25" t="s">
        <v>1235</v>
      </c>
      <c r="B938" s="25" t="s">
        <v>1258</v>
      </c>
      <c r="C938" s="26">
        <v>113864</v>
      </c>
      <c r="D938" s="25" t="s">
        <v>1285</v>
      </c>
      <c r="E938" s="25" t="s">
        <v>1286</v>
      </c>
      <c r="F938" s="26" t="s">
        <v>215</v>
      </c>
      <c r="G938" s="26" t="s">
        <v>215</v>
      </c>
      <c r="H938" s="26">
        <v>1</v>
      </c>
      <c r="I938" s="26">
        <v>7</v>
      </c>
      <c r="J938" s="26">
        <v>1</v>
      </c>
      <c r="K938" s="26">
        <v>138</v>
      </c>
      <c r="L938" s="26" t="s">
        <v>28</v>
      </c>
      <c r="M938" s="27">
        <v>1716</v>
      </c>
      <c r="N938" s="28">
        <v>507440.05</v>
      </c>
      <c r="O938" s="26" t="s">
        <v>29</v>
      </c>
      <c r="P938" s="29"/>
      <c r="Q938" s="6"/>
      <c r="R938" s="29"/>
      <c r="S938" s="10"/>
      <c r="T938" s="8">
        <v>1</v>
      </c>
    </row>
    <row r="939" spans="1:20" ht="15.75" customHeight="1" x14ac:dyDescent="0.35">
      <c r="A939" s="25" t="s">
        <v>1235</v>
      </c>
      <c r="B939" s="25" t="s">
        <v>1258</v>
      </c>
      <c r="C939" s="26">
        <v>113905</v>
      </c>
      <c r="D939" s="25" t="s">
        <v>1287</v>
      </c>
      <c r="E939" s="25" t="s">
        <v>1288</v>
      </c>
      <c r="F939" s="26" t="s">
        <v>215</v>
      </c>
      <c r="G939" s="26" t="s">
        <v>215</v>
      </c>
      <c r="H939" s="26"/>
      <c r="I939" s="26"/>
      <c r="J939" s="26">
        <v>1</v>
      </c>
      <c r="K939" s="26">
        <v>138</v>
      </c>
      <c r="L939" s="26" t="s">
        <v>28</v>
      </c>
      <c r="M939" s="27">
        <v>1713</v>
      </c>
      <c r="N939" s="28"/>
      <c r="O939" s="26" t="s">
        <v>29</v>
      </c>
      <c r="P939" s="29"/>
      <c r="Q939" s="6"/>
      <c r="R939" s="29"/>
      <c r="S939" s="10"/>
      <c r="T939" s="8"/>
    </row>
    <row r="940" spans="1:20" ht="15.75" customHeight="1" x14ac:dyDescent="0.35">
      <c r="A940" s="25" t="s">
        <v>1235</v>
      </c>
      <c r="B940" s="25" t="s">
        <v>1258</v>
      </c>
      <c r="C940" s="26">
        <v>113906</v>
      </c>
      <c r="D940" s="25" t="s">
        <v>1289</v>
      </c>
      <c r="E940" s="25" t="s">
        <v>1288</v>
      </c>
      <c r="F940" s="26" t="s">
        <v>215</v>
      </c>
      <c r="G940" s="26" t="s">
        <v>215</v>
      </c>
      <c r="H940" s="26"/>
      <c r="I940" s="26"/>
      <c r="J940" s="26">
        <v>1</v>
      </c>
      <c r="K940" s="26">
        <v>138</v>
      </c>
      <c r="L940" s="26" t="s">
        <v>28</v>
      </c>
      <c r="M940" s="27">
        <v>1723</v>
      </c>
      <c r="N940" s="28"/>
      <c r="O940" s="26" t="s">
        <v>29</v>
      </c>
      <c r="P940" s="29"/>
      <c r="Q940" s="6"/>
      <c r="R940" s="29"/>
      <c r="S940" s="10"/>
      <c r="T940" s="8"/>
    </row>
    <row r="941" spans="1:20" ht="15.75" customHeight="1" x14ac:dyDescent="0.35">
      <c r="A941" s="25" t="s">
        <v>1235</v>
      </c>
      <c r="B941" s="25" t="s">
        <v>1258</v>
      </c>
      <c r="C941" s="26">
        <v>113908</v>
      </c>
      <c r="D941" s="25" t="s">
        <v>1290</v>
      </c>
      <c r="E941" s="25" t="s">
        <v>1288</v>
      </c>
      <c r="F941" s="26" t="s">
        <v>215</v>
      </c>
      <c r="G941" s="26" t="s">
        <v>215</v>
      </c>
      <c r="H941" s="26">
        <v>1</v>
      </c>
      <c r="I941" s="26">
        <v>10</v>
      </c>
      <c r="J941" s="26">
        <v>1</v>
      </c>
      <c r="K941" s="26">
        <v>138</v>
      </c>
      <c r="L941" s="26" t="s">
        <v>28</v>
      </c>
      <c r="M941" s="27">
        <v>1714</v>
      </c>
      <c r="N941" s="28">
        <v>693094.89</v>
      </c>
      <c r="O941" s="26" t="s">
        <v>29</v>
      </c>
      <c r="P941" s="29"/>
      <c r="Q941" s="6"/>
      <c r="R941" s="29"/>
      <c r="S941" s="10"/>
      <c r="T941" s="8">
        <v>1</v>
      </c>
    </row>
    <row r="942" spans="1:20" ht="15.75" customHeight="1" x14ac:dyDescent="0.35">
      <c r="A942" s="25" t="s">
        <v>1235</v>
      </c>
      <c r="B942" s="25" t="s">
        <v>1258</v>
      </c>
      <c r="C942" s="26">
        <v>113910</v>
      </c>
      <c r="D942" s="25" t="s">
        <v>1291</v>
      </c>
      <c r="E942" s="25" t="s">
        <v>1288</v>
      </c>
      <c r="F942" s="26" t="s">
        <v>215</v>
      </c>
      <c r="G942" s="26" t="s">
        <v>215</v>
      </c>
      <c r="H942" s="26"/>
      <c r="I942" s="26"/>
      <c r="J942" s="26">
        <v>1</v>
      </c>
      <c r="K942" s="26">
        <v>138</v>
      </c>
      <c r="L942" s="26" t="s">
        <v>28</v>
      </c>
      <c r="M942" s="27">
        <v>1715</v>
      </c>
      <c r="N942" s="28"/>
      <c r="O942" s="26" t="s">
        <v>29</v>
      </c>
      <c r="P942" s="29"/>
      <c r="Q942" s="6"/>
      <c r="R942" s="29"/>
      <c r="S942" s="10"/>
      <c r="T942" s="8"/>
    </row>
    <row r="943" spans="1:20" ht="15.75" customHeight="1" x14ac:dyDescent="0.35">
      <c r="A943" s="25" t="s">
        <v>1235</v>
      </c>
      <c r="B943" s="25" t="s">
        <v>1258</v>
      </c>
      <c r="C943" s="26">
        <v>113916</v>
      </c>
      <c r="D943" s="25" t="s">
        <v>1292</v>
      </c>
      <c r="E943" s="25" t="s">
        <v>1288</v>
      </c>
      <c r="F943" s="26" t="s">
        <v>215</v>
      </c>
      <c r="G943" s="26" t="s">
        <v>215</v>
      </c>
      <c r="H943" s="26"/>
      <c r="I943" s="26"/>
      <c r="J943" s="26">
        <v>1</v>
      </c>
      <c r="K943" s="26">
        <v>138</v>
      </c>
      <c r="L943" s="26" t="s">
        <v>28</v>
      </c>
      <c r="M943" s="27">
        <v>1717</v>
      </c>
      <c r="N943" s="28"/>
      <c r="O943" s="26" t="s">
        <v>29</v>
      </c>
      <c r="P943" s="29"/>
      <c r="Q943" s="6"/>
      <c r="R943" s="29"/>
      <c r="S943" s="10"/>
      <c r="T943" s="8"/>
    </row>
    <row r="944" spans="1:20" ht="15.75" customHeight="1" x14ac:dyDescent="0.35">
      <c r="A944" s="25" t="s">
        <v>1235</v>
      </c>
      <c r="B944" s="25" t="s">
        <v>1258</v>
      </c>
      <c r="C944" s="26">
        <v>113917</v>
      </c>
      <c r="D944" s="25" t="s">
        <v>1293</v>
      </c>
      <c r="E944" s="25" t="s">
        <v>1288</v>
      </c>
      <c r="F944" s="26" t="s">
        <v>215</v>
      </c>
      <c r="G944" s="26" t="s">
        <v>215</v>
      </c>
      <c r="H944" s="26">
        <v>1</v>
      </c>
      <c r="I944" s="26">
        <v>10</v>
      </c>
      <c r="J944" s="26">
        <v>1</v>
      </c>
      <c r="K944" s="26">
        <v>138</v>
      </c>
      <c r="L944" s="26" t="s">
        <v>28</v>
      </c>
      <c r="M944" s="27">
        <v>1718</v>
      </c>
      <c r="N944" s="28">
        <v>625621.18000000005</v>
      </c>
      <c r="O944" s="26" t="s">
        <v>29</v>
      </c>
      <c r="P944" s="29"/>
      <c r="Q944" s="6"/>
      <c r="R944" s="29"/>
      <c r="S944" s="10"/>
      <c r="T944" s="8">
        <v>1</v>
      </c>
    </row>
    <row r="945" spans="1:20" ht="15.75" customHeight="1" x14ac:dyDescent="0.35">
      <c r="A945" s="25" t="s">
        <v>1235</v>
      </c>
      <c r="B945" s="25" t="s">
        <v>1258</v>
      </c>
      <c r="C945" s="26">
        <v>113920</v>
      </c>
      <c r="D945" s="25" t="s">
        <v>1294</v>
      </c>
      <c r="E945" s="25" t="s">
        <v>1288</v>
      </c>
      <c r="F945" s="26" t="s">
        <v>215</v>
      </c>
      <c r="G945" s="26" t="s">
        <v>215</v>
      </c>
      <c r="H945" s="26"/>
      <c r="I945" s="26"/>
      <c r="J945" s="26">
        <v>1</v>
      </c>
      <c r="K945" s="26">
        <v>138</v>
      </c>
      <c r="L945" s="26" t="s">
        <v>28</v>
      </c>
      <c r="M945" s="27">
        <v>1719</v>
      </c>
      <c r="N945" s="28"/>
      <c r="O945" s="26" t="s">
        <v>29</v>
      </c>
      <c r="P945" s="29"/>
      <c r="Q945" s="6"/>
      <c r="R945" s="29"/>
      <c r="S945" s="10"/>
      <c r="T945" s="8"/>
    </row>
    <row r="946" spans="1:20" ht="15.75" customHeight="1" x14ac:dyDescent="0.35">
      <c r="A946" s="25" t="s">
        <v>1235</v>
      </c>
      <c r="B946" s="25" t="s">
        <v>1258</v>
      </c>
      <c r="C946" s="26">
        <v>113921</v>
      </c>
      <c r="D946" s="25" t="s">
        <v>1295</v>
      </c>
      <c r="E946" s="25" t="s">
        <v>1288</v>
      </c>
      <c r="F946" s="26" t="s">
        <v>215</v>
      </c>
      <c r="G946" s="26" t="s">
        <v>215</v>
      </c>
      <c r="H946" s="26">
        <v>1</v>
      </c>
      <c r="I946" s="26">
        <v>5</v>
      </c>
      <c r="J946" s="26">
        <v>1</v>
      </c>
      <c r="K946" s="26">
        <v>138</v>
      </c>
      <c r="L946" s="26" t="s">
        <v>28</v>
      </c>
      <c r="M946" s="27">
        <v>1720</v>
      </c>
      <c r="N946" s="28">
        <v>384943.12199999997</v>
      </c>
      <c r="O946" s="26" t="s">
        <v>29</v>
      </c>
      <c r="P946" s="29"/>
      <c r="Q946" s="6"/>
      <c r="R946" s="29"/>
      <c r="S946" s="10"/>
      <c r="T946" s="8">
        <v>1</v>
      </c>
    </row>
    <row r="947" spans="1:20" ht="15.75" customHeight="1" x14ac:dyDescent="0.35">
      <c r="A947" s="25" t="s">
        <v>1235</v>
      </c>
      <c r="B947" s="25" t="s">
        <v>1258</v>
      </c>
      <c r="C947" s="26">
        <v>113923</v>
      </c>
      <c r="D947" s="25" t="s">
        <v>326</v>
      </c>
      <c r="E947" s="25" t="s">
        <v>1288</v>
      </c>
      <c r="F947" s="26" t="s">
        <v>215</v>
      </c>
      <c r="G947" s="26" t="s">
        <v>215</v>
      </c>
      <c r="H947" s="26"/>
      <c r="I947" s="26"/>
      <c r="J947" s="26">
        <v>1</v>
      </c>
      <c r="K947" s="26">
        <v>138</v>
      </c>
      <c r="L947" s="26" t="s">
        <v>28</v>
      </c>
      <c r="M947" s="27">
        <v>1721</v>
      </c>
      <c r="N947" s="28"/>
      <c r="O947" s="26" t="s">
        <v>29</v>
      </c>
      <c r="P947" s="29"/>
      <c r="Q947" s="6"/>
      <c r="R947" s="29"/>
      <c r="S947" s="10"/>
      <c r="T947" s="8"/>
    </row>
    <row r="948" spans="1:20" ht="15.75" customHeight="1" x14ac:dyDescent="0.35">
      <c r="A948" s="25" t="s">
        <v>1235</v>
      </c>
      <c r="B948" s="25" t="s">
        <v>1258</v>
      </c>
      <c r="C948" s="26">
        <v>113931</v>
      </c>
      <c r="D948" s="25" t="s">
        <v>1296</v>
      </c>
      <c r="E948" s="25" t="s">
        <v>1288</v>
      </c>
      <c r="F948" s="26" t="s">
        <v>215</v>
      </c>
      <c r="G948" s="26" t="s">
        <v>215</v>
      </c>
      <c r="H948" s="26">
        <v>1</v>
      </c>
      <c r="I948" s="26">
        <v>3</v>
      </c>
      <c r="J948" s="26">
        <v>1</v>
      </c>
      <c r="K948" s="26">
        <v>138</v>
      </c>
      <c r="L948" s="26" t="s">
        <v>28</v>
      </c>
      <c r="M948" s="27">
        <v>1722</v>
      </c>
      <c r="N948" s="28">
        <v>220922.35</v>
      </c>
      <c r="O948" s="26" t="s">
        <v>29</v>
      </c>
      <c r="P948" s="29"/>
      <c r="Q948" s="6"/>
      <c r="R948" s="29"/>
      <c r="S948" s="10"/>
      <c r="T948" s="8">
        <v>1</v>
      </c>
    </row>
    <row r="949" spans="1:20" ht="15.75" customHeight="1" x14ac:dyDescent="0.35">
      <c r="A949" s="25" t="s">
        <v>1235</v>
      </c>
      <c r="B949" s="25" t="s">
        <v>1258</v>
      </c>
      <c r="C949" s="26">
        <v>113937</v>
      </c>
      <c r="D949" s="25" t="s">
        <v>1297</v>
      </c>
      <c r="E949" s="25" t="s">
        <v>1288</v>
      </c>
      <c r="F949" s="26" t="s">
        <v>215</v>
      </c>
      <c r="G949" s="26" t="s">
        <v>215</v>
      </c>
      <c r="H949" s="26">
        <v>1</v>
      </c>
      <c r="I949" s="26">
        <v>1</v>
      </c>
      <c r="J949" s="26">
        <v>1</v>
      </c>
      <c r="K949" s="26">
        <v>138</v>
      </c>
      <c r="L949" s="26" t="s">
        <v>28</v>
      </c>
      <c r="M949" s="27">
        <v>1725</v>
      </c>
      <c r="N949" s="28">
        <v>110554.08</v>
      </c>
      <c r="O949" s="26" t="s">
        <v>29</v>
      </c>
      <c r="P949" s="29"/>
      <c r="Q949" s="6"/>
      <c r="R949" s="29"/>
      <c r="S949" s="10"/>
      <c r="T949" s="8">
        <v>1</v>
      </c>
    </row>
    <row r="950" spans="1:20" ht="15.75" customHeight="1" x14ac:dyDescent="0.35">
      <c r="A950" s="25" t="s">
        <v>1235</v>
      </c>
      <c r="B950" s="25" t="s">
        <v>1258</v>
      </c>
      <c r="C950" s="26">
        <v>174506</v>
      </c>
      <c r="D950" s="25" t="s">
        <v>1298</v>
      </c>
      <c r="E950" s="25" t="s">
        <v>1268</v>
      </c>
      <c r="F950" s="26" t="s">
        <v>491</v>
      </c>
      <c r="G950" s="26" t="s">
        <v>491</v>
      </c>
      <c r="H950" s="26">
        <v>1</v>
      </c>
      <c r="I950" s="26">
        <v>5</v>
      </c>
      <c r="J950" s="26">
        <v>1</v>
      </c>
      <c r="K950" s="26">
        <v>138</v>
      </c>
      <c r="L950" s="26" t="s">
        <v>28</v>
      </c>
      <c r="M950" s="27">
        <v>1738</v>
      </c>
      <c r="N950" s="28">
        <v>679668.44</v>
      </c>
      <c r="O950" s="26" t="s">
        <v>29</v>
      </c>
      <c r="P950" s="29"/>
      <c r="Q950" s="6"/>
      <c r="R950" s="29"/>
      <c r="S950" s="10"/>
      <c r="T950" s="8">
        <v>1</v>
      </c>
    </row>
    <row r="951" spans="1:20" ht="15.75" customHeight="1" x14ac:dyDescent="0.35">
      <c r="A951" s="25" t="s">
        <v>1235</v>
      </c>
      <c r="B951" s="25" t="s">
        <v>1258</v>
      </c>
      <c r="C951" s="26">
        <v>174523</v>
      </c>
      <c r="D951" s="25" t="s">
        <v>1299</v>
      </c>
      <c r="E951" s="25" t="s">
        <v>1288</v>
      </c>
      <c r="F951" s="26" t="s">
        <v>215</v>
      </c>
      <c r="G951" s="26" t="s">
        <v>215</v>
      </c>
      <c r="H951" s="26">
        <v>1</v>
      </c>
      <c r="I951" s="26">
        <v>5</v>
      </c>
      <c r="J951" s="26">
        <v>1</v>
      </c>
      <c r="K951" s="26">
        <v>138</v>
      </c>
      <c r="L951" s="26" t="s">
        <v>28</v>
      </c>
      <c r="M951" s="27">
        <v>1724</v>
      </c>
      <c r="N951" s="28">
        <v>422920.72</v>
      </c>
      <c r="O951" s="26" t="s">
        <v>29</v>
      </c>
      <c r="P951" s="29"/>
      <c r="Q951" s="6"/>
      <c r="R951" s="29"/>
      <c r="S951" s="10"/>
      <c r="T951" s="8">
        <v>1</v>
      </c>
    </row>
    <row r="952" spans="1:20" ht="15.75" customHeight="1" x14ac:dyDescent="0.35">
      <c r="A952" s="25" t="s">
        <v>1235</v>
      </c>
      <c r="B952" s="25" t="s">
        <v>1258</v>
      </c>
      <c r="C952" s="26">
        <v>309932</v>
      </c>
      <c r="D952" s="25" t="s">
        <v>1300</v>
      </c>
      <c r="E952" s="25" t="s">
        <v>1260</v>
      </c>
      <c r="F952" s="26" t="s">
        <v>90</v>
      </c>
      <c r="G952" s="26" t="s">
        <v>90</v>
      </c>
      <c r="H952" s="26"/>
      <c r="I952" s="26"/>
      <c r="J952" s="26">
        <v>1</v>
      </c>
      <c r="K952" s="26">
        <v>138</v>
      </c>
      <c r="L952" s="26" t="s">
        <v>28</v>
      </c>
      <c r="M952" s="27">
        <v>1734</v>
      </c>
      <c r="N952" s="28"/>
      <c r="O952" s="26" t="s">
        <v>29</v>
      </c>
      <c r="P952" s="29"/>
      <c r="Q952" s="6"/>
      <c r="R952" s="29"/>
      <c r="S952" s="10"/>
      <c r="T952" s="8"/>
    </row>
    <row r="953" spans="1:20" ht="15.75" customHeight="1" x14ac:dyDescent="0.35">
      <c r="A953" s="25" t="s">
        <v>1235</v>
      </c>
      <c r="B953" s="25" t="s">
        <v>1301</v>
      </c>
      <c r="C953" s="26">
        <v>321803</v>
      </c>
      <c r="D953" s="25" t="s">
        <v>1302</v>
      </c>
      <c r="E953" s="25" t="s">
        <v>1303</v>
      </c>
      <c r="F953" s="26" t="s">
        <v>90</v>
      </c>
      <c r="G953" s="26" t="s">
        <v>90</v>
      </c>
      <c r="H953" s="26"/>
      <c r="I953" s="26"/>
      <c r="J953" s="26">
        <v>1</v>
      </c>
      <c r="K953" s="26">
        <v>138</v>
      </c>
      <c r="L953" s="26" t="s">
        <v>28</v>
      </c>
      <c r="M953" s="27">
        <v>1749</v>
      </c>
      <c r="N953" s="28"/>
      <c r="O953" s="26" t="s">
        <v>29</v>
      </c>
      <c r="P953" s="29"/>
      <c r="Q953" s="6"/>
      <c r="R953" s="29"/>
      <c r="S953" s="10"/>
      <c r="T953" s="8"/>
    </row>
    <row r="954" spans="1:20" ht="15.75" customHeight="1" x14ac:dyDescent="0.35">
      <c r="A954" s="25" t="s">
        <v>1304</v>
      </c>
      <c r="B954" s="25" t="s">
        <v>1305</v>
      </c>
      <c r="C954" s="26">
        <v>114644</v>
      </c>
      <c r="D954" s="25" t="s">
        <v>1306</v>
      </c>
      <c r="E954" s="25" t="s">
        <v>1307</v>
      </c>
      <c r="F954" s="26" t="s">
        <v>27</v>
      </c>
      <c r="G954" s="26" t="s">
        <v>27</v>
      </c>
      <c r="H954" s="26"/>
      <c r="I954" s="26"/>
      <c r="J954" s="26">
        <v>1</v>
      </c>
      <c r="K954" s="26">
        <v>138</v>
      </c>
      <c r="L954" s="26" t="s">
        <v>28</v>
      </c>
      <c r="M954" s="27">
        <v>1751</v>
      </c>
      <c r="N954" s="28"/>
      <c r="O954" s="26" t="s">
        <v>29</v>
      </c>
      <c r="P954" s="29"/>
      <c r="Q954" s="6"/>
      <c r="R954" s="29"/>
      <c r="S954" s="10"/>
      <c r="T954" s="8"/>
    </row>
    <row r="955" spans="1:20" ht="15.75" customHeight="1" x14ac:dyDescent="0.35">
      <c r="A955" s="25" t="s">
        <v>1304</v>
      </c>
      <c r="B955" s="25" t="s">
        <v>1305</v>
      </c>
      <c r="C955" s="26">
        <v>114704</v>
      </c>
      <c r="D955" s="25" t="s">
        <v>1308</v>
      </c>
      <c r="E955" s="25" t="s">
        <v>1309</v>
      </c>
      <c r="F955" s="26" t="s">
        <v>27</v>
      </c>
      <c r="G955" s="26" t="s">
        <v>27</v>
      </c>
      <c r="H955" s="26"/>
      <c r="I955" s="26"/>
      <c r="J955" s="26">
        <v>1</v>
      </c>
      <c r="K955" s="26">
        <v>138</v>
      </c>
      <c r="L955" s="26" t="s">
        <v>28</v>
      </c>
      <c r="M955" s="27">
        <v>1754</v>
      </c>
      <c r="N955" s="28"/>
      <c r="O955" s="26" t="s">
        <v>29</v>
      </c>
      <c r="P955" s="29"/>
      <c r="Q955" s="6"/>
      <c r="R955" s="29"/>
      <c r="S955" s="10"/>
      <c r="T955" s="8"/>
    </row>
    <row r="956" spans="1:20" ht="15.75" customHeight="1" x14ac:dyDescent="0.35">
      <c r="A956" s="25" t="s">
        <v>1304</v>
      </c>
      <c r="B956" s="25" t="s">
        <v>1305</v>
      </c>
      <c r="C956" s="26">
        <v>114728</v>
      </c>
      <c r="D956" s="25" t="s">
        <v>1310</v>
      </c>
      <c r="E956" s="25" t="s">
        <v>1311</v>
      </c>
      <c r="F956" s="26" t="s">
        <v>27</v>
      </c>
      <c r="G956" s="26" t="s">
        <v>27</v>
      </c>
      <c r="H956" s="26">
        <v>1</v>
      </c>
      <c r="I956" s="26">
        <v>1</v>
      </c>
      <c r="J956" s="26">
        <v>1</v>
      </c>
      <c r="K956" s="26">
        <v>138</v>
      </c>
      <c r="L956" s="26" t="s">
        <v>28</v>
      </c>
      <c r="M956" s="27">
        <v>1768</v>
      </c>
      <c r="N956" s="28">
        <v>218247.73</v>
      </c>
      <c r="O956" s="26" t="s">
        <v>29</v>
      </c>
      <c r="P956" s="29"/>
      <c r="Q956" s="6"/>
      <c r="R956" s="29"/>
      <c r="S956" s="10"/>
      <c r="T956" s="8">
        <v>1</v>
      </c>
    </row>
    <row r="957" spans="1:20" ht="15.75" customHeight="1" x14ac:dyDescent="0.35">
      <c r="A957" s="25" t="s">
        <v>1304</v>
      </c>
      <c r="B957" s="25" t="s">
        <v>1305</v>
      </c>
      <c r="C957" s="26">
        <v>114781</v>
      </c>
      <c r="D957" s="25" t="s">
        <v>1312</v>
      </c>
      <c r="E957" s="25" t="s">
        <v>1313</v>
      </c>
      <c r="F957" s="26" t="s">
        <v>27</v>
      </c>
      <c r="G957" s="26" t="s">
        <v>27</v>
      </c>
      <c r="H957" s="26"/>
      <c r="I957" s="26"/>
      <c r="J957" s="26">
        <v>1</v>
      </c>
      <c r="K957" s="26">
        <v>138</v>
      </c>
      <c r="L957" s="26" t="s">
        <v>28</v>
      </c>
      <c r="M957" s="27">
        <v>1755</v>
      </c>
      <c r="N957" s="28"/>
      <c r="O957" s="26" t="s">
        <v>29</v>
      </c>
      <c r="P957" s="29"/>
      <c r="Q957" s="6"/>
      <c r="R957" s="29"/>
      <c r="S957" s="10"/>
      <c r="T957" s="8"/>
    </row>
    <row r="958" spans="1:20" ht="15.75" customHeight="1" x14ac:dyDescent="0.35">
      <c r="A958" s="25" t="s">
        <v>1304</v>
      </c>
      <c r="B958" s="25" t="s">
        <v>1305</v>
      </c>
      <c r="C958" s="26">
        <v>114791</v>
      </c>
      <c r="D958" s="25" t="s">
        <v>1314</v>
      </c>
      <c r="E958" s="25" t="s">
        <v>1313</v>
      </c>
      <c r="F958" s="26" t="s">
        <v>27</v>
      </c>
      <c r="G958" s="26" t="s">
        <v>27</v>
      </c>
      <c r="H958" s="26"/>
      <c r="I958" s="26"/>
      <c r="J958" s="26">
        <v>1</v>
      </c>
      <c r="K958" s="26">
        <v>138</v>
      </c>
      <c r="L958" s="26" t="s">
        <v>28</v>
      </c>
      <c r="M958" s="27">
        <v>1761</v>
      </c>
      <c r="N958" s="28"/>
      <c r="O958" s="26" t="s">
        <v>29</v>
      </c>
      <c r="P958" s="29"/>
      <c r="Q958" s="6"/>
      <c r="R958" s="29"/>
      <c r="S958" s="10"/>
      <c r="T958" s="8"/>
    </row>
    <row r="959" spans="1:20" ht="15.75" customHeight="1" x14ac:dyDescent="0.35">
      <c r="A959" s="25" t="s">
        <v>1304</v>
      </c>
      <c r="B959" s="25" t="s">
        <v>1305</v>
      </c>
      <c r="C959" s="26">
        <v>114794</v>
      </c>
      <c r="D959" s="25" t="s">
        <v>1315</v>
      </c>
      <c r="E959" s="25" t="s">
        <v>1313</v>
      </c>
      <c r="F959" s="26" t="s">
        <v>27</v>
      </c>
      <c r="G959" s="26" t="s">
        <v>27</v>
      </c>
      <c r="H959" s="26"/>
      <c r="I959" s="26"/>
      <c r="J959" s="26">
        <v>1</v>
      </c>
      <c r="K959" s="26">
        <v>138</v>
      </c>
      <c r="L959" s="26" t="s">
        <v>28</v>
      </c>
      <c r="M959" s="27">
        <v>1762</v>
      </c>
      <c r="N959" s="28"/>
      <c r="O959" s="26" t="s">
        <v>29</v>
      </c>
      <c r="P959" s="29"/>
      <c r="Q959" s="6"/>
      <c r="R959" s="29"/>
      <c r="S959" s="10"/>
      <c r="T959" s="8"/>
    </row>
    <row r="960" spans="1:20" ht="15.75" customHeight="1" x14ac:dyDescent="0.35">
      <c r="A960" s="25" t="s">
        <v>1304</v>
      </c>
      <c r="B960" s="25" t="s">
        <v>1305</v>
      </c>
      <c r="C960" s="26">
        <v>114799</v>
      </c>
      <c r="D960" s="25" t="s">
        <v>1316</v>
      </c>
      <c r="E960" s="25" t="s">
        <v>1313</v>
      </c>
      <c r="F960" s="26" t="s">
        <v>27</v>
      </c>
      <c r="G960" s="26" t="s">
        <v>27</v>
      </c>
      <c r="H960" s="26">
        <v>1</v>
      </c>
      <c r="I960" s="26">
        <v>1</v>
      </c>
      <c r="J960" s="26">
        <v>1</v>
      </c>
      <c r="K960" s="26">
        <v>138</v>
      </c>
      <c r="L960" s="26" t="s">
        <v>28</v>
      </c>
      <c r="M960" s="27">
        <v>1767</v>
      </c>
      <c r="N960" s="28">
        <v>217807.91</v>
      </c>
      <c r="O960" s="26" t="s">
        <v>29</v>
      </c>
      <c r="P960" s="29"/>
      <c r="Q960" s="6"/>
      <c r="R960" s="29"/>
      <c r="S960" s="10"/>
      <c r="T960" s="8">
        <v>1</v>
      </c>
    </row>
    <row r="961" spans="1:20" ht="15.75" customHeight="1" x14ac:dyDescent="0.35">
      <c r="A961" s="25" t="s">
        <v>1304</v>
      </c>
      <c r="B961" s="25" t="s">
        <v>1305</v>
      </c>
      <c r="C961" s="26">
        <v>114802</v>
      </c>
      <c r="D961" s="25" t="s">
        <v>1317</v>
      </c>
      <c r="E961" s="25" t="s">
        <v>1318</v>
      </c>
      <c r="F961" s="26" t="s">
        <v>27</v>
      </c>
      <c r="G961" s="26" t="s">
        <v>27</v>
      </c>
      <c r="H961" s="26"/>
      <c r="I961" s="26"/>
      <c r="J961" s="26">
        <v>1</v>
      </c>
      <c r="K961" s="26">
        <v>138</v>
      </c>
      <c r="L961" s="26" t="s">
        <v>28</v>
      </c>
      <c r="M961" s="27">
        <v>1750</v>
      </c>
      <c r="N961" s="28"/>
      <c r="O961" s="26" t="s">
        <v>29</v>
      </c>
      <c r="P961" s="29"/>
      <c r="Q961" s="6"/>
      <c r="R961" s="29"/>
      <c r="S961" s="10"/>
      <c r="T961" s="8"/>
    </row>
    <row r="962" spans="1:20" ht="15.75" customHeight="1" x14ac:dyDescent="0.35">
      <c r="A962" s="25" t="s">
        <v>1304</v>
      </c>
      <c r="B962" s="25" t="s">
        <v>1305</v>
      </c>
      <c r="C962" s="26">
        <v>114807</v>
      </c>
      <c r="D962" s="25" t="s">
        <v>1319</v>
      </c>
      <c r="E962" s="25" t="s">
        <v>1318</v>
      </c>
      <c r="F962" s="26" t="s">
        <v>27</v>
      </c>
      <c r="G962" s="26" t="s">
        <v>27</v>
      </c>
      <c r="H962" s="26"/>
      <c r="I962" s="26"/>
      <c r="J962" s="26">
        <v>1</v>
      </c>
      <c r="K962" s="26">
        <v>138</v>
      </c>
      <c r="L962" s="26" t="s">
        <v>28</v>
      </c>
      <c r="M962" s="27">
        <v>1753</v>
      </c>
      <c r="N962" s="28"/>
      <c r="O962" s="26" t="s">
        <v>29</v>
      </c>
      <c r="P962" s="29"/>
      <c r="Q962" s="6"/>
      <c r="R962" s="29"/>
      <c r="S962" s="10"/>
      <c r="T962" s="8"/>
    </row>
    <row r="963" spans="1:20" ht="15.75" customHeight="1" x14ac:dyDescent="0.35">
      <c r="A963" s="25" t="s">
        <v>1304</v>
      </c>
      <c r="B963" s="25" t="s">
        <v>1305</v>
      </c>
      <c r="C963" s="26">
        <v>114808</v>
      </c>
      <c r="D963" s="25" t="s">
        <v>1320</v>
      </c>
      <c r="E963" s="25" t="s">
        <v>1318</v>
      </c>
      <c r="F963" s="26" t="s">
        <v>27</v>
      </c>
      <c r="G963" s="26" t="s">
        <v>27</v>
      </c>
      <c r="H963" s="26">
        <v>1</v>
      </c>
      <c r="I963" s="26">
        <v>1</v>
      </c>
      <c r="J963" s="26">
        <v>1</v>
      </c>
      <c r="K963" s="26">
        <v>138</v>
      </c>
      <c r="L963" s="26" t="s">
        <v>28</v>
      </c>
      <c r="M963" s="27">
        <v>1756</v>
      </c>
      <c r="N963" s="28">
        <v>139502.69</v>
      </c>
      <c r="O963" s="26" t="s">
        <v>29</v>
      </c>
      <c r="P963" s="29"/>
      <c r="Q963" s="6"/>
      <c r="R963" s="29"/>
      <c r="S963" s="10"/>
      <c r="T963" s="8">
        <v>1</v>
      </c>
    </row>
    <row r="964" spans="1:20" ht="15.75" customHeight="1" x14ac:dyDescent="0.35">
      <c r="A964" s="25" t="s">
        <v>1304</v>
      </c>
      <c r="B964" s="25" t="s">
        <v>1305</v>
      </c>
      <c r="C964" s="26">
        <v>114822</v>
      </c>
      <c r="D964" s="25" t="s">
        <v>1321</v>
      </c>
      <c r="E964" s="25" t="s">
        <v>1318</v>
      </c>
      <c r="F964" s="26" t="s">
        <v>27</v>
      </c>
      <c r="G964" s="26" t="s">
        <v>27</v>
      </c>
      <c r="H964" s="26"/>
      <c r="I964" s="26"/>
      <c r="J964" s="26">
        <v>1</v>
      </c>
      <c r="K964" s="26">
        <v>138</v>
      </c>
      <c r="L964" s="26" t="s">
        <v>28</v>
      </c>
      <c r="M964" s="27">
        <v>1763</v>
      </c>
      <c r="N964" s="28"/>
      <c r="O964" s="26" t="s">
        <v>29</v>
      </c>
      <c r="P964" s="29"/>
      <c r="Q964" s="6"/>
      <c r="R964" s="29"/>
      <c r="S964" s="10"/>
      <c r="T964" s="8"/>
    </row>
    <row r="965" spans="1:20" ht="15.75" customHeight="1" x14ac:dyDescent="0.35">
      <c r="A965" s="25" t="s">
        <v>1304</v>
      </c>
      <c r="B965" s="25" t="s">
        <v>1305</v>
      </c>
      <c r="C965" s="26">
        <v>114824</v>
      </c>
      <c r="D965" s="25" t="s">
        <v>1322</v>
      </c>
      <c r="E965" s="25" t="s">
        <v>1318</v>
      </c>
      <c r="F965" s="26" t="s">
        <v>27</v>
      </c>
      <c r="G965" s="26" t="s">
        <v>27</v>
      </c>
      <c r="H965" s="26">
        <v>1</v>
      </c>
      <c r="I965" s="26">
        <v>1</v>
      </c>
      <c r="J965" s="26">
        <v>1</v>
      </c>
      <c r="K965" s="26">
        <v>138</v>
      </c>
      <c r="L965" s="26" t="s">
        <v>28</v>
      </c>
      <c r="M965" s="27">
        <v>1764</v>
      </c>
      <c r="N965" s="28">
        <v>155252.69</v>
      </c>
      <c r="O965" s="26" t="s">
        <v>29</v>
      </c>
      <c r="P965" s="29"/>
      <c r="Q965" s="6"/>
      <c r="R965" s="29"/>
      <c r="S965" s="10"/>
      <c r="T965" s="8">
        <v>1</v>
      </c>
    </row>
    <row r="966" spans="1:20" ht="15.75" customHeight="1" x14ac:dyDescent="0.35">
      <c r="A966" s="25" t="s">
        <v>1304</v>
      </c>
      <c r="B966" s="25" t="s">
        <v>1305</v>
      </c>
      <c r="C966" s="26">
        <v>114825</v>
      </c>
      <c r="D966" s="25" t="s">
        <v>1323</v>
      </c>
      <c r="E966" s="25" t="s">
        <v>1318</v>
      </c>
      <c r="F966" s="26" t="s">
        <v>27</v>
      </c>
      <c r="G966" s="26" t="s">
        <v>27</v>
      </c>
      <c r="H966" s="26"/>
      <c r="I966" s="26"/>
      <c r="J966" s="26">
        <v>1</v>
      </c>
      <c r="K966" s="26">
        <v>138</v>
      </c>
      <c r="L966" s="26" t="s">
        <v>28</v>
      </c>
      <c r="M966" s="27">
        <v>1765</v>
      </c>
      <c r="N966" s="28"/>
      <c r="O966" s="26" t="s">
        <v>29</v>
      </c>
      <c r="P966" s="29"/>
      <c r="Q966" s="6"/>
      <c r="R966" s="29"/>
      <c r="S966" s="10"/>
      <c r="T966" s="8"/>
    </row>
    <row r="967" spans="1:20" ht="15.75" customHeight="1" x14ac:dyDescent="0.35">
      <c r="A967" s="25" t="s">
        <v>1304</v>
      </c>
      <c r="B967" s="25" t="s">
        <v>1305</v>
      </c>
      <c r="C967" s="26">
        <v>114927</v>
      </c>
      <c r="D967" s="25" t="s">
        <v>1324</v>
      </c>
      <c r="E967" s="25" t="s">
        <v>1325</v>
      </c>
      <c r="F967" s="26" t="s">
        <v>27</v>
      </c>
      <c r="G967" s="26" t="s">
        <v>27</v>
      </c>
      <c r="H967" s="26"/>
      <c r="I967" s="26"/>
      <c r="J967" s="26">
        <v>1</v>
      </c>
      <c r="K967" s="26">
        <v>138</v>
      </c>
      <c r="L967" s="26" t="s">
        <v>28</v>
      </c>
      <c r="M967" s="27">
        <v>1752</v>
      </c>
      <c r="N967" s="28"/>
      <c r="O967" s="26" t="s">
        <v>29</v>
      </c>
      <c r="P967" s="29"/>
      <c r="Q967" s="6"/>
      <c r="R967" s="29"/>
      <c r="S967" s="10"/>
      <c r="T967" s="8"/>
    </row>
    <row r="968" spans="1:20" ht="15.75" customHeight="1" x14ac:dyDescent="0.35">
      <c r="A968" s="25" t="s">
        <v>1304</v>
      </c>
      <c r="B968" s="25" t="s">
        <v>1305</v>
      </c>
      <c r="C968" s="26">
        <v>114931</v>
      </c>
      <c r="D968" s="25" t="s">
        <v>1326</v>
      </c>
      <c r="E968" s="25" t="s">
        <v>1325</v>
      </c>
      <c r="F968" s="26" t="s">
        <v>27</v>
      </c>
      <c r="G968" s="26" t="s">
        <v>27</v>
      </c>
      <c r="H968" s="26">
        <v>1</v>
      </c>
      <c r="I968" s="26">
        <v>3</v>
      </c>
      <c r="J968" s="26">
        <v>1</v>
      </c>
      <c r="K968" s="26">
        <v>138</v>
      </c>
      <c r="L968" s="26" t="s">
        <v>28</v>
      </c>
      <c r="M968" s="27">
        <v>1759</v>
      </c>
      <c r="N968" s="28">
        <v>220151.62</v>
      </c>
      <c r="O968" s="26" t="s">
        <v>29</v>
      </c>
      <c r="P968" s="29"/>
      <c r="Q968" s="6"/>
      <c r="R968" s="29"/>
      <c r="S968" s="10"/>
      <c r="T968" s="8">
        <v>1</v>
      </c>
    </row>
    <row r="969" spans="1:20" ht="15.75" customHeight="1" x14ac:dyDescent="0.35">
      <c r="A969" s="25" t="s">
        <v>1304</v>
      </c>
      <c r="B969" s="25" t="s">
        <v>1305</v>
      </c>
      <c r="C969" s="26">
        <v>310618</v>
      </c>
      <c r="D969" s="25" t="s">
        <v>1327</v>
      </c>
      <c r="E969" s="25" t="s">
        <v>1307</v>
      </c>
      <c r="F969" s="26" t="s">
        <v>27</v>
      </c>
      <c r="G969" s="26" t="s">
        <v>27</v>
      </c>
      <c r="H969" s="26"/>
      <c r="I969" s="26"/>
      <c r="J969" s="26">
        <v>1</v>
      </c>
      <c r="K969" s="26">
        <v>138</v>
      </c>
      <c r="L969" s="26" t="s">
        <v>28</v>
      </c>
      <c r="M969" s="27">
        <v>1757</v>
      </c>
      <c r="N969" s="28"/>
      <c r="O969" s="26" t="s">
        <v>29</v>
      </c>
      <c r="P969" s="29"/>
      <c r="Q969" s="6"/>
      <c r="R969" s="29"/>
      <c r="S969" s="10"/>
      <c r="T969" s="8"/>
    </row>
    <row r="970" spans="1:20" ht="15.75" customHeight="1" x14ac:dyDescent="0.35">
      <c r="A970" s="25" t="s">
        <v>1304</v>
      </c>
      <c r="B970" s="25" t="s">
        <v>1305</v>
      </c>
      <c r="C970" s="26">
        <v>310619</v>
      </c>
      <c r="D970" s="25" t="s">
        <v>1328</v>
      </c>
      <c r="E970" s="25" t="s">
        <v>1313</v>
      </c>
      <c r="F970" s="26" t="s">
        <v>27</v>
      </c>
      <c r="G970" s="26" t="s">
        <v>27</v>
      </c>
      <c r="H970" s="26"/>
      <c r="I970" s="26"/>
      <c r="J970" s="26">
        <v>1</v>
      </c>
      <c r="K970" s="26">
        <v>138</v>
      </c>
      <c r="L970" s="26" t="s">
        <v>28</v>
      </c>
      <c r="M970" s="27">
        <v>1758</v>
      </c>
      <c r="N970" s="28"/>
      <c r="O970" s="26" t="s">
        <v>29</v>
      </c>
      <c r="P970" s="29"/>
      <c r="Q970" s="6"/>
      <c r="R970" s="29"/>
      <c r="S970" s="10"/>
      <c r="T970" s="8"/>
    </row>
    <row r="971" spans="1:20" ht="15.75" customHeight="1" x14ac:dyDescent="0.35">
      <c r="A971" s="25" t="s">
        <v>1304</v>
      </c>
      <c r="B971" s="25" t="s">
        <v>1305</v>
      </c>
      <c r="C971" s="26">
        <v>310622</v>
      </c>
      <c r="D971" s="25" t="s">
        <v>1329</v>
      </c>
      <c r="E971" s="25" t="s">
        <v>1330</v>
      </c>
      <c r="F971" s="26" t="s">
        <v>27</v>
      </c>
      <c r="G971" s="26" t="s">
        <v>27</v>
      </c>
      <c r="H971" s="26"/>
      <c r="I971" s="26"/>
      <c r="J971" s="26">
        <v>1</v>
      </c>
      <c r="K971" s="26">
        <v>138</v>
      </c>
      <c r="L971" s="26" t="s">
        <v>28</v>
      </c>
      <c r="M971" s="27">
        <v>1760</v>
      </c>
      <c r="N971" s="28"/>
      <c r="O971" s="26" t="s">
        <v>29</v>
      </c>
      <c r="P971" s="29"/>
      <c r="Q971" s="6"/>
      <c r="R971" s="29"/>
      <c r="S971" s="10"/>
      <c r="T971" s="8"/>
    </row>
    <row r="972" spans="1:20" ht="15.75" customHeight="1" x14ac:dyDescent="0.35">
      <c r="A972" s="25" t="s">
        <v>1304</v>
      </c>
      <c r="B972" s="25" t="s">
        <v>1305</v>
      </c>
      <c r="C972" s="26">
        <v>310626</v>
      </c>
      <c r="D972" s="25" t="s">
        <v>1331</v>
      </c>
      <c r="E972" s="25" t="s">
        <v>1332</v>
      </c>
      <c r="F972" s="26" t="s">
        <v>27</v>
      </c>
      <c r="G972" s="26" t="s">
        <v>27</v>
      </c>
      <c r="H972" s="26"/>
      <c r="I972" s="26"/>
      <c r="J972" s="26">
        <v>1</v>
      </c>
      <c r="K972" s="26">
        <v>138</v>
      </c>
      <c r="L972" s="26" t="s">
        <v>28</v>
      </c>
      <c r="M972" s="27">
        <v>1766</v>
      </c>
      <c r="N972" s="28"/>
      <c r="O972" s="26" t="s">
        <v>29</v>
      </c>
      <c r="P972" s="29"/>
      <c r="Q972" s="6"/>
      <c r="R972" s="29"/>
      <c r="S972" s="10"/>
      <c r="T972" s="8"/>
    </row>
    <row r="973" spans="1:20" ht="15.75" customHeight="1" x14ac:dyDescent="0.35">
      <c r="A973" s="25" t="s">
        <v>1304</v>
      </c>
      <c r="B973" s="25" t="s">
        <v>1333</v>
      </c>
      <c r="C973" s="26">
        <v>114955</v>
      </c>
      <c r="D973" s="25" t="s">
        <v>1334</v>
      </c>
      <c r="E973" s="25" t="s">
        <v>1335</v>
      </c>
      <c r="F973" s="26" t="s">
        <v>27</v>
      </c>
      <c r="G973" s="26" t="s">
        <v>27</v>
      </c>
      <c r="H973" s="26"/>
      <c r="I973" s="26"/>
      <c r="J973" s="26">
        <v>1</v>
      </c>
      <c r="K973" s="26">
        <v>138</v>
      </c>
      <c r="L973" s="26" t="s">
        <v>28</v>
      </c>
      <c r="M973" s="27">
        <v>1793</v>
      </c>
      <c r="N973" s="28"/>
      <c r="O973" s="26" t="s">
        <v>29</v>
      </c>
      <c r="P973" s="29"/>
      <c r="Q973" s="6"/>
      <c r="R973" s="29"/>
      <c r="S973" s="10"/>
      <c r="T973" s="8"/>
    </row>
    <row r="974" spans="1:20" ht="15.75" customHeight="1" x14ac:dyDescent="0.35">
      <c r="A974" s="25" t="s">
        <v>1304</v>
      </c>
      <c r="B974" s="25" t="s">
        <v>1333</v>
      </c>
      <c r="C974" s="26">
        <v>114994</v>
      </c>
      <c r="D974" s="25" t="s">
        <v>1336</v>
      </c>
      <c r="E974" s="25" t="s">
        <v>1337</v>
      </c>
      <c r="F974" s="26" t="s">
        <v>27</v>
      </c>
      <c r="G974" s="26" t="s">
        <v>27</v>
      </c>
      <c r="H974" s="26"/>
      <c r="I974" s="26"/>
      <c r="J974" s="26">
        <v>1</v>
      </c>
      <c r="K974" s="26">
        <v>138</v>
      </c>
      <c r="L974" s="26" t="s">
        <v>28</v>
      </c>
      <c r="M974" s="27">
        <v>1786</v>
      </c>
      <c r="N974" s="28"/>
      <c r="O974" s="26" t="s">
        <v>29</v>
      </c>
      <c r="P974" s="29"/>
      <c r="Q974" s="6"/>
      <c r="R974" s="29"/>
      <c r="S974" s="10"/>
      <c r="T974" s="8"/>
    </row>
    <row r="975" spans="1:20" ht="15.75" customHeight="1" x14ac:dyDescent="0.35">
      <c r="A975" s="25" t="s">
        <v>1304</v>
      </c>
      <c r="B975" s="25" t="s">
        <v>1333</v>
      </c>
      <c r="C975" s="26">
        <v>115004</v>
      </c>
      <c r="D975" s="25" t="s">
        <v>1338</v>
      </c>
      <c r="E975" s="25" t="s">
        <v>1339</v>
      </c>
      <c r="F975" s="26" t="s">
        <v>27</v>
      </c>
      <c r="G975" s="26" t="s">
        <v>27</v>
      </c>
      <c r="H975" s="26"/>
      <c r="I975" s="26"/>
      <c r="J975" s="26">
        <v>1</v>
      </c>
      <c r="K975" s="26">
        <v>138</v>
      </c>
      <c r="L975" s="26" t="s">
        <v>28</v>
      </c>
      <c r="M975" s="27">
        <v>1771</v>
      </c>
      <c r="N975" s="28"/>
      <c r="O975" s="26" t="s">
        <v>29</v>
      </c>
      <c r="P975" s="29"/>
      <c r="Q975" s="6"/>
      <c r="R975" s="29"/>
      <c r="S975" s="10"/>
      <c r="T975" s="8"/>
    </row>
    <row r="976" spans="1:20" ht="15.75" customHeight="1" x14ac:dyDescent="0.35">
      <c r="A976" s="25" t="s">
        <v>1304</v>
      </c>
      <c r="B976" s="25" t="s">
        <v>1333</v>
      </c>
      <c r="C976" s="26">
        <v>115009</v>
      </c>
      <c r="D976" s="25" t="s">
        <v>1340</v>
      </c>
      <c r="E976" s="25" t="s">
        <v>1339</v>
      </c>
      <c r="F976" s="26" t="s">
        <v>27</v>
      </c>
      <c r="G976" s="26" t="s">
        <v>27</v>
      </c>
      <c r="H976" s="26"/>
      <c r="I976" s="26"/>
      <c r="J976" s="26">
        <v>1</v>
      </c>
      <c r="K976" s="26">
        <v>138</v>
      </c>
      <c r="L976" s="26" t="s">
        <v>28</v>
      </c>
      <c r="M976" s="27">
        <v>1778</v>
      </c>
      <c r="N976" s="28"/>
      <c r="O976" s="26" t="s">
        <v>29</v>
      </c>
      <c r="P976" s="29"/>
      <c r="Q976" s="6"/>
      <c r="R976" s="29"/>
      <c r="S976" s="10"/>
      <c r="T976" s="8"/>
    </row>
    <row r="977" spans="1:20" ht="15.75" customHeight="1" x14ac:dyDescent="0.35">
      <c r="A977" s="25" t="s">
        <v>1304</v>
      </c>
      <c r="B977" s="25" t="s">
        <v>1333</v>
      </c>
      <c r="C977" s="26">
        <v>115010</v>
      </c>
      <c r="D977" s="25" t="s">
        <v>1341</v>
      </c>
      <c r="E977" s="25" t="s">
        <v>1339</v>
      </c>
      <c r="F977" s="26" t="s">
        <v>27</v>
      </c>
      <c r="G977" s="26" t="s">
        <v>27</v>
      </c>
      <c r="H977" s="26"/>
      <c r="I977" s="26"/>
      <c r="J977" s="26">
        <v>1</v>
      </c>
      <c r="K977" s="26">
        <v>138</v>
      </c>
      <c r="L977" s="26" t="s">
        <v>28</v>
      </c>
      <c r="M977" s="27">
        <v>1779</v>
      </c>
      <c r="N977" s="28"/>
      <c r="O977" s="26" t="s">
        <v>29</v>
      </c>
      <c r="P977" s="29"/>
      <c r="Q977" s="6"/>
      <c r="R977" s="29"/>
      <c r="S977" s="10"/>
      <c r="T977" s="8"/>
    </row>
    <row r="978" spans="1:20" ht="15.75" customHeight="1" x14ac:dyDescent="0.35">
      <c r="A978" s="25" t="s">
        <v>1304</v>
      </c>
      <c r="B978" s="25" t="s">
        <v>1333</v>
      </c>
      <c r="C978" s="26">
        <v>115014</v>
      </c>
      <c r="D978" s="25" t="s">
        <v>1342</v>
      </c>
      <c r="E978" s="25" t="s">
        <v>1339</v>
      </c>
      <c r="F978" s="26" t="s">
        <v>27</v>
      </c>
      <c r="G978" s="26" t="s">
        <v>27</v>
      </c>
      <c r="H978" s="26"/>
      <c r="I978" s="26"/>
      <c r="J978" s="26">
        <v>1</v>
      </c>
      <c r="K978" s="26">
        <v>138</v>
      </c>
      <c r="L978" s="26" t="s">
        <v>28</v>
      </c>
      <c r="M978" s="27">
        <v>1782</v>
      </c>
      <c r="N978" s="28"/>
      <c r="O978" s="26" t="s">
        <v>29</v>
      </c>
      <c r="P978" s="29"/>
      <c r="Q978" s="6"/>
      <c r="R978" s="29"/>
      <c r="S978" s="10"/>
      <c r="T978" s="8"/>
    </row>
    <row r="979" spans="1:20" ht="15.75" customHeight="1" x14ac:dyDescent="0.35">
      <c r="A979" s="25" t="s">
        <v>1304</v>
      </c>
      <c r="B979" s="25" t="s">
        <v>1333</v>
      </c>
      <c r="C979" s="26">
        <v>115029</v>
      </c>
      <c r="D979" s="25" t="s">
        <v>1343</v>
      </c>
      <c r="E979" s="25" t="s">
        <v>1344</v>
      </c>
      <c r="F979" s="26" t="s">
        <v>27</v>
      </c>
      <c r="G979" s="26" t="s">
        <v>27</v>
      </c>
      <c r="H979" s="26">
        <v>1</v>
      </c>
      <c r="I979" s="26">
        <v>2</v>
      </c>
      <c r="J979" s="26">
        <v>1</v>
      </c>
      <c r="K979" s="26">
        <v>138</v>
      </c>
      <c r="L979" s="26" t="s">
        <v>28</v>
      </c>
      <c r="M979" s="27">
        <v>1772</v>
      </c>
      <c r="N979" s="28">
        <v>232720.9</v>
      </c>
      <c r="O979" s="26" t="s">
        <v>29</v>
      </c>
      <c r="P979" s="29"/>
      <c r="Q979" s="6"/>
      <c r="R979" s="29"/>
      <c r="S979" s="10"/>
      <c r="T979" s="8">
        <v>1</v>
      </c>
    </row>
    <row r="980" spans="1:20" ht="15.75" customHeight="1" x14ac:dyDescent="0.35">
      <c r="A980" s="25" t="s">
        <v>1304</v>
      </c>
      <c r="B980" s="25" t="s">
        <v>1333</v>
      </c>
      <c r="C980" s="26">
        <v>115031</v>
      </c>
      <c r="D980" s="25" t="s">
        <v>1345</v>
      </c>
      <c r="E980" s="25" t="s">
        <v>1344</v>
      </c>
      <c r="F980" s="26" t="s">
        <v>27</v>
      </c>
      <c r="G980" s="26" t="s">
        <v>27</v>
      </c>
      <c r="H980" s="26"/>
      <c r="I980" s="26"/>
      <c r="J980" s="26">
        <v>1</v>
      </c>
      <c r="K980" s="26">
        <v>138</v>
      </c>
      <c r="L980" s="26" t="s">
        <v>28</v>
      </c>
      <c r="M980" s="27">
        <v>1784</v>
      </c>
      <c r="N980" s="28"/>
      <c r="O980" s="26" t="s">
        <v>29</v>
      </c>
      <c r="P980" s="29"/>
      <c r="Q980" s="6"/>
      <c r="R980" s="29"/>
      <c r="S980" s="10"/>
      <c r="T980" s="8"/>
    </row>
    <row r="981" spans="1:20" ht="15.75" customHeight="1" x14ac:dyDescent="0.35">
      <c r="A981" s="25" t="s">
        <v>1304</v>
      </c>
      <c r="B981" s="25" t="s">
        <v>1333</v>
      </c>
      <c r="C981" s="26">
        <v>115065</v>
      </c>
      <c r="D981" s="25" t="s">
        <v>1346</v>
      </c>
      <c r="E981" s="25" t="s">
        <v>1347</v>
      </c>
      <c r="F981" s="26" t="s">
        <v>27</v>
      </c>
      <c r="G981" s="26" t="s">
        <v>27</v>
      </c>
      <c r="H981" s="26"/>
      <c r="I981" s="26"/>
      <c r="J981" s="26">
        <v>1</v>
      </c>
      <c r="K981" s="26">
        <v>138</v>
      </c>
      <c r="L981" s="26" t="s">
        <v>28</v>
      </c>
      <c r="M981" s="27">
        <v>1773</v>
      </c>
      <c r="N981" s="28"/>
      <c r="O981" s="26" t="s">
        <v>29</v>
      </c>
      <c r="P981" s="29"/>
      <c r="Q981" s="6"/>
      <c r="R981" s="29"/>
      <c r="S981" s="10"/>
      <c r="T981" s="8"/>
    </row>
    <row r="982" spans="1:20" ht="15.75" customHeight="1" x14ac:dyDescent="0.35">
      <c r="A982" s="25" t="s">
        <v>1304</v>
      </c>
      <c r="B982" s="25" t="s">
        <v>1333</v>
      </c>
      <c r="C982" s="26">
        <v>115066</v>
      </c>
      <c r="D982" s="25" t="s">
        <v>1348</v>
      </c>
      <c r="E982" s="25" t="s">
        <v>1347</v>
      </c>
      <c r="F982" s="26" t="s">
        <v>27</v>
      </c>
      <c r="G982" s="26" t="s">
        <v>27</v>
      </c>
      <c r="H982" s="26"/>
      <c r="I982" s="26"/>
      <c r="J982" s="26">
        <v>1</v>
      </c>
      <c r="K982" s="26">
        <v>138</v>
      </c>
      <c r="L982" s="26" t="s">
        <v>28</v>
      </c>
      <c r="M982" s="27">
        <v>1775</v>
      </c>
      <c r="N982" s="28"/>
      <c r="O982" s="26" t="s">
        <v>29</v>
      </c>
      <c r="P982" s="29"/>
      <c r="Q982" s="6"/>
      <c r="R982" s="29"/>
      <c r="S982" s="10"/>
      <c r="T982" s="8"/>
    </row>
    <row r="983" spans="1:20" ht="15.75" customHeight="1" x14ac:dyDescent="0.35">
      <c r="A983" s="25" t="s">
        <v>1304</v>
      </c>
      <c r="B983" s="25" t="s">
        <v>1333</v>
      </c>
      <c r="C983" s="26">
        <v>115067</v>
      </c>
      <c r="D983" s="25" t="s">
        <v>1349</v>
      </c>
      <c r="E983" s="25" t="s">
        <v>1347</v>
      </c>
      <c r="F983" s="26" t="s">
        <v>27</v>
      </c>
      <c r="G983" s="26" t="s">
        <v>27</v>
      </c>
      <c r="H983" s="26">
        <v>1</v>
      </c>
      <c r="I983" s="26">
        <v>2</v>
      </c>
      <c r="J983" s="26">
        <v>1</v>
      </c>
      <c r="K983" s="26">
        <v>138</v>
      </c>
      <c r="L983" s="26" t="s">
        <v>28</v>
      </c>
      <c r="M983" s="27">
        <v>1776</v>
      </c>
      <c r="N983" s="28">
        <v>232720.9</v>
      </c>
      <c r="O983" s="26" t="s">
        <v>29</v>
      </c>
      <c r="P983" s="29"/>
      <c r="Q983" s="6"/>
      <c r="R983" s="29"/>
      <c r="S983" s="10"/>
      <c r="T983" s="8">
        <v>1</v>
      </c>
    </row>
    <row r="984" spans="1:20" ht="15.75" customHeight="1" x14ac:dyDescent="0.35">
      <c r="A984" s="25" t="s">
        <v>1304</v>
      </c>
      <c r="B984" s="25" t="s">
        <v>1333</v>
      </c>
      <c r="C984" s="26">
        <v>115085</v>
      </c>
      <c r="D984" s="25" t="s">
        <v>1350</v>
      </c>
      <c r="E984" s="25" t="s">
        <v>1347</v>
      </c>
      <c r="F984" s="26" t="s">
        <v>27</v>
      </c>
      <c r="G984" s="26" t="s">
        <v>27</v>
      </c>
      <c r="H984" s="26"/>
      <c r="I984" s="26"/>
      <c r="J984" s="26">
        <v>1</v>
      </c>
      <c r="K984" s="26">
        <v>138</v>
      </c>
      <c r="L984" s="26" t="s">
        <v>28</v>
      </c>
      <c r="M984" s="27">
        <v>1769</v>
      </c>
      <c r="N984" s="28"/>
      <c r="O984" s="26" t="s">
        <v>29</v>
      </c>
      <c r="P984" s="29"/>
      <c r="Q984" s="6"/>
      <c r="R984" s="29"/>
      <c r="S984" s="10"/>
      <c r="T984" s="8"/>
    </row>
    <row r="985" spans="1:20" ht="15.75" customHeight="1" x14ac:dyDescent="0.35">
      <c r="A985" s="25" t="s">
        <v>1304</v>
      </c>
      <c r="B985" s="25" t="s">
        <v>1333</v>
      </c>
      <c r="C985" s="26">
        <v>115120</v>
      </c>
      <c r="D985" s="25" t="s">
        <v>1351</v>
      </c>
      <c r="E985" s="25" t="s">
        <v>1352</v>
      </c>
      <c r="F985" s="26" t="s">
        <v>27</v>
      </c>
      <c r="G985" s="26" t="s">
        <v>27</v>
      </c>
      <c r="H985" s="26"/>
      <c r="I985" s="26"/>
      <c r="J985" s="26">
        <v>1</v>
      </c>
      <c r="K985" s="26">
        <v>138</v>
      </c>
      <c r="L985" s="26" t="s">
        <v>28</v>
      </c>
      <c r="M985" s="27">
        <v>1790</v>
      </c>
      <c r="N985" s="28"/>
      <c r="O985" s="26" t="s">
        <v>29</v>
      </c>
      <c r="P985" s="29"/>
      <c r="Q985" s="6"/>
      <c r="R985" s="29"/>
      <c r="S985" s="10"/>
      <c r="T985" s="8"/>
    </row>
    <row r="986" spans="1:20" ht="15.75" customHeight="1" x14ac:dyDescent="0.35">
      <c r="A986" s="25" t="s">
        <v>1304</v>
      </c>
      <c r="B986" s="25" t="s">
        <v>1333</v>
      </c>
      <c r="C986" s="26">
        <v>115123</v>
      </c>
      <c r="D986" s="25" t="s">
        <v>1353</v>
      </c>
      <c r="E986" s="25" t="s">
        <v>1352</v>
      </c>
      <c r="F986" s="26" t="s">
        <v>27</v>
      </c>
      <c r="G986" s="26" t="s">
        <v>27</v>
      </c>
      <c r="H986" s="26"/>
      <c r="I986" s="26"/>
      <c r="J986" s="26">
        <v>1</v>
      </c>
      <c r="K986" s="26">
        <v>138</v>
      </c>
      <c r="L986" s="26" t="s">
        <v>28</v>
      </c>
      <c r="M986" s="27">
        <v>1794</v>
      </c>
      <c r="N986" s="28"/>
      <c r="O986" s="26" t="s">
        <v>29</v>
      </c>
      <c r="P986" s="29"/>
      <c r="Q986" s="6"/>
      <c r="R986" s="29"/>
      <c r="S986" s="10"/>
      <c r="T986" s="8"/>
    </row>
    <row r="987" spans="1:20" ht="15.75" customHeight="1" x14ac:dyDescent="0.35">
      <c r="A987" s="25" t="s">
        <v>1304</v>
      </c>
      <c r="B987" s="25" t="s">
        <v>1333</v>
      </c>
      <c r="C987" s="26">
        <v>115190</v>
      </c>
      <c r="D987" s="25" t="s">
        <v>1354</v>
      </c>
      <c r="E987" s="25" t="s">
        <v>1355</v>
      </c>
      <c r="F987" s="26" t="s">
        <v>27</v>
      </c>
      <c r="G987" s="26" t="s">
        <v>27</v>
      </c>
      <c r="H987" s="26"/>
      <c r="I987" s="26"/>
      <c r="J987" s="26">
        <v>1</v>
      </c>
      <c r="K987" s="26">
        <v>138</v>
      </c>
      <c r="L987" s="26" t="s">
        <v>28</v>
      </c>
      <c r="M987" s="27">
        <v>1796</v>
      </c>
      <c r="N987" s="28"/>
      <c r="O987" s="26" t="s">
        <v>29</v>
      </c>
      <c r="P987" s="29"/>
      <c r="Q987" s="6"/>
      <c r="R987" s="29"/>
      <c r="S987" s="10"/>
      <c r="T987" s="8"/>
    </row>
    <row r="988" spans="1:20" ht="15.75" customHeight="1" x14ac:dyDescent="0.35">
      <c r="A988" s="25" t="s">
        <v>1304</v>
      </c>
      <c r="B988" s="25" t="s">
        <v>1333</v>
      </c>
      <c r="C988" s="26">
        <v>115208</v>
      </c>
      <c r="D988" s="25" t="s">
        <v>1356</v>
      </c>
      <c r="E988" s="25" t="s">
        <v>1355</v>
      </c>
      <c r="F988" s="26" t="s">
        <v>27</v>
      </c>
      <c r="G988" s="26" t="s">
        <v>27</v>
      </c>
      <c r="H988" s="26"/>
      <c r="I988" s="26"/>
      <c r="J988" s="26">
        <v>1</v>
      </c>
      <c r="K988" s="26">
        <v>138</v>
      </c>
      <c r="L988" s="26" t="s">
        <v>28</v>
      </c>
      <c r="M988" s="27">
        <v>1795</v>
      </c>
      <c r="N988" s="28"/>
      <c r="O988" s="26" t="s">
        <v>29</v>
      </c>
      <c r="P988" s="29"/>
      <c r="Q988" s="6"/>
      <c r="R988" s="29"/>
      <c r="S988" s="10"/>
      <c r="T988" s="8"/>
    </row>
    <row r="989" spans="1:20" ht="15.75" customHeight="1" x14ac:dyDescent="0.35">
      <c r="A989" s="25" t="s">
        <v>1304</v>
      </c>
      <c r="B989" s="25" t="s">
        <v>1333</v>
      </c>
      <c r="C989" s="26">
        <v>115241</v>
      </c>
      <c r="D989" s="25" t="s">
        <v>1357</v>
      </c>
      <c r="E989" s="25" t="s">
        <v>1358</v>
      </c>
      <c r="F989" s="26" t="s">
        <v>27</v>
      </c>
      <c r="G989" s="26" t="s">
        <v>27</v>
      </c>
      <c r="H989" s="26">
        <v>1</v>
      </c>
      <c r="I989" s="26">
        <v>1</v>
      </c>
      <c r="J989" s="26">
        <v>1</v>
      </c>
      <c r="K989" s="26">
        <v>138</v>
      </c>
      <c r="L989" s="26" t="s">
        <v>28</v>
      </c>
      <c r="M989" s="27">
        <v>1777</v>
      </c>
      <c r="N989" s="28">
        <v>174755.62</v>
      </c>
      <c r="O989" s="26" t="s">
        <v>29</v>
      </c>
      <c r="P989" s="29"/>
      <c r="Q989" s="6"/>
      <c r="R989" s="29"/>
      <c r="S989" s="10"/>
      <c r="T989" s="8">
        <v>1</v>
      </c>
    </row>
    <row r="990" spans="1:20" ht="15.75" customHeight="1" x14ac:dyDescent="0.35">
      <c r="A990" s="25" t="s">
        <v>1304</v>
      </c>
      <c r="B990" s="25" t="s">
        <v>1333</v>
      </c>
      <c r="C990" s="26">
        <v>115248</v>
      </c>
      <c r="D990" s="25" t="s">
        <v>1359</v>
      </c>
      <c r="E990" s="25" t="s">
        <v>1358</v>
      </c>
      <c r="F990" s="26" t="s">
        <v>27</v>
      </c>
      <c r="G990" s="26" t="s">
        <v>27</v>
      </c>
      <c r="H990" s="26"/>
      <c r="I990" s="26"/>
      <c r="J990" s="26">
        <v>1</v>
      </c>
      <c r="K990" s="26">
        <v>138</v>
      </c>
      <c r="L990" s="26" t="s">
        <v>28</v>
      </c>
      <c r="M990" s="27">
        <v>1785</v>
      </c>
      <c r="N990" s="28"/>
      <c r="O990" s="26" t="s">
        <v>29</v>
      </c>
      <c r="P990" s="29"/>
      <c r="Q990" s="6"/>
      <c r="R990" s="29"/>
      <c r="S990" s="10"/>
      <c r="T990" s="8"/>
    </row>
    <row r="991" spans="1:20" ht="15.75" customHeight="1" x14ac:dyDescent="0.35">
      <c r="A991" s="25" t="s">
        <v>1304</v>
      </c>
      <c r="B991" s="25" t="s">
        <v>1333</v>
      </c>
      <c r="C991" s="26">
        <v>115254</v>
      </c>
      <c r="D991" s="25" t="s">
        <v>1360</v>
      </c>
      <c r="E991" s="25" t="s">
        <v>1358</v>
      </c>
      <c r="F991" s="26" t="s">
        <v>27</v>
      </c>
      <c r="G991" s="26" t="s">
        <v>27</v>
      </c>
      <c r="H991" s="26"/>
      <c r="I991" s="26"/>
      <c r="J991" s="26">
        <v>1</v>
      </c>
      <c r="K991" s="26">
        <v>138</v>
      </c>
      <c r="L991" s="26" t="s">
        <v>28</v>
      </c>
      <c r="M991" s="27">
        <v>1770</v>
      </c>
      <c r="N991" s="28"/>
      <c r="O991" s="26" t="s">
        <v>29</v>
      </c>
      <c r="P991" s="29"/>
      <c r="Q991" s="6"/>
      <c r="R991" s="29"/>
      <c r="S991" s="10"/>
      <c r="T991" s="8"/>
    </row>
    <row r="992" spans="1:20" ht="15.75" customHeight="1" x14ac:dyDescent="0.35">
      <c r="A992" s="25" t="s">
        <v>1304</v>
      </c>
      <c r="B992" s="25" t="s">
        <v>1333</v>
      </c>
      <c r="C992" s="26">
        <v>115284</v>
      </c>
      <c r="D992" s="25" t="s">
        <v>1361</v>
      </c>
      <c r="E992" s="25" t="s">
        <v>1362</v>
      </c>
      <c r="F992" s="26" t="s">
        <v>27</v>
      </c>
      <c r="G992" s="26" t="s">
        <v>27</v>
      </c>
      <c r="H992" s="26">
        <v>1</v>
      </c>
      <c r="I992" s="26">
        <v>1</v>
      </c>
      <c r="J992" s="26">
        <v>1</v>
      </c>
      <c r="K992" s="26">
        <v>138</v>
      </c>
      <c r="L992" s="26" t="s">
        <v>28</v>
      </c>
      <c r="M992" s="27">
        <v>1788</v>
      </c>
      <c r="N992" s="28">
        <v>178560.06</v>
      </c>
      <c r="O992" s="26" t="s">
        <v>29</v>
      </c>
      <c r="P992" s="29"/>
      <c r="Q992" s="6"/>
      <c r="R992" s="29"/>
      <c r="S992" s="10"/>
      <c r="T992" s="8">
        <v>1</v>
      </c>
    </row>
    <row r="993" spans="1:20" ht="15.75" customHeight="1" x14ac:dyDescent="0.35">
      <c r="A993" s="25" t="s">
        <v>1304</v>
      </c>
      <c r="B993" s="25" t="s">
        <v>1333</v>
      </c>
      <c r="C993" s="26">
        <v>115369</v>
      </c>
      <c r="D993" s="25" t="s">
        <v>1363</v>
      </c>
      <c r="E993" s="25" t="s">
        <v>1364</v>
      </c>
      <c r="F993" s="26" t="s">
        <v>27</v>
      </c>
      <c r="G993" s="26" t="s">
        <v>27</v>
      </c>
      <c r="H993" s="26"/>
      <c r="I993" s="26"/>
      <c r="J993" s="26">
        <v>1</v>
      </c>
      <c r="K993" s="26">
        <v>138</v>
      </c>
      <c r="L993" s="26" t="s">
        <v>28</v>
      </c>
      <c r="M993" s="27">
        <v>1780</v>
      </c>
      <c r="N993" s="28"/>
      <c r="O993" s="26" t="s">
        <v>29</v>
      </c>
      <c r="P993" s="29"/>
      <c r="Q993" s="6"/>
      <c r="R993" s="29"/>
      <c r="S993" s="10"/>
      <c r="T993" s="8"/>
    </row>
    <row r="994" spans="1:20" ht="15.75" customHeight="1" x14ac:dyDescent="0.35">
      <c r="A994" s="25" t="s">
        <v>1304</v>
      </c>
      <c r="B994" s="25" t="s">
        <v>1333</v>
      </c>
      <c r="C994" s="26">
        <v>115402</v>
      </c>
      <c r="D994" s="25" t="s">
        <v>1365</v>
      </c>
      <c r="E994" s="25" t="s">
        <v>1366</v>
      </c>
      <c r="F994" s="26" t="s">
        <v>27</v>
      </c>
      <c r="G994" s="26" t="s">
        <v>27</v>
      </c>
      <c r="H994" s="26"/>
      <c r="I994" s="26"/>
      <c r="J994" s="26">
        <v>1</v>
      </c>
      <c r="K994" s="26">
        <v>138</v>
      </c>
      <c r="L994" s="26" t="s">
        <v>28</v>
      </c>
      <c r="M994" s="27">
        <v>1781</v>
      </c>
      <c r="N994" s="28"/>
      <c r="O994" s="26" t="s">
        <v>29</v>
      </c>
      <c r="P994" s="29"/>
      <c r="Q994" s="6"/>
      <c r="R994" s="29"/>
      <c r="S994" s="10"/>
      <c r="T994" s="8"/>
    </row>
    <row r="995" spans="1:20" ht="15.75" customHeight="1" x14ac:dyDescent="0.35">
      <c r="A995" s="25" t="s">
        <v>1304</v>
      </c>
      <c r="B995" s="25" t="s">
        <v>1333</v>
      </c>
      <c r="C995" s="26">
        <v>115403</v>
      </c>
      <c r="D995" s="25" t="s">
        <v>1367</v>
      </c>
      <c r="E995" s="25" t="s">
        <v>1366</v>
      </c>
      <c r="F995" s="26" t="s">
        <v>27</v>
      </c>
      <c r="G995" s="26" t="s">
        <v>27</v>
      </c>
      <c r="H995" s="26"/>
      <c r="I995" s="26"/>
      <c r="J995" s="26">
        <v>1</v>
      </c>
      <c r="K995" s="26">
        <v>138</v>
      </c>
      <c r="L995" s="26" t="s">
        <v>28</v>
      </c>
      <c r="M995" s="27">
        <v>1783</v>
      </c>
      <c r="N995" s="28"/>
      <c r="O995" s="26" t="s">
        <v>29</v>
      </c>
      <c r="P995" s="29"/>
      <c r="Q995" s="6"/>
      <c r="R995" s="29"/>
      <c r="S995" s="10"/>
      <c r="T995" s="8"/>
    </row>
    <row r="996" spans="1:20" ht="15.75" customHeight="1" x14ac:dyDescent="0.35">
      <c r="A996" s="25" t="s">
        <v>1304</v>
      </c>
      <c r="B996" s="25" t="s">
        <v>1333</v>
      </c>
      <c r="C996" s="26">
        <v>178502</v>
      </c>
      <c r="D996" s="25" t="s">
        <v>1368</v>
      </c>
      <c r="E996" s="25" t="s">
        <v>1339</v>
      </c>
      <c r="F996" s="26" t="s">
        <v>27</v>
      </c>
      <c r="G996" s="26" t="s">
        <v>27</v>
      </c>
      <c r="H996" s="26"/>
      <c r="I996" s="26"/>
      <c r="J996" s="26">
        <v>1</v>
      </c>
      <c r="K996" s="26">
        <v>138</v>
      </c>
      <c r="L996" s="26" t="s">
        <v>28</v>
      </c>
      <c r="M996" s="27">
        <v>1789</v>
      </c>
      <c r="N996" s="28"/>
      <c r="O996" s="26" t="s">
        <v>29</v>
      </c>
      <c r="P996" s="29"/>
      <c r="Q996" s="6"/>
      <c r="R996" s="29"/>
      <c r="S996" s="10"/>
      <c r="T996" s="8"/>
    </row>
    <row r="997" spans="1:20" ht="15.75" customHeight="1" x14ac:dyDescent="0.35">
      <c r="A997" s="25" t="s">
        <v>1304</v>
      </c>
      <c r="B997" s="25" t="s">
        <v>1333</v>
      </c>
      <c r="C997" s="26">
        <v>178503</v>
      </c>
      <c r="D997" s="25" t="s">
        <v>1369</v>
      </c>
      <c r="E997" s="25" t="s">
        <v>1358</v>
      </c>
      <c r="F997" s="26" t="s">
        <v>27</v>
      </c>
      <c r="G997" s="26" t="s">
        <v>27</v>
      </c>
      <c r="H997" s="26">
        <v>1</v>
      </c>
      <c r="I997" s="26">
        <v>2</v>
      </c>
      <c r="J997" s="26">
        <v>1</v>
      </c>
      <c r="K997" s="26">
        <v>138</v>
      </c>
      <c r="L997" s="26" t="s">
        <v>28</v>
      </c>
      <c r="M997" s="27">
        <v>1774</v>
      </c>
      <c r="N997" s="28">
        <v>232720.9</v>
      </c>
      <c r="O997" s="26" t="s">
        <v>29</v>
      </c>
      <c r="P997" s="29"/>
      <c r="Q997" s="6"/>
      <c r="R997" s="29"/>
      <c r="S997" s="10"/>
      <c r="T997" s="8">
        <v>1</v>
      </c>
    </row>
    <row r="998" spans="1:20" ht="15.75" customHeight="1" x14ac:dyDescent="0.35">
      <c r="A998" s="25" t="s">
        <v>1304</v>
      </c>
      <c r="B998" s="25" t="s">
        <v>1333</v>
      </c>
      <c r="C998" s="26">
        <v>178507</v>
      </c>
      <c r="D998" s="25" t="s">
        <v>299</v>
      </c>
      <c r="E998" s="25" t="s">
        <v>1370</v>
      </c>
      <c r="F998" s="26" t="s">
        <v>27</v>
      </c>
      <c r="G998" s="26" t="s">
        <v>27</v>
      </c>
      <c r="H998" s="26"/>
      <c r="I998" s="26"/>
      <c r="J998" s="26">
        <v>1</v>
      </c>
      <c r="K998" s="26">
        <v>138</v>
      </c>
      <c r="L998" s="26" t="s">
        <v>28</v>
      </c>
      <c r="M998" s="27">
        <v>1791</v>
      </c>
      <c r="N998" s="28"/>
      <c r="O998" s="26" t="s">
        <v>29</v>
      </c>
      <c r="P998" s="29"/>
      <c r="Q998" s="6"/>
      <c r="R998" s="29"/>
      <c r="S998" s="10"/>
      <c r="T998" s="8"/>
    </row>
    <row r="999" spans="1:20" ht="15.75" customHeight="1" x14ac:dyDescent="0.35">
      <c r="A999" s="25" t="s">
        <v>1304</v>
      </c>
      <c r="B999" s="25" t="s">
        <v>1333</v>
      </c>
      <c r="C999" s="26">
        <v>178514</v>
      </c>
      <c r="D999" s="25" t="s">
        <v>1371</v>
      </c>
      <c r="E999" s="25" t="s">
        <v>1352</v>
      </c>
      <c r="F999" s="26" t="s">
        <v>27</v>
      </c>
      <c r="G999" s="26" t="s">
        <v>27</v>
      </c>
      <c r="H999" s="26"/>
      <c r="I999" s="26"/>
      <c r="J999" s="26">
        <v>1</v>
      </c>
      <c r="K999" s="26">
        <v>138</v>
      </c>
      <c r="L999" s="26" t="s">
        <v>28</v>
      </c>
      <c r="M999" s="27">
        <v>1787</v>
      </c>
      <c r="N999" s="28"/>
      <c r="O999" s="26" t="s">
        <v>29</v>
      </c>
      <c r="P999" s="29"/>
      <c r="Q999" s="6"/>
      <c r="R999" s="29"/>
      <c r="S999" s="10"/>
      <c r="T999" s="8"/>
    </row>
    <row r="1000" spans="1:20" ht="15.75" customHeight="1" x14ac:dyDescent="0.35">
      <c r="A1000" s="25" t="s">
        <v>1304</v>
      </c>
      <c r="B1000" s="25" t="s">
        <v>1333</v>
      </c>
      <c r="C1000" s="26">
        <v>310706</v>
      </c>
      <c r="D1000" s="25" t="s">
        <v>1372</v>
      </c>
      <c r="E1000" s="25" t="s">
        <v>1339</v>
      </c>
      <c r="F1000" s="26" t="s">
        <v>27</v>
      </c>
      <c r="G1000" s="26" t="s">
        <v>27</v>
      </c>
      <c r="H1000" s="26"/>
      <c r="I1000" s="26"/>
      <c r="J1000" s="26">
        <v>1</v>
      </c>
      <c r="K1000" s="26">
        <v>138</v>
      </c>
      <c r="L1000" s="26" t="s">
        <v>28</v>
      </c>
      <c r="M1000" s="27">
        <v>1792</v>
      </c>
      <c r="N1000" s="28"/>
      <c r="O1000" s="26" t="s">
        <v>29</v>
      </c>
      <c r="P1000" s="29"/>
      <c r="Q1000" s="6"/>
      <c r="R1000" s="29"/>
      <c r="S1000" s="10"/>
      <c r="T1000" s="8"/>
    </row>
    <row r="1001" spans="1:20" ht="15.75" customHeight="1" x14ac:dyDescent="0.35">
      <c r="A1001" s="25" t="s">
        <v>1304</v>
      </c>
      <c r="B1001" s="25" t="s">
        <v>1373</v>
      </c>
      <c r="C1001" s="26">
        <v>117552</v>
      </c>
      <c r="D1001" s="25" t="s">
        <v>1374</v>
      </c>
      <c r="E1001" s="25" t="s">
        <v>1375</v>
      </c>
      <c r="F1001" s="26" t="s">
        <v>90</v>
      </c>
      <c r="G1001" s="26" t="s">
        <v>90</v>
      </c>
      <c r="H1001" s="26"/>
      <c r="I1001" s="26"/>
      <c r="J1001" s="26">
        <v>1</v>
      </c>
      <c r="K1001" s="26">
        <v>138</v>
      </c>
      <c r="L1001" s="26" t="s">
        <v>28</v>
      </c>
      <c r="M1001" s="27">
        <v>920</v>
      </c>
      <c r="N1001" s="28"/>
      <c r="O1001" s="26" t="s">
        <v>29</v>
      </c>
      <c r="P1001" s="29"/>
      <c r="Q1001" s="6"/>
      <c r="R1001" s="29"/>
      <c r="S1001" s="10"/>
      <c r="T1001" s="8"/>
    </row>
    <row r="1002" spans="1:20" ht="15.75" customHeight="1" x14ac:dyDescent="0.35">
      <c r="A1002" s="25" t="s">
        <v>1304</v>
      </c>
      <c r="B1002" s="25" t="s">
        <v>1373</v>
      </c>
      <c r="C1002" s="26">
        <v>117569</v>
      </c>
      <c r="D1002" s="25" t="s">
        <v>1376</v>
      </c>
      <c r="E1002" s="25" t="s">
        <v>1375</v>
      </c>
      <c r="F1002" s="26" t="s">
        <v>90</v>
      </c>
      <c r="G1002" s="26" t="s">
        <v>90</v>
      </c>
      <c r="H1002" s="26">
        <v>1</v>
      </c>
      <c r="I1002" s="26">
        <v>9</v>
      </c>
      <c r="J1002" s="26">
        <v>1</v>
      </c>
      <c r="K1002" s="26">
        <v>138</v>
      </c>
      <c r="L1002" s="26" t="s">
        <v>28</v>
      </c>
      <c r="M1002" s="27">
        <v>920</v>
      </c>
      <c r="N1002" s="30">
        <v>1101216.52</v>
      </c>
      <c r="O1002" s="26" t="s">
        <v>29</v>
      </c>
      <c r="P1002" s="29"/>
      <c r="Q1002" s="6"/>
      <c r="R1002" s="29"/>
      <c r="S1002" s="10"/>
      <c r="T1002" s="8">
        <v>1</v>
      </c>
    </row>
    <row r="1003" spans="1:20" ht="15.75" customHeight="1" x14ac:dyDescent="0.35">
      <c r="A1003" s="25" t="s">
        <v>1304</v>
      </c>
      <c r="B1003" s="25" t="s">
        <v>1377</v>
      </c>
      <c r="C1003" s="26">
        <v>115423</v>
      </c>
      <c r="D1003" s="25" t="s">
        <v>1378</v>
      </c>
      <c r="E1003" s="25" t="s">
        <v>1379</v>
      </c>
      <c r="F1003" s="26" t="s">
        <v>90</v>
      </c>
      <c r="G1003" s="26" t="s">
        <v>90</v>
      </c>
      <c r="H1003" s="26"/>
      <c r="I1003" s="26"/>
      <c r="J1003" s="26">
        <v>1</v>
      </c>
      <c r="K1003" s="26">
        <v>138</v>
      </c>
      <c r="L1003" s="26" t="s">
        <v>28</v>
      </c>
      <c r="M1003" s="27">
        <v>1810</v>
      </c>
      <c r="N1003" s="28"/>
      <c r="O1003" s="26" t="s">
        <v>29</v>
      </c>
      <c r="P1003" s="29"/>
      <c r="Q1003" s="6"/>
      <c r="R1003" s="29"/>
      <c r="S1003" s="10"/>
      <c r="T1003" s="8"/>
    </row>
    <row r="1004" spans="1:20" ht="15.75" customHeight="1" x14ac:dyDescent="0.35">
      <c r="A1004" s="25" t="s">
        <v>1304</v>
      </c>
      <c r="B1004" s="25" t="s">
        <v>1377</v>
      </c>
      <c r="C1004" s="26">
        <v>115517</v>
      </c>
      <c r="D1004" s="25" t="s">
        <v>1380</v>
      </c>
      <c r="E1004" s="25" t="s">
        <v>1381</v>
      </c>
      <c r="F1004" s="26" t="s">
        <v>90</v>
      </c>
      <c r="G1004" s="26" t="s">
        <v>90</v>
      </c>
      <c r="H1004" s="26"/>
      <c r="I1004" s="26"/>
      <c r="J1004" s="26">
        <v>1</v>
      </c>
      <c r="K1004" s="26">
        <v>138</v>
      </c>
      <c r="L1004" s="26" t="s">
        <v>28</v>
      </c>
      <c r="M1004" s="27">
        <v>1802</v>
      </c>
      <c r="N1004" s="28"/>
      <c r="O1004" s="26" t="s">
        <v>29</v>
      </c>
      <c r="P1004" s="29"/>
      <c r="Q1004" s="6"/>
      <c r="R1004" s="29"/>
      <c r="S1004" s="10"/>
      <c r="T1004" s="8"/>
    </row>
    <row r="1005" spans="1:20" ht="15.75" customHeight="1" x14ac:dyDescent="0.35">
      <c r="A1005" s="25" t="s">
        <v>1304</v>
      </c>
      <c r="B1005" s="25" t="s">
        <v>1377</v>
      </c>
      <c r="C1005" s="26">
        <v>115519</v>
      </c>
      <c r="D1005" s="25" t="s">
        <v>1382</v>
      </c>
      <c r="E1005" s="25" t="s">
        <v>1381</v>
      </c>
      <c r="F1005" s="26" t="s">
        <v>90</v>
      </c>
      <c r="G1005" s="26" t="s">
        <v>90</v>
      </c>
      <c r="H1005" s="26"/>
      <c r="I1005" s="26"/>
      <c r="J1005" s="26">
        <v>1</v>
      </c>
      <c r="K1005" s="26">
        <v>138</v>
      </c>
      <c r="L1005" s="26" t="s">
        <v>28</v>
      </c>
      <c r="M1005" s="27">
        <v>1803</v>
      </c>
      <c r="N1005" s="28"/>
      <c r="O1005" s="26" t="s">
        <v>29</v>
      </c>
      <c r="P1005" s="29"/>
      <c r="Q1005" s="6"/>
      <c r="R1005" s="29"/>
      <c r="S1005" s="10"/>
      <c r="T1005" s="8"/>
    </row>
    <row r="1006" spans="1:20" ht="15.75" customHeight="1" x14ac:dyDescent="0.35">
      <c r="A1006" s="25" t="s">
        <v>1304</v>
      </c>
      <c r="B1006" s="25" t="s">
        <v>1377</v>
      </c>
      <c r="C1006" s="26">
        <v>115523</v>
      </c>
      <c r="D1006" s="25" t="s">
        <v>1383</v>
      </c>
      <c r="E1006" s="25" t="s">
        <v>1381</v>
      </c>
      <c r="F1006" s="26" t="s">
        <v>90</v>
      </c>
      <c r="G1006" s="26" t="s">
        <v>90</v>
      </c>
      <c r="H1006" s="26"/>
      <c r="I1006" s="26"/>
      <c r="J1006" s="26">
        <v>1</v>
      </c>
      <c r="K1006" s="26">
        <v>138</v>
      </c>
      <c r="L1006" s="26" t="s">
        <v>28</v>
      </c>
      <c r="M1006" s="27">
        <v>1807</v>
      </c>
      <c r="N1006" s="28"/>
      <c r="O1006" s="26" t="s">
        <v>29</v>
      </c>
      <c r="P1006" s="29"/>
      <c r="Q1006" s="6"/>
      <c r="R1006" s="29"/>
      <c r="S1006" s="10"/>
      <c r="T1006" s="8"/>
    </row>
    <row r="1007" spans="1:20" ht="15.75" customHeight="1" x14ac:dyDescent="0.35">
      <c r="A1007" s="25" t="s">
        <v>1304</v>
      </c>
      <c r="B1007" s="25" t="s">
        <v>1377</v>
      </c>
      <c r="C1007" s="26">
        <v>115528</v>
      </c>
      <c r="D1007" s="25" t="s">
        <v>1384</v>
      </c>
      <c r="E1007" s="25" t="s">
        <v>1381</v>
      </c>
      <c r="F1007" s="26" t="s">
        <v>90</v>
      </c>
      <c r="G1007" s="26" t="s">
        <v>90</v>
      </c>
      <c r="H1007" s="26"/>
      <c r="I1007" s="26"/>
      <c r="J1007" s="26">
        <v>1</v>
      </c>
      <c r="K1007" s="26">
        <v>138</v>
      </c>
      <c r="L1007" s="26" t="s">
        <v>28</v>
      </c>
      <c r="M1007" s="27">
        <v>1808</v>
      </c>
      <c r="N1007" s="28"/>
      <c r="O1007" s="26" t="s">
        <v>29</v>
      </c>
      <c r="P1007" s="29"/>
      <c r="Q1007" s="6"/>
      <c r="R1007" s="29"/>
      <c r="S1007" s="10"/>
      <c r="T1007" s="8"/>
    </row>
    <row r="1008" spans="1:20" ht="15.75" customHeight="1" x14ac:dyDescent="0.35">
      <c r="A1008" s="25" t="s">
        <v>1304</v>
      </c>
      <c r="B1008" s="25" t="s">
        <v>1377</v>
      </c>
      <c r="C1008" s="26">
        <v>115537</v>
      </c>
      <c r="D1008" s="25" t="s">
        <v>1385</v>
      </c>
      <c r="E1008" s="25" t="s">
        <v>1381</v>
      </c>
      <c r="F1008" s="26" t="s">
        <v>90</v>
      </c>
      <c r="G1008" s="26" t="s">
        <v>90</v>
      </c>
      <c r="H1008" s="26"/>
      <c r="I1008" s="26"/>
      <c r="J1008" s="26">
        <v>1</v>
      </c>
      <c r="K1008" s="26">
        <v>138</v>
      </c>
      <c r="L1008" s="26" t="s">
        <v>28</v>
      </c>
      <c r="M1008" s="27">
        <v>1811</v>
      </c>
      <c r="N1008" s="28"/>
      <c r="O1008" s="26" t="s">
        <v>29</v>
      </c>
      <c r="P1008" s="29"/>
      <c r="Q1008" s="6"/>
      <c r="R1008" s="29"/>
      <c r="S1008" s="10"/>
      <c r="T1008" s="8"/>
    </row>
    <row r="1009" spans="1:20" ht="15.75" customHeight="1" x14ac:dyDescent="0.35">
      <c r="A1009" s="25" t="s">
        <v>1304</v>
      </c>
      <c r="B1009" s="25" t="s">
        <v>1377</v>
      </c>
      <c r="C1009" s="26">
        <v>115539</v>
      </c>
      <c r="D1009" s="25" t="s">
        <v>1386</v>
      </c>
      <c r="E1009" s="25" t="s">
        <v>1381</v>
      </c>
      <c r="F1009" s="26" t="s">
        <v>90</v>
      </c>
      <c r="G1009" s="26" t="s">
        <v>90</v>
      </c>
      <c r="H1009" s="26"/>
      <c r="I1009" s="26"/>
      <c r="J1009" s="26">
        <v>1</v>
      </c>
      <c r="K1009" s="26">
        <v>138</v>
      </c>
      <c r="L1009" s="26" t="s">
        <v>28</v>
      </c>
      <c r="M1009" s="27">
        <v>1812</v>
      </c>
      <c r="N1009" s="28"/>
      <c r="O1009" s="26" t="s">
        <v>29</v>
      </c>
      <c r="P1009" s="29"/>
      <c r="Q1009" s="6"/>
      <c r="R1009" s="29"/>
      <c r="S1009" s="10"/>
      <c r="T1009" s="8"/>
    </row>
    <row r="1010" spans="1:20" ht="15.75" customHeight="1" x14ac:dyDescent="0.35">
      <c r="A1010" s="25" t="s">
        <v>1304</v>
      </c>
      <c r="B1010" s="25" t="s">
        <v>1377</v>
      </c>
      <c r="C1010" s="26">
        <v>115588</v>
      </c>
      <c r="D1010" s="25" t="s">
        <v>1387</v>
      </c>
      <c r="E1010" s="25" t="s">
        <v>1388</v>
      </c>
      <c r="F1010" s="26" t="s">
        <v>90</v>
      </c>
      <c r="G1010" s="26" t="s">
        <v>90</v>
      </c>
      <c r="H1010" s="26"/>
      <c r="I1010" s="26"/>
      <c r="J1010" s="26">
        <v>1</v>
      </c>
      <c r="K1010" s="26">
        <v>138</v>
      </c>
      <c r="L1010" s="26" t="s">
        <v>28</v>
      </c>
      <c r="M1010" s="27">
        <v>1804</v>
      </c>
      <c r="N1010" s="28"/>
      <c r="O1010" s="26" t="s">
        <v>29</v>
      </c>
      <c r="P1010" s="29"/>
      <c r="Q1010" s="6"/>
      <c r="R1010" s="29"/>
      <c r="S1010" s="10"/>
      <c r="T1010" s="8"/>
    </row>
    <row r="1011" spans="1:20" ht="15.75" customHeight="1" x14ac:dyDescent="0.35">
      <c r="A1011" s="25" t="s">
        <v>1304</v>
      </c>
      <c r="B1011" s="25" t="s">
        <v>1377</v>
      </c>
      <c r="C1011" s="26">
        <v>115594</v>
      </c>
      <c r="D1011" s="25" t="s">
        <v>1389</v>
      </c>
      <c r="E1011" s="25" t="s">
        <v>1388</v>
      </c>
      <c r="F1011" s="26" t="s">
        <v>90</v>
      </c>
      <c r="G1011" s="26" t="s">
        <v>90</v>
      </c>
      <c r="H1011" s="26"/>
      <c r="I1011" s="26"/>
      <c r="J1011" s="26">
        <v>1</v>
      </c>
      <c r="K1011" s="26">
        <v>138</v>
      </c>
      <c r="L1011" s="26" t="s">
        <v>28</v>
      </c>
      <c r="M1011" s="27">
        <v>1813</v>
      </c>
      <c r="N1011" s="28"/>
      <c r="O1011" s="26" t="s">
        <v>29</v>
      </c>
      <c r="P1011" s="29"/>
      <c r="Q1011" s="6"/>
      <c r="R1011" s="29"/>
      <c r="S1011" s="10"/>
      <c r="T1011" s="8"/>
    </row>
    <row r="1012" spans="1:20" ht="15.75" customHeight="1" x14ac:dyDescent="0.35">
      <c r="A1012" s="25" t="s">
        <v>1304</v>
      </c>
      <c r="B1012" s="25" t="s">
        <v>1377</v>
      </c>
      <c r="C1012" s="26">
        <v>115597</v>
      </c>
      <c r="D1012" s="25" t="s">
        <v>1390</v>
      </c>
      <c r="E1012" s="25" t="s">
        <v>1388</v>
      </c>
      <c r="F1012" s="26" t="s">
        <v>90</v>
      </c>
      <c r="G1012" s="26" t="s">
        <v>90</v>
      </c>
      <c r="H1012" s="26"/>
      <c r="I1012" s="26"/>
      <c r="J1012" s="26">
        <v>1</v>
      </c>
      <c r="K1012" s="26">
        <v>138</v>
      </c>
      <c r="L1012" s="26" t="s">
        <v>28</v>
      </c>
      <c r="M1012" s="27">
        <v>1801</v>
      </c>
      <c r="N1012" s="28"/>
      <c r="O1012" s="26" t="s">
        <v>29</v>
      </c>
      <c r="P1012" s="29"/>
      <c r="Q1012" s="6"/>
      <c r="R1012" s="29"/>
      <c r="S1012" s="10"/>
      <c r="T1012" s="8"/>
    </row>
    <row r="1013" spans="1:20" ht="15.75" customHeight="1" x14ac:dyDescent="0.35">
      <c r="A1013" s="25" t="s">
        <v>1304</v>
      </c>
      <c r="B1013" s="25" t="s">
        <v>1377</v>
      </c>
      <c r="C1013" s="26">
        <v>115606</v>
      </c>
      <c r="D1013" s="25" t="s">
        <v>1391</v>
      </c>
      <c r="E1013" s="25" t="s">
        <v>1388</v>
      </c>
      <c r="F1013" s="26" t="s">
        <v>90</v>
      </c>
      <c r="G1013" s="26" t="s">
        <v>90</v>
      </c>
      <c r="H1013" s="26"/>
      <c r="I1013" s="26"/>
      <c r="J1013" s="26">
        <v>1</v>
      </c>
      <c r="K1013" s="26">
        <v>138</v>
      </c>
      <c r="L1013" s="26" t="s">
        <v>28</v>
      </c>
      <c r="M1013" s="27">
        <v>1814</v>
      </c>
      <c r="N1013" s="28"/>
      <c r="O1013" s="26" t="s">
        <v>29</v>
      </c>
      <c r="P1013" s="29"/>
      <c r="Q1013" s="6"/>
      <c r="R1013" s="29"/>
      <c r="S1013" s="10"/>
      <c r="T1013" s="8"/>
    </row>
    <row r="1014" spans="1:20" ht="15.75" customHeight="1" x14ac:dyDescent="0.35">
      <c r="A1014" s="25" t="s">
        <v>1304</v>
      </c>
      <c r="B1014" s="25" t="s">
        <v>1377</v>
      </c>
      <c r="C1014" s="26">
        <v>115608</v>
      </c>
      <c r="D1014" s="25" t="s">
        <v>1392</v>
      </c>
      <c r="E1014" s="25" t="s">
        <v>1388</v>
      </c>
      <c r="F1014" s="26" t="s">
        <v>90</v>
      </c>
      <c r="G1014" s="26" t="s">
        <v>90</v>
      </c>
      <c r="H1014" s="26"/>
      <c r="I1014" s="26"/>
      <c r="J1014" s="26">
        <v>1</v>
      </c>
      <c r="K1014" s="26">
        <v>138</v>
      </c>
      <c r="L1014" s="26" t="s">
        <v>28</v>
      </c>
      <c r="M1014" s="27">
        <v>1815</v>
      </c>
      <c r="N1014" s="28"/>
      <c r="O1014" s="26" t="s">
        <v>29</v>
      </c>
      <c r="P1014" s="29"/>
      <c r="Q1014" s="6"/>
      <c r="R1014" s="29"/>
      <c r="S1014" s="10"/>
      <c r="T1014" s="8"/>
    </row>
    <row r="1015" spans="1:20" ht="15.75" customHeight="1" x14ac:dyDescent="0.35">
      <c r="A1015" s="25" t="s">
        <v>1304</v>
      </c>
      <c r="B1015" s="25" t="s">
        <v>1377</v>
      </c>
      <c r="C1015" s="26">
        <v>115626</v>
      </c>
      <c r="D1015" s="25" t="s">
        <v>1393</v>
      </c>
      <c r="E1015" s="25" t="s">
        <v>1394</v>
      </c>
      <c r="F1015" s="26" t="s">
        <v>215</v>
      </c>
      <c r="G1015" s="26" t="s">
        <v>215</v>
      </c>
      <c r="H1015" s="26">
        <v>1</v>
      </c>
      <c r="I1015" s="26">
        <v>3</v>
      </c>
      <c r="J1015" s="26">
        <v>1</v>
      </c>
      <c r="K1015" s="26">
        <v>138</v>
      </c>
      <c r="L1015" s="26" t="s">
        <v>28</v>
      </c>
      <c r="M1015" s="27">
        <v>1799</v>
      </c>
      <c r="N1015" s="30">
        <v>185817.69</v>
      </c>
      <c r="O1015" s="26" t="s">
        <v>29</v>
      </c>
      <c r="P1015" s="29"/>
      <c r="Q1015" s="6"/>
      <c r="R1015" s="29"/>
      <c r="S1015" s="10"/>
      <c r="T1015" s="8">
        <v>1</v>
      </c>
    </row>
    <row r="1016" spans="1:20" ht="15.75" customHeight="1" x14ac:dyDescent="0.35">
      <c r="A1016" s="25" t="s">
        <v>1304</v>
      </c>
      <c r="B1016" s="25" t="s">
        <v>1377</v>
      </c>
      <c r="C1016" s="26">
        <v>115647</v>
      </c>
      <c r="D1016" s="25" t="s">
        <v>1395</v>
      </c>
      <c r="E1016" s="25" t="s">
        <v>1396</v>
      </c>
      <c r="F1016" s="26" t="s">
        <v>215</v>
      </c>
      <c r="G1016" s="26" t="s">
        <v>215</v>
      </c>
      <c r="H1016" s="26"/>
      <c r="I1016" s="26"/>
      <c r="J1016" s="26">
        <v>1</v>
      </c>
      <c r="K1016" s="26">
        <v>138</v>
      </c>
      <c r="L1016" s="26" t="s">
        <v>28</v>
      </c>
      <c r="M1016" s="27">
        <v>1797</v>
      </c>
      <c r="N1016" s="28"/>
      <c r="O1016" s="26" t="s">
        <v>29</v>
      </c>
      <c r="P1016" s="29"/>
      <c r="Q1016" s="6"/>
      <c r="R1016" s="29"/>
      <c r="S1016" s="10"/>
      <c r="T1016" s="8"/>
    </row>
    <row r="1017" spans="1:20" ht="15.75" customHeight="1" x14ac:dyDescent="0.35">
      <c r="A1017" s="25" t="s">
        <v>1304</v>
      </c>
      <c r="B1017" s="25" t="s">
        <v>1377</v>
      </c>
      <c r="C1017" s="26">
        <v>115697</v>
      </c>
      <c r="D1017" s="25" t="s">
        <v>1397</v>
      </c>
      <c r="E1017" s="25" t="s">
        <v>1398</v>
      </c>
      <c r="F1017" s="26" t="s">
        <v>215</v>
      </c>
      <c r="G1017" s="26" t="s">
        <v>215</v>
      </c>
      <c r="H1017" s="26"/>
      <c r="I1017" s="26"/>
      <c r="J1017" s="26">
        <v>1</v>
      </c>
      <c r="K1017" s="26">
        <v>138</v>
      </c>
      <c r="L1017" s="26" t="s">
        <v>28</v>
      </c>
      <c r="M1017" s="27">
        <v>1800</v>
      </c>
      <c r="N1017" s="28"/>
      <c r="O1017" s="26" t="s">
        <v>29</v>
      </c>
      <c r="P1017" s="29"/>
      <c r="Q1017" s="6"/>
      <c r="R1017" s="29"/>
      <c r="S1017" s="10"/>
      <c r="T1017" s="8"/>
    </row>
    <row r="1018" spans="1:20" ht="15.75" customHeight="1" x14ac:dyDescent="0.35">
      <c r="A1018" s="25" t="s">
        <v>1304</v>
      </c>
      <c r="B1018" s="25" t="s">
        <v>1377</v>
      </c>
      <c r="C1018" s="26">
        <v>115759</v>
      </c>
      <c r="D1018" s="25" t="s">
        <v>1399</v>
      </c>
      <c r="E1018" s="25" t="s">
        <v>1400</v>
      </c>
      <c r="F1018" s="26" t="s">
        <v>90</v>
      </c>
      <c r="G1018" s="26" t="s">
        <v>90</v>
      </c>
      <c r="H1018" s="26"/>
      <c r="I1018" s="26"/>
      <c r="J1018" s="26">
        <v>1</v>
      </c>
      <c r="K1018" s="26">
        <v>138</v>
      </c>
      <c r="L1018" s="26" t="s">
        <v>28</v>
      </c>
      <c r="M1018" s="27">
        <v>1805</v>
      </c>
      <c r="N1018" s="28"/>
      <c r="O1018" s="26" t="s">
        <v>29</v>
      </c>
      <c r="P1018" s="29"/>
      <c r="Q1018" s="6"/>
      <c r="R1018" s="29"/>
      <c r="S1018" s="10"/>
      <c r="T1018" s="8"/>
    </row>
    <row r="1019" spans="1:20" ht="15.75" customHeight="1" x14ac:dyDescent="0.35">
      <c r="A1019" s="25" t="s">
        <v>1304</v>
      </c>
      <c r="B1019" s="25" t="s">
        <v>1377</v>
      </c>
      <c r="C1019" s="26">
        <v>115783</v>
      </c>
      <c r="D1019" s="25" t="s">
        <v>1401</v>
      </c>
      <c r="E1019" s="25" t="s">
        <v>1402</v>
      </c>
      <c r="F1019" s="26" t="s">
        <v>90</v>
      </c>
      <c r="G1019" s="26" t="s">
        <v>90</v>
      </c>
      <c r="H1019" s="26"/>
      <c r="I1019" s="26"/>
      <c r="J1019" s="26">
        <v>1</v>
      </c>
      <c r="K1019" s="26">
        <v>138</v>
      </c>
      <c r="L1019" s="26" t="s">
        <v>28</v>
      </c>
      <c r="M1019" s="27">
        <v>1809</v>
      </c>
      <c r="N1019" s="28"/>
      <c r="O1019" s="26" t="s">
        <v>29</v>
      </c>
      <c r="P1019" s="29"/>
      <c r="Q1019" s="6"/>
      <c r="R1019" s="29"/>
      <c r="S1019" s="10"/>
      <c r="T1019" s="8"/>
    </row>
    <row r="1020" spans="1:20" ht="15.75" customHeight="1" x14ac:dyDescent="0.35">
      <c r="A1020" s="25" t="s">
        <v>1304</v>
      </c>
      <c r="B1020" s="25" t="s">
        <v>1377</v>
      </c>
      <c r="C1020" s="26">
        <v>179012</v>
      </c>
      <c r="D1020" s="25" t="s">
        <v>1403</v>
      </c>
      <c r="E1020" s="25" t="s">
        <v>1398</v>
      </c>
      <c r="F1020" s="26" t="s">
        <v>215</v>
      </c>
      <c r="G1020" s="26" t="s">
        <v>215</v>
      </c>
      <c r="H1020" s="26"/>
      <c r="I1020" s="26"/>
      <c r="J1020" s="26">
        <v>1</v>
      </c>
      <c r="K1020" s="26">
        <v>138</v>
      </c>
      <c r="L1020" s="26" t="s">
        <v>28</v>
      </c>
      <c r="M1020" s="27">
        <v>1798</v>
      </c>
      <c r="N1020" s="28"/>
      <c r="O1020" s="26" t="s">
        <v>29</v>
      </c>
      <c r="P1020" s="29"/>
      <c r="Q1020" s="6"/>
      <c r="R1020" s="29"/>
      <c r="S1020" s="10"/>
      <c r="T1020" s="8"/>
    </row>
    <row r="1021" spans="1:20" ht="15.75" customHeight="1" x14ac:dyDescent="0.35">
      <c r="A1021" s="25" t="s">
        <v>1304</v>
      </c>
      <c r="B1021" s="25" t="s">
        <v>1377</v>
      </c>
      <c r="C1021" s="26">
        <v>302389</v>
      </c>
      <c r="D1021" s="25" t="s">
        <v>1404</v>
      </c>
      <c r="E1021" s="25" t="s">
        <v>1402</v>
      </c>
      <c r="F1021" s="26" t="s">
        <v>90</v>
      </c>
      <c r="G1021" s="26" t="s">
        <v>90</v>
      </c>
      <c r="H1021" s="26">
        <v>1</v>
      </c>
      <c r="I1021" s="26">
        <v>12</v>
      </c>
      <c r="J1021" s="26">
        <v>1</v>
      </c>
      <c r="K1021" s="26">
        <v>138</v>
      </c>
      <c r="L1021" s="26" t="s">
        <v>28</v>
      </c>
      <c r="M1021" s="27">
        <v>1806</v>
      </c>
      <c r="N1021" s="30">
        <v>123326.67</v>
      </c>
      <c r="O1021" s="26" t="s">
        <v>29</v>
      </c>
      <c r="P1021" s="29"/>
      <c r="Q1021" s="6"/>
      <c r="R1021" s="29"/>
      <c r="S1021" s="10"/>
      <c r="T1021" s="8">
        <v>1</v>
      </c>
    </row>
    <row r="1022" spans="1:20" ht="15.75" customHeight="1" x14ac:dyDescent="0.35">
      <c r="A1022" s="25" t="s">
        <v>1304</v>
      </c>
      <c r="B1022" s="25" t="s">
        <v>1405</v>
      </c>
      <c r="C1022" s="26">
        <v>179501</v>
      </c>
      <c r="D1022" s="25" t="s">
        <v>1406</v>
      </c>
      <c r="E1022" s="25" t="s">
        <v>1407</v>
      </c>
      <c r="F1022" s="26" t="s">
        <v>27</v>
      </c>
      <c r="G1022" s="26" t="s">
        <v>27</v>
      </c>
      <c r="H1022" s="26"/>
      <c r="I1022" s="26"/>
      <c r="J1022" s="26">
        <v>1</v>
      </c>
      <c r="K1022" s="26">
        <v>138</v>
      </c>
      <c r="L1022" s="26" t="s">
        <v>28</v>
      </c>
      <c r="M1022" s="27">
        <v>1816</v>
      </c>
      <c r="N1022" s="28"/>
      <c r="O1022" s="26" t="s">
        <v>29</v>
      </c>
      <c r="P1022" s="29"/>
      <c r="Q1022" s="6"/>
      <c r="R1022" s="29"/>
      <c r="S1022" s="10"/>
      <c r="T1022" s="8"/>
    </row>
    <row r="1023" spans="1:20" ht="15.75" customHeight="1" x14ac:dyDescent="0.35">
      <c r="A1023" s="25" t="s">
        <v>1304</v>
      </c>
      <c r="B1023" s="25" t="s">
        <v>1408</v>
      </c>
      <c r="C1023" s="26">
        <v>115920</v>
      </c>
      <c r="D1023" s="25" t="s">
        <v>1409</v>
      </c>
      <c r="E1023" s="25" t="s">
        <v>1410</v>
      </c>
      <c r="F1023" s="26" t="s">
        <v>466</v>
      </c>
      <c r="G1023" s="26" t="s">
        <v>466</v>
      </c>
      <c r="H1023" s="26"/>
      <c r="I1023" s="26"/>
      <c r="J1023" s="26">
        <v>1</v>
      </c>
      <c r="K1023" s="26">
        <v>138</v>
      </c>
      <c r="L1023" s="26" t="s">
        <v>28</v>
      </c>
      <c r="M1023" s="27">
        <v>1834</v>
      </c>
      <c r="N1023" s="28"/>
      <c r="O1023" s="26" t="s">
        <v>29</v>
      </c>
      <c r="P1023" s="29"/>
      <c r="Q1023" s="6"/>
      <c r="R1023" s="29"/>
      <c r="S1023" s="10"/>
      <c r="T1023" s="8"/>
    </row>
    <row r="1024" spans="1:20" ht="15.75" customHeight="1" x14ac:dyDescent="0.35">
      <c r="A1024" s="25" t="s">
        <v>1304</v>
      </c>
      <c r="B1024" s="25" t="s">
        <v>1408</v>
      </c>
      <c r="C1024" s="26">
        <v>116001</v>
      </c>
      <c r="D1024" s="25" t="s">
        <v>1411</v>
      </c>
      <c r="E1024" s="25" t="s">
        <v>1412</v>
      </c>
      <c r="F1024" s="26" t="s">
        <v>491</v>
      </c>
      <c r="G1024" s="26" t="s">
        <v>491</v>
      </c>
      <c r="H1024" s="26"/>
      <c r="I1024" s="26"/>
      <c r="J1024" s="26">
        <v>1</v>
      </c>
      <c r="K1024" s="26">
        <v>138</v>
      </c>
      <c r="L1024" s="26" t="s">
        <v>28</v>
      </c>
      <c r="M1024" s="27">
        <v>1823</v>
      </c>
      <c r="N1024" s="28"/>
      <c r="O1024" s="26" t="s">
        <v>29</v>
      </c>
      <c r="P1024" s="29"/>
      <c r="Q1024" s="6"/>
      <c r="R1024" s="29"/>
      <c r="S1024" s="10"/>
      <c r="T1024" s="8"/>
    </row>
    <row r="1025" spans="1:20" ht="15.75" customHeight="1" x14ac:dyDescent="0.35">
      <c r="A1025" s="25" t="s">
        <v>1304</v>
      </c>
      <c r="B1025" s="25" t="s">
        <v>1408</v>
      </c>
      <c r="C1025" s="26">
        <v>116062</v>
      </c>
      <c r="D1025" s="25" t="s">
        <v>1413</v>
      </c>
      <c r="E1025" s="25" t="s">
        <v>1414</v>
      </c>
      <c r="F1025" s="26" t="s">
        <v>555</v>
      </c>
      <c r="G1025" s="26" t="s">
        <v>555</v>
      </c>
      <c r="H1025" s="26"/>
      <c r="I1025" s="26"/>
      <c r="J1025" s="26">
        <v>1</v>
      </c>
      <c r="K1025" s="26">
        <v>138</v>
      </c>
      <c r="L1025" s="26" t="s">
        <v>28</v>
      </c>
      <c r="M1025" s="27">
        <v>1832</v>
      </c>
      <c r="N1025" s="28"/>
      <c r="O1025" s="26" t="s">
        <v>29</v>
      </c>
      <c r="P1025" s="29"/>
      <c r="Q1025" s="6"/>
      <c r="R1025" s="29"/>
      <c r="S1025" s="10"/>
      <c r="T1025" s="8"/>
    </row>
    <row r="1026" spans="1:20" ht="15.75" customHeight="1" x14ac:dyDescent="0.35">
      <c r="A1026" s="25" t="s">
        <v>1304</v>
      </c>
      <c r="B1026" s="25" t="s">
        <v>1408</v>
      </c>
      <c r="C1026" s="26">
        <v>116168</v>
      </c>
      <c r="D1026" s="25" t="s">
        <v>1415</v>
      </c>
      <c r="E1026" s="25" t="s">
        <v>1416</v>
      </c>
      <c r="F1026" s="26" t="s">
        <v>491</v>
      </c>
      <c r="G1026" s="26" t="s">
        <v>491</v>
      </c>
      <c r="H1026" s="26"/>
      <c r="I1026" s="26"/>
      <c r="J1026" s="26">
        <v>1</v>
      </c>
      <c r="K1026" s="26">
        <v>138</v>
      </c>
      <c r="L1026" s="26" t="s">
        <v>28</v>
      </c>
      <c r="M1026" s="27">
        <v>1825</v>
      </c>
      <c r="N1026" s="28"/>
      <c r="O1026" s="26" t="s">
        <v>29</v>
      </c>
      <c r="P1026" s="29"/>
      <c r="Q1026" s="6"/>
      <c r="R1026" s="29"/>
      <c r="S1026" s="10"/>
      <c r="T1026" s="8"/>
    </row>
    <row r="1027" spans="1:20" ht="15.75" customHeight="1" x14ac:dyDescent="0.35">
      <c r="A1027" s="25" t="s">
        <v>1304</v>
      </c>
      <c r="B1027" s="25" t="s">
        <v>1408</v>
      </c>
      <c r="C1027" s="26">
        <v>116179</v>
      </c>
      <c r="D1027" s="25" t="s">
        <v>1417</v>
      </c>
      <c r="E1027" s="25" t="s">
        <v>1416</v>
      </c>
      <c r="F1027" s="26" t="s">
        <v>491</v>
      </c>
      <c r="G1027" s="26" t="s">
        <v>491</v>
      </c>
      <c r="H1027" s="26"/>
      <c r="I1027" s="26"/>
      <c r="J1027" s="26">
        <v>1</v>
      </c>
      <c r="K1027" s="26">
        <v>138</v>
      </c>
      <c r="L1027" s="26" t="s">
        <v>28</v>
      </c>
      <c r="M1027" s="27">
        <v>1821</v>
      </c>
      <c r="N1027" s="28"/>
      <c r="O1027" s="26" t="s">
        <v>29</v>
      </c>
      <c r="P1027" s="29"/>
      <c r="Q1027" s="6"/>
      <c r="R1027" s="29"/>
      <c r="S1027" s="10"/>
      <c r="T1027" s="8"/>
    </row>
    <row r="1028" spans="1:20" ht="15.75" customHeight="1" x14ac:dyDescent="0.35">
      <c r="A1028" s="25" t="s">
        <v>1304</v>
      </c>
      <c r="B1028" s="25" t="s">
        <v>1408</v>
      </c>
      <c r="C1028" s="26">
        <v>116185</v>
      </c>
      <c r="D1028" s="25" t="s">
        <v>1418</v>
      </c>
      <c r="E1028" s="25" t="s">
        <v>1416</v>
      </c>
      <c r="F1028" s="26" t="s">
        <v>491</v>
      </c>
      <c r="G1028" s="26" t="s">
        <v>491</v>
      </c>
      <c r="H1028" s="26"/>
      <c r="I1028" s="26"/>
      <c r="J1028" s="26">
        <v>1</v>
      </c>
      <c r="K1028" s="26">
        <v>138</v>
      </c>
      <c r="L1028" s="26" t="s">
        <v>28</v>
      </c>
      <c r="M1028" s="27">
        <v>1824</v>
      </c>
      <c r="N1028" s="28"/>
      <c r="O1028" s="26" t="s">
        <v>29</v>
      </c>
      <c r="P1028" s="29"/>
      <c r="Q1028" s="6"/>
      <c r="R1028" s="29"/>
      <c r="S1028" s="10"/>
      <c r="T1028" s="8"/>
    </row>
    <row r="1029" spans="1:20" ht="15.75" customHeight="1" x14ac:dyDescent="0.35">
      <c r="A1029" s="25" t="s">
        <v>1304</v>
      </c>
      <c r="B1029" s="25" t="s">
        <v>1408</v>
      </c>
      <c r="C1029" s="26">
        <v>116209</v>
      </c>
      <c r="D1029" s="25" t="s">
        <v>345</v>
      </c>
      <c r="E1029" s="25" t="s">
        <v>1419</v>
      </c>
      <c r="F1029" s="26" t="s">
        <v>466</v>
      </c>
      <c r="G1029" s="26" t="s">
        <v>466</v>
      </c>
      <c r="H1029" s="26"/>
      <c r="I1029" s="26"/>
      <c r="J1029" s="26">
        <v>1</v>
      </c>
      <c r="K1029" s="26">
        <v>138</v>
      </c>
      <c r="L1029" s="26" t="s">
        <v>28</v>
      </c>
      <c r="M1029" s="27">
        <v>1836</v>
      </c>
      <c r="N1029" s="28"/>
      <c r="O1029" s="26" t="s">
        <v>29</v>
      </c>
      <c r="P1029" s="29"/>
      <c r="Q1029" s="6"/>
      <c r="R1029" s="29"/>
      <c r="S1029" s="10"/>
      <c r="T1029" s="8"/>
    </row>
    <row r="1030" spans="1:20" ht="15.75" customHeight="1" x14ac:dyDescent="0.35">
      <c r="A1030" s="25" t="s">
        <v>1304</v>
      </c>
      <c r="B1030" s="25" t="s">
        <v>1408</v>
      </c>
      <c r="C1030" s="26">
        <v>116351</v>
      </c>
      <c r="D1030" s="25" t="s">
        <v>1420</v>
      </c>
      <c r="E1030" s="25" t="s">
        <v>1421</v>
      </c>
      <c r="F1030" s="26" t="s">
        <v>466</v>
      </c>
      <c r="G1030" s="26" t="s">
        <v>466</v>
      </c>
      <c r="H1030" s="26"/>
      <c r="I1030" s="26"/>
      <c r="J1030" s="26">
        <v>1</v>
      </c>
      <c r="K1030" s="26">
        <v>138</v>
      </c>
      <c r="L1030" s="26" t="s">
        <v>28</v>
      </c>
      <c r="M1030" s="27">
        <v>1837</v>
      </c>
      <c r="N1030" s="28"/>
      <c r="O1030" s="26" t="s">
        <v>29</v>
      </c>
      <c r="P1030" s="29"/>
      <c r="Q1030" s="6"/>
      <c r="R1030" s="29"/>
      <c r="S1030" s="10"/>
      <c r="T1030" s="8"/>
    </row>
    <row r="1031" spans="1:20" ht="15.75" customHeight="1" x14ac:dyDescent="0.35">
      <c r="A1031" s="25" t="s">
        <v>1304</v>
      </c>
      <c r="B1031" s="25" t="s">
        <v>1408</v>
      </c>
      <c r="C1031" s="26">
        <v>116401</v>
      </c>
      <c r="D1031" s="25" t="s">
        <v>1422</v>
      </c>
      <c r="E1031" s="25" t="s">
        <v>1423</v>
      </c>
      <c r="F1031" s="26" t="s">
        <v>491</v>
      </c>
      <c r="G1031" s="26" t="s">
        <v>491</v>
      </c>
      <c r="H1031" s="26"/>
      <c r="I1031" s="26"/>
      <c r="J1031" s="26">
        <v>1</v>
      </c>
      <c r="K1031" s="26">
        <v>138</v>
      </c>
      <c r="L1031" s="26" t="s">
        <v>28</v>
      </c>
      <c r="M1031" s="27">
        <v>1828</v>
      </c>
      <c r="N1031" s="28"/>
      <c r="O1031" s="26" t="s">
        <v>29</v>
      </c>
      <c r="P1031" s="29"/>
      <c r="Q1031" s="6"/>
      <c r="R1031" s="29"/>
      <c r="S1031" s="10"/>
      <c r="T1031" s="8"/>
    </row>
    <row r="1032" spans="1:20" ht="15.75" customHeight="1" x14ac:dyDescent="0.35">
      <c r="A1032" s="25" t="s">
        <v>1304</v>
      </c>
      <c r="B1032" s="25" t="s">
        <v>1408</v>
      </c>
      <c r="C1032" s="26">
        <v>116408</v>
      </c>
      <c r="D1032" s="25" t="s">
        <v>1424</v>
      </c>
      <c r="E1032" s="25" t="s">
        <v>1423</v>
      </c>
      <c r="F1032" s="26" t="s">
        <v>491</v>
      </c>
      <c r="G1032" s="26" t="s">
        <v>491</v>
      </c>
      <c r="H1032" s="26">
        <v>1</v>
      </c>
      <c r="I1032" s="26">
        <v>5</v>
      </c>
      <c r="J1032" s="26">
        <v>1</v>
      </c>
      <c r="K1032" s="26">
        <v>138</v>
      </c>
      <c r="L1032" s="26" t="s">
        <v>28</v>
      </c>
      <c r="M1032" s="27">
        <v>1822</v>
      </c>
      <c r="N1032" s="30">
        <v>366003.6</v>
      </c>
      <c r="O1032" s="26" t="s">
        <v>29</v>
      </c>
      <c r="P1032" s="29"/>
      <c r="Q1032" s="6"/>
      <c r="R1032" s="29"/>
      <c r="S1032" s="10"/>
      <c r="T1032" s="8">
        <v>1</v>
      </c>
    </row>
    <row r="1033" spans="1:20" ht="15.75" customHeight="1" x14ac:dyDescent="0.35">
      <c r="A1033" s="25" t="s">
        <v>1304</v>
      </c>
      <c r="B1033" s="25" t="s">
        <v>1408</v>
      </c>
      <c r="C1033" s="26">
        <v>116450</v>
      </c>
      <c r="D1033" s="25" t="s">
        <v>1425</v>
      </c>
      <c r="E1033" s="25" t="s">
        <v>1426</v>
      </c>
      <c r="F1033" s="26" t="s">
        <v>491</v>
      </c>
      <c r="G1033" s="26" t="s">
        <v>491</v>
      </c>
      <c r="H1033" s="26"/>
      <c r="I1033" s="26"/>
      <c r="J1033" s="26">
        <v>1</v>
      </c>
      <c r="K1033" s="26">
        <v>138</v>
      </c>
      <c r="L1033" s="26" t="s">
        <v>28</v>
      </c>
      <c r="M1033" s="27">
        <v>1820</v>
      </c>
      <c r="N1033" s="28"/>
      <c r="O1033" s="26" t="s">
        <v>29</v>
      </c>
      <c r="P1033" s="29"/>
      <c r="Q1033" s="6"/>
      <c r="R1033" s="29"/>
      <c r="S1033" s="10"/>
      <c r="T1033" s="8"/>
    </row>
    <row r="1034" spans="1:20" ht="15.75" customHeight="1" x14ac:dyDescent="0.35">
      <c r="A1034" s="25" t="s">
        <v>1304</v>
      </c>
      <c r="B1034" s="25" t="s">
        <v>1408</v>
      </c>
      <c r="C1034" s="26">
        <v>116675</v>
      </c>
      <c r="D1034" s="25" t="s">
        <v>1427</v>
      </c>
      <c r="E1034" s="25" t="s">
        <v>1428</v>
      </c>
      <c r="F1034" s="26" t="s">
        <v>466</v>
      </c>
      <c r="G1034" s="26" t="s">
        <v>466</v>
      </c>
      <c r="H1034" s="26">
        <v>1</v>
      </c>
      <c r="I1034" s="26">
        <v>1</v>
      </c>
      <c r="J1034" s="26">
        <v>1</v>
      </c>
      <c r="K1034" s="26">
        <v>138</v>
      </c>
      <c r="L1034" s="26" t="s">
        <v>28</v>
      </c>
      <c r="M1034" s="27">
        <v>1833</v>
      </c>
      <c r="N1034" s="30">
        <v>108102.06</v>
      </c>
      <c r="O1034" s="26" t="s">
        <v>29</v>
      </c>
      <c r="P1034" s="29"/>
      <c r="Q1034" s="6"/>
      <c r="R1034" s="29"/>
      <c r="S1034" s="10"/>
      <c r="T1034" s="8">
        <v>1</v>
      </c>
    </row>
    <row r="1035" spans="1:20" ht="15.75" customHeight="1" x14ac:dyDescent="0.35">
      <c r="A1035" s="25" t="s">
        <v>1304</v>
      </c>
      <c r="B1035" s="25" t="s">
        <v>1408</v>
      </c>
      <c r="C1035" s="26">
        <v>116706</v>
      </c>
      <c r="D1035" s="25" t="s">
        <v>1429</v>
      </c>
      <c r="E1035" s="25" t="s">
        <v>1430</v>
      </c>
      <c r="F1035" s="26" t="s">
        <v>555</v>
      </c>
      <c r="G1035" s="26" t="s">
        <v>555</v>
      </c>
      <c r="H1035" s="26"/>
      <c r="I1035" s="26"/>
      <c r="J1035" s="26">
        <v>1</v>
      </c>
      <c r="K1035" s="26">
        <v>138</v>
      </c>
      <c r="L1035" s="26" t="s">
        <v>28</v>
      </c>
      <c r="M1035" s="27">
        <v>1830</v>
      </c>
      <c r="N1035" s="28"/>
      <c r="O1035" s="26" t="s">
        <v>29</v>
      </c>
      <c r="P1035" s="29"/>
      <c r="Q1035" s="6"/>
      <c r="R1035" s="29"/>
      <c r="S1035" s="10"/>
      <c r="T1035" s="8"/>
    </row>
    <row r="1036" spans="1:20" ht="15.75" customHeight="1" x14ac:dyDescent="0.35">
      <c r="A1036" s="25" t="s">
        <v>1304</v>
      </c>
      <c r="B1036" s="25" t="s">
        <v>1408</v>
      </c>
      <c r="C1036" s="26">
        <v>116731</v>
      </c>
      <c r="D1036" s="25" t="s">
        <v>1431</v>
      </c>
      <c r="E1036" s="25" t="s">
        <v>1432</v>
      </c>
      <c r="F1036" s="26" t="s">
        <v>215</v>
      </c>
      <c r="G1036" s="26" t="s">
        <v>215</v>
      </c>
      <c r="H1036" s="26">
        <v>1</v>
      </c>
      <c r="I1036" s="26">
        <v>4</v>
      </c>
      <c r="J1036" s="26">
        <v>1</v>
      </c>
      <c r="K1036" s="26">
        <v>138</v>
      </c>
      <c r="L1036" s="26" t="s">
        <v>28</v>
      </c>
      <c r="M1036" s="27">
        <v>1817</v>
      </c>
      <c r="N1036" s="30">
        <v>278988.15999999997</v>
      </c>
      <c r="O1036" s="26" t="s">
        <v>29</v>
      </c>
      <c r="P1036" s="29"/>
      <c r="Q1036" s="6"/>
      <c r="R1036" s="29"/>
      <c r="S1036" s="10"/>
      <c r="T1036" s="8">
        <v>1</v>
      </c>
    </row>
    <row r="1037" spans="1:20" ht="15.75" customHeight="1" x14ac:dyDescent="0.35">
      <c r="A1037" s="25" t="s">
        <v>1304</v>
      </c>
      <c r="B1037" s="25" t="s">
        <v>1408</v>
      </c>
      <c r="C1037" s="26">
        <v>180017</v>
      </c>
      <c r="D1037" s="25" t="s">
        <v>1433</v>
      </c>
      <c r="E1037" s="25" t="s">
        <v>1426</v>
      </c>
      <c r="F1037" s="26" t="s">
        <v>491</v>
      </c>
      <c r="G1037" s="26" t="s">
        <v>491</v>
      </c>
      <c r="H1037" s="26">
        <v>1</v>
      </c>
      <c r="I1037" s="26">
        <v>2</v>
      </c>
      <c r="J1037" s="26">
        <v>1</v>
      </c>
      <c r="K1037" s="26">
        <v>138</v>
      </c>
      <c r="L1037" s="26" t="s">
        <v>28</v>
      </c>
      <c r="M1037" s="27">
        <v>1819</v>
      </c>
      <c r="N1037" s="30">
        <v>161809.47</v>
      </c>
      <c r="O1037" s="26" t="s">
        <v>29</v>
      </c>
      <c r="P1037" s="29"/>
      <c r="Q1037" s="6"/>
      <c r="R1037" s="29"/>
      <c r="S1037" s="10"/>
      <c r="T1037" s="8">
        <v>1</v>
      </c>
    </row>
    <row r="1038" spans="1:20" ht="15.75" customHeight="1" x14ac:dyDescent="0.35">
      <c r="A1038" s="25" t="s">
        <v>1304</v>
      </c>
      <c r="B1038" s="25" t="s">
        <v>1408</v>
      </c>
      <c r="C1038" s="26">
        <v>180027</v>
      </c>
      <c r="D1038" s="25" t="s">
        <v>1434</v>
      </c>
      <c r="E1038" s="25" t="s">
        <v>1426</v>
      </c>
      <c r="F1038" s="26" t="s">
        <v>491</v>
      </c>
      <c r="G1038" s="26" t="s">
        <v>491</v>
      </c>
      <c r="H1038" s="26"/>
      <c r="I1038" s="26"/>
      <c r="J1038" s="26">
        <v>1</v>
      </c>
      <c r="K1038" s="26">
        <v>138</v>
      </c>
      <c r="L1038" s="26" t="s">
        <v>28</v>
      </c>
      <c r="M1038" s="27">
        <v>1826</v>
      </c>
      <c r="N1038" s="28"/>
      <c r="O1038" s="26" t="s">
        <v>29</v>
      </c>
      <c r="P1038" s="29"/>
      <c r="Q1038" s="6"/>
      <c r="R1038" s="29"/>
      <c r="S1038" s="10"/>
      <c r="T1038" s="8"/>
    </row>
    <row r="1039" spans="1:20" ht="15.75" customHeight="1" x14ac:dyDescent="0.35">
      <c r="A1039" s="25" t="s">
        <v>1304</v>
      </c>
      <c r="B1039" s="25" t="s">
        <v>1408</v>
      </c>
      <c r="C1039" s="26">
        <v>180028</v>
      </c>
      <c r="D1039" s="25" t="s">
        <v>1435</v>
      </c>
      <c r="E1039" s="25" t="s">
        <v>1426</v>
      </c>
      <c r="F1039" s="26" t="s">
        <v>491</v>
      </c>
      <c r="G1039" s="26" t="s">
        <v>491</v>
      </c>
      <c r="H1039" s="26"/>
      <c r="I1039" s="26"/>
      <c r="J1039" s="26">
        <v>1</v>
      </c>
      <c r="K1039" s="26">
        <v>138</v>
      </c>
      <c r="L1039" s="26" t="s">
        <v>28</v>
      </c>
      <c r="M1039" s="27">
        <v>1827</v>
      </c>
      <c r="N1039" s="28"/>
      <c r="O1039" s="26" t="s">
        <v>29</v>
      </c>
      <c r="P1039" s="29"/>
      <c r="Q1039" s="6"/>
      <c r="R1039" s="29"/>
      <c r="S1039" s="10"/>
      <c r="T1039" s="8"/>
    </row>
    <row r="1040" spans="1:20" ht="15.75" customHeight="1" x14ac:dyDescent="0.35">
      <c r="A1040" s="25" t="s">
        <v>1304</v>
      </c>
      <c r="B1040" s="25" t="s">
        <v>1408</v>
      </c>
      <c r="C1040" s="26">
        <v>180034</v>
      </c>
      <c r="D1040" s="25" t="s">
        <v>1436</v>
      </c>
      <c r="E1040" s="25" t="s">
        <v>1414</v>
      </c>
      <c r="F1040" s="26" t="s">
        <v>555</v>
      </c>
      <c r="G1040" s="26" t="s">
        <v>555</v>
      </c>
      <c r="H1040" s="26"/>
      <c r="I1040" s="26"/>
      <c r="J1040" s="26">
        <v>1</v>
      </c>
      <c r="K1040" s="26">
        <v>138</v>
      </c>
      <c r="L1040" s="26" t="s">
        <v>28</v>
      </c>
      <c r="M1040" s="27">
        <v>1829</v>
      </c>
      <c r="N1040" s="28"/>
      <c r="O1040" s="26" t="s">
        <v>29</v>
      </c>
      <c r="P1040" s="29"/>
      <c r="Q1040" s="6"/>
      <c r="R1040" s="29"/>
      <c r="S1040" s="10"/>
      <c r="T1040" s="8"/>
    </row>
    <row r="1041" spans="1:20" ht="15.75" customHeight="1" x14ac:dyDescent="0.35">
      <c r="A1041" s="25" t="s">
        <v>1304</v>
      </c>
      <c r="B1041" s="25" t="s">
        <v>1408</v>
      </c>
      <c r="C1041" s="26">
        <v>180036</v>
      </c>
      <c r="D1041" s="25" t="s">
        <v>1437</v>
      </c>
      <c r="E1041" s="25" t="s">
        <v>1438</v>
      </c>
      <c r="F1041" s="26" t="s">
        <v>555</v>
      </c>
      <c r="G1041" s="26" t="s">
        <v>555</v>
      </c>
      <c r="H1041" s="26"/>
      <c r="I1041" s="26"/>
      <c r="J1041" s="26">
        <v>1</v>
      </c>
      <c r="K1041" s="26">
        <v>138</v>
      </c>
      <c r="L1041" s="26" t="s">
        <v>28</v>
      </c>
      <c r="M1041" s="27">
        <v>1831</v>
      </c>
      <c r="N1041" s="28"/>
      <c r="O1041" s="26" t="s">
        <v>29</v>
      </c>
      <c r="P1041" s="29"/>
      <c r="Q1041" s="6"/>
      <c r="R1041" s="29"/>
      <c r="S1041" s="10"/>
      <c r="T1041" s="8"/>
    </row>
    <row r="1042" spans="1:20" ht="15.75" customHeight="1" x14ac:dyDescent="0.35">
      <c r="A1042" s="25" t="s">
        <v>1304</v>
      </c>
      <c r="B1042" s="25" t="s">
        <v>1408</v>
      </c>
      <c r="C1042" s="26">
        <v>180044</v>
      </c>
      <c r="D1042" s="25" t="s">
        <v>1439</v>
      </c>
      <c r="E1042" s="25" t="s">
        <v>1432</v>
      </c>
      <c r="F1042" s="26" t="s">
        <v>215</v>
      </c>
      <c r="G1042" s="26" t="s">
        <v>215</v>
      </c>
      <c r="H1042" s="26">
        <v>1</v>
      </c>
      <c r="I1042" s="26">
        <v>3</v>
      </c>
      <c r="J1042" s="26">
        <v>1</v>
      </c>
      <c r="K1042" s="26">
        <v>138</v>
      </c>
      <c r="L1042" s="26" t="s">
        <v>28</v>
      </c>
      <c r="M1042" s="27">
        <v>1818</v>
      </c>
      <c r="N1042" s="30">
        <v>208479</v>
      </c>
      <c r="O1042" s="26" t="s">
        <v>29</v>
      </c>
      <c r="P1042" s="29"/>
      <c r="Q1042" s="6"/>
      <c r="R1042" s="29"/>
      <c r="S1042" s="10"/>
      <c r="T1042" s="8">
        <v>1</v>
      </c>
    </row>
    <row r="1043" spans="1:20" ht="15.75" customHeight="1" x14ac:dyDescent="0.35">
      <c r="A1043" s="25" t="s">
        <v>1304</v>
      </c>
      <c r="B1043" s="25" t="s">
        <v>1408</v>
      </c>
      <c r="C1043" s="26">
        <v>180045</v>
      </c>
      <c r="D1043" s="25" t="s">
        <v>1440</v>
      </c>
      <c r="E1043" s="25" t="s">
        <v>1419</v>
      </c>
      <c r="F1043" s="26" t="s">
        <v>466</v>
      </c>
      <c r="G1043" s="26" t="s">
        <v>466</v>
      </c>
      <c r="H1043" s="26"/>
      <c r="I1043" s="26"/>
      <c r="J1043" s="26">
        <v>1</v>
      </c>
      <c r="K1043" s="26">
        <v>138</v>
      </c>
      <c r="L1043" s="26" t="s">
        <v>28</v>
      </c>
      <c r="M1043" s="27">
        <v>1835</v>
      </c>
      <c r="N1043" s="28"/>
      <c r="O1043" s="26" t="s">
        <v>29</v>
      </c>
      <c r="P1043" s="29"/>
      <c r="Q1043" s="6"/>
      <c r="R1043" s="29"/>
      <c r="S1043" s="10"/>
      <c r="T1043" s="8"/>
    </row>
    <row r="1044" spans="1:20" ht="15.75" customHeight="1" x14ac:dyDescent="0.35">
      <c r="A1044" s="25" t="s">
        <v>1304</v>
      </c>
      <c r="B1044" s="25" t="s">
        <v>1441</v>
      </c>
      <c r="C1044" s="26">
        <v>117831</v>
      </c>
      <c r="D1044" s="25" t="s">
        <v>1442</v>
      </c>
      <c r="E1044" s="25" t="s">
        <v>1443</v>
      </c>
      <c r="F1044" s="26" t="s">
        <v>469</v>
      </c>
      <c r="G1044" s="26" t="s">
        <v>469</v>
      </c>
      <c r="H1044" s="26">
        <v>1</v>
      </c>
      <c r="I1044" s="26">
        <v>4</v>
      </c>
      <c r="J1044" s="26">
        <v>1</v>
      </c>
      <c r="K1044" s="26">
        <v>138</v>
      </c>
      <c r="L1044" s="26" t="s">
        <v>28</v>
      </c>
      <c r="M1044" s="27">
        <v>936</v>
      </c>
      <c r="N1044" s="28">
        <v>327426.32</v>
      </c>
      <c r="O1044" s="26" t="s">
        <v>29</v>
      </c>
      <c r="P1044" s="29"/>
      <c r="Q1044" s="6"/>
      <c r="R1044" s="29"/>
      <c r="S1044" s="10"/>
      <c r="T1044" s="8">
        <v>1</v>
      </c>
    </row>
    <row r="1045" spans="1:20" ht="15.75" customHeight="1" x14ac:dyDescent="0.35">
      <c r="A1045" s="25" t="s">
        <v>1304</v>
      </c>
      <c r="B1045" s="25" t="s">
        <v>1441</v>
      </c>
      <c r="C1045" s="26">
        <v>117832</v>
      </c>
      <c r="D1045" s="25" t="s">
        <v>1444</v>
      </c>
      <c r="E1045" s="25" t="s">
        <v>1443</v>
      </c>
      <c r="F1045" s="26" t="s">
        <v>469</v>
      </c>
      <c r="G1045" s="26" t="s">
        <v>469</v>
      </c>
      <c r="H1045" s="26"/>
      <c r="I1045" s="26"/>
      <c r="J1045" s="26">
        <v>1</v>
      </c>
      <c r="K1045" s="26">
        <v>138</v>
      </c>
      <c r="L1045" s="26" t="s">
        <v>28</v>
      </c>
      <c r="M1045" s="27">
        <v>938</v>
      </c>
      <c r="N1045" s="28"/>
      <c r="O1045" s="26" t="s">
        <v>29</v>
      </c>
      <c r="P1045" s="29"/>
      <c r="Q1045" s="6"/>
      <c r="R1045" s="29"/>
      <c r="S1045" s="10"/>
      <c r="T1045" s="8"/>
    </row>
    <row r="1046" spans="1:20" ht="15.75" customHeight="1" x14ac:dyDescent="0.35">
      <c r="A1046" s="25" t="s">
        <v>1304</v>
      </c>
      <c r="B1046" s="25" t="s">
        <v>1441</v>
      </c>
      <c r="C1046" s="26">
        <v>117845</v>
      </c>
      <c r="D1046" s="25" t="s">
        <v>1445</v>
      </c>
      <c r="E1046" s="25" t="s">
        <v>1443</v>
      </c>
      <c r="F1046" s="26" t="s">
        <v>469</v>
      </c>
      <c r="G1046" s="26" t="s">
        <v>469</v>
      </c>
      <c r="H1046" s="26"/>
      <c r="I1046" s="26"/>
      <c r="J1046" s="26">
        <v>1</v>
      </c>
      <c r="K1046" s="26">
        <v>138</v>
      </c>
      <c r="L1046" s="26" t="s">
        <v>28</v>
      </c>
      <c r="M1046" s="27">
        <v>945</v>
      </c>
      <c r="N1046" s="28"/>
      <c r="O1046" s="26" t="s">
        <v>29</v>
      </c>
      <c r="P1046" s="29"/>
      <c r="Q1046" s="6"/>
      <c r="R1046" s="29"/>
      <c r="S1046" s="10"/>
      <c r="T1046" s="8"/>
    </row>
    <row r="1047" spans="1:20" ht="15.75" customHeight="1" x14ac:dyDescent="0.35">
      <c r="A1047" s="25" t="s">
        <v>1304</v>
      </c>
      <c r="B1047" s="25" t="s">
        <v>1441</v>
      </c>
      <c r="C1047" s="26">
        <v>117866</v>
      </c>
      <c r="D1047" s="25" t="s">
        <v>1446</v>
      </c>
      <c r="E1047" s="25" t="s">
        <v>1443</v>
      </c>
      <c r="F1047" s="26" t="s">
        <v>469</v>
      </c>
      <c r="G1047" s="26" t="s">
        <v>469</v>
      </c>
      <c r="H1047" s="26">
        <v>1</v>
      </c>
      <c r="I1047" s="26">
        <v>6</v>
      </c>
      <c r="J1047" s="26">
        <v>1</v>
      </c>
      <c r="K1047" s="26">
        <v>138</v>
      </c>
      <c r="L1047" s="26" t="s">
        <v>28</v>
      </c>
      <c r="M1047" s="27">
        <v>946</v>
      </c>
      <c r="N1047" s="28">
        <v>377135.42</v>
      </c>
      <c r="O1047" s="26" t="s">
        <v>29</v>
      </c>
      <c r="P1047" s="29"/>
      <c r="Q1047" s="6"/>
      <c r="R1047" s="29"/>
      <c r="S1047" s="10"/>
      <c r="T1047" s="8">
        <v>1</v>
      </c>
    </row>
    <row r="1048" spans="1:20" ht="15.75" customHeight="1" x14ac:dyDescent="0.35">
      <c r="A1048" s="25" t="s">
        <v>1304</v>
      </c>
      <c r="B1048" s="25" t="s">
        <v>1441</v>
      </c>
      <c r="C1048" s="26">
        <v>117868</v>
      </c>
      <c r="D1048" s="25" t="s">
        <v>1447</v>
      </c>
      <c r="E1048" s="25" t="s">
        <v>1443</v>
      </c>
      <c r="F1048" s="26" t="s">
        <v>469</v>
      </c>
      <c r="G1048" s="26" t="s">
        <v>469</v>
      </c>
      <c r="H1048" s="26">
        <v>1</v>
      </c>
      <c r="I1048" s="26">
        <v>5</v>
      </c>
      <c r="J1048" s="26">
        <v>1</v>
      </c>
      <c r="K1048" s="26">
        <v>138</v>
      </c>
      <c r="L1048" s="26" t="s">
        <v>28</v>
      </c>
      <c r="M1048" s="27">
        <v>948</v>
      </c>
      <c r="N1048" s="28">
        <v>201772.03</v>
      </c>
      <c r="O1048" s="26" t="s">
        <v>29</v>
      </c>
      <c r="P1048" s="29"/>
      <c r="Q1048" s="6"/>
      <c r="R1048" s="29"/>
      <c r="S1048" s="10"/>
      <c r="T1048" s="8">
        <v>1</v>
      </c>
    </row>
    <row r="1049" spans="1:20" ht="15.75" customHeight="1" x14ac:dyDescent="0.35">
      <c r="A1049" s="25" t="s">
        <v>1304</v>
      </c>
      <c r="B1049" s="25" t="s">
        <v>1441</v>
      </c>
      <c r="C1049" s="26">
        <v>117873</v>
      </c>
      <c r="D1049" s="25" t="s">
        <v>1448</v>
      </c>
      <c r="E1049" s="25" t="s">
        <v>1443</v>
      </c>
      <c r="F1049" s="26" t="s">
        <v>469</v>
      </c>
      <c r="G1049" s="26" t="s">
        <v>469</v>
      </c>
      <c r="H1049" s="26"/>
      <c r="I1049" s="26"/>
      <c r="J1049" s="26">
        <v>1</v>
      </c>
      <c r="K1049" s="26">
        <v>138</v>
      </c>
      <c r="L1049" s="26" t="s">
        <v>28</v>
      </c>
      <c r="M1049" s="27">
        <v>937</v>
      </c>
      <c r="N1049" s="28"/>
      <c r="O1049" s="26" t="s">
        <v>29</v>
      </c>
      <c r="P1049" s="29"/>
      <c r="Q1049" s="6"/>
      <c r="R1049" s="29"/>
      <c r="S1049" s="10"/>
      <c r="T1049" s="8"/>
    </row>
    <row r="1050" spans="1:20" ht="15.75" customHeight="1" x14ac:dyDescent="0.35">
      <c r="A1050" s="25" t="s">
        <v>1304</v>
      </c>
      <c r="B1050" s="25" t="s">
        <v>1441</v>
      </c>
      <c r="C1050" s="26">
        <v>117878</v>
      </c>
      <c r="D1050" s="25" t="s">
        <v>1449</v>
      </c>
      <c r="E1050" s="25" t="s">
        <v>1443</v>
      </c>
      <c r="F1050" s="26" t="s">
        <v>469</v>
      </c>
      <c r="G1050" s="26" t="s">
        <v>469</v>
      </c>
      <c r="H1050" s="26">
        <v>1</v>
      </c>
      <c r="I1050" s="26">
        <v>1</v>
      </c>
      <c r="J1050" s="26">
        <v>1</v>
      </c>
      <c r="K1050" s="26">
        <v>138</v>
      </c>
      <c r="L1050" s="26" t="s">
        <v>28</v>
      </c>
      <c r="M1050" s="27">
        <v>939</v>
      </c>
      <c r="N1050" s="28">
        <v>103109.53</v>
      </c>
      <c r="O1050" s="26" t="s">
        <v>29</v>
      </c>
      <c r="P1050" s="29"/>
      <c r="Q1050" s="6"/>
      <c r="R1050" s="29"/>
      <c r="S1050" s="10"/>
      <c r="T1050" s="8">
        <v>1</v>
      </c>
    </row>
    <row r="1051" spans="1:20" ht="15.75" customHeight="1" x14ac:dyDescent="0.35">
      <c r="A1051" s="25" t="s">
        <v>1304</v>
      </c>
      <c r="B1051" s="25" t="s">
        <v>1441</v>
      </c>
      <c r="C1051" s="26">
        <v>117879</v>
      </c>
      <c r="D1051" s="25" t="s">
        <v>1450</v>
      </c>
      <c r="E1051" s="25" t="s">
        <v>1443</v>
      </c>
      <c r="F1051" s="26" t="s">
        <v>469</v>
      </c>
      <c r="G1051" s="26" t="s">
        <v>469</v>
      </c>
      <c r="H1051" s="26"/>
      <c r="I1051" s="26"/>
      <c r="J1051" s="26">
        <v>1</v>
      </c>
      <c r="K1051" s="26">
        <v>138</v>
      </c>
      <c r="L1051" s="26" t="s">
        <v>28</v>
      </c>
      <c r="M1051" s="27">
        <v>940</v>
      </c>
      <c r="N1051" s="28"/>
      <c r="O1051" s="26" t="s">
        <v>29</v>
      </c>
      <c r="P1051" s="29"/>
      <c r="Q1051" s="6"/>
      <c r="R1051" s="29"/>
      <c r="S1051" s="10"/>
      <c r="T1051" s="8"/>
    </row>
    <row r="1052" spans="1:20" ht="15.75" customHeight="1" x14ac:dyDescent="0.35">
      <c r="A1052" s="25" t="s">
        <v>1304</v>
      </c>
      <c r="B1052" s="25" t="s">
        <v>1441</v>
      </c>
      <c r="C1052" s="26">
        <v>117883</v>
      </c>
      <c r="D1052" s="25" t="s">
        <v>1451</v>
      </c>
      <c r="E1052" s="25" t="s">
        <v>1443</v>
      </c>
      <c r="F1052" s="26" t="s">
        <v>469</v>
      </c>
      <c r="G1052" s="26" t="s">
        <v>469</v>
      </c>
      <c r="H1052" s="26">
        <v>1</v>
      </c>
      <c r="I1052" s="26">
        <v>7</v>
      </c>
      <c r="J1052" s="26">
        <v>1</v>
      </c>
      <c r="K1052" s="26">
        <v>138</v>
      </c>
      <c r="L1052" s="26" t="s">
        <v>28</v>
      </c>
      <c r="M1052" s="27">
        <v>942</v>
      </c>
      <c r="N1052" s="28">
        <v>375014.12</v>
      </c>
      <c r="O1052" s="26" t="s">
        <v>29</v>
      </c>
      <c r="P1052" s="29"/>
      <c r="Q1052" s="6"/>
      <c r="R1052" s="29"/>
      <c r="S1052" s="10"/>
      <c r="T1052" s="8">
        <v>1</v>
      </c>
    </row>
    <row r="1053" spans="1:20" ht="15.75" customHeight="1" x14ac:dyDescent="0.35">
      <c r="A1053" s="25" t="s">
        <v>1304</v>
      </c>
      <c r="B1053" s="25" t="s">
        <v>1441</v>
      </c>
      <c r="C1053" s="26">
        <v>117888</v>
      </c>
      <c r="D1053" s="25" t="s">
        <v>1452</v>
      </c>
      <c r="E1053" s="25" t="s">
        <v>1443</v>
      </c>
      <c r="F1053" s="26" t="s">
        <v>469</v>
      </c>
      <c r="G1053" s="26" t="s">
        <v>469</v>
      </c>
      <c r="H1053" s="26">
        <v>1</v>
      </c>
      <c r="I1053" s="26">
        <v>5</v>
      </c>
      <c r="J1053" s="26">
        <v>1</v>
      </c>
      <c r="K1053" s="26">
        <v>138</v>
      </c>
      <c r="L1053" s="26" t="s">
        <v>28</v>
      </c>
      <c r="M1053" s="27">
        <v>944</v>
      </c>
      <c r="N1053" s="28">
        <v>233902.03</v>
      </c>
      <c r="O1053" s="26" t="s">
        <v>29</v>
      </c>
      <c r="P1053" s="29"/>
      <c r="Q1053" s="6"/>
      <c r="R1053" s="29"/>
      <c r="S1053" s="10"/>
      <c r="T1053" s="8">
        <v>1</v>
      </c>
    </row>
    <row r="1054" spans="1:20" ht="15.75" customHeight="1" x14ac:dyDescent="0.35">
      <c r="A1054" s="25" t="s">
        <v>1304</v>
      </c>
      <c r="B1054" s="25" t="s">
        <v>1441</v>
      </c>
      <c r="C1054" s="26">
        <v>117891</v>
      </c>
      <c r="D1054" s="25" t="s">
        <v>1453</v>
      </c>
      <c r="E1054" s="25" t="s">
        <v>1443</v>
      </c>
      <c r="F1054" s="26" t="s">
        <v>469</v>
      </c>
      <c r="G1054" s="26" t="s">
        <v>469</v>
      </c>
      <c r="H1054" s="26">
        <v>1</v>
      </c>
      <c r="I1054" s="26">
        <v>1</v>
      </c>
      <c r="J1054" s="26">
        <v>1</v>
      </c>
      <c r="K1054" s="26">
        <v>138</v>
      </c>
      <c r="L1054" s="26" t="s">
        <v>28</v>
      </c>
      <c r="M1054" s="27">
        <v>947</v>
      </c>
      <c r="N1054" s="28">
        <v>77360.33</v>
      </c>
      <c r="O1054" s="26" t="s">
        <v>29</v>
      </c>
      <c r="P1054" s="29"/>
      <c r="Q1054" s="6"/>
      <c r="R1054" s="29"/>
      <c r="S1054" s="10"/>
      <c r="T1054" s="8">
        <v>1</v>
      </c>
    </row>
    <row r="1055" spans="1:20" ht="15.75" customHeight="1" x14ac:dyDescent="0.35">
      <c r="A1055" s="25" t="s">
        <v>1304</v>
      </c>
      <c r="B1055" s="25" t="s">
        <v>1441</v>
      </c>
      <c r="C1055" s="26">
        <v>185501</v>
      </c>
      <c r="D1055" s="25" t="s">
        <v>1454</v>
      </c>
      <c r="E1055" s="25" t="s">
        <v>1443</v>
      </c>
      <c r="F1055" s="26" t="s">
        <v>469</v>
      </c>
      <c r="G1055" s="26" t="s">
        <v>469</v>
      </c>
      <c r="H1055" s="26">
        <v>1</v>
      </c>
      <c r="I1055" s="26">
        <v>13</v>
      </c>
      <c r="J1055" s="26">
        <v>1</v>
      </c>
      <c r="K1055" s="26">
        <v>138</v>
      </c>
      <c r="L1055" s="26" t="s">
        <v>28</v>
      </c>
      <c r="M1055" s="27">
        <v>941</v>
      </c>
      <c r="N1055" s="28">
        <v>575339.29</v>
      </c>
      <c r="O1055" s="26" t="s">
        <v>29</v>
      </c>
      <c r="P1055" s="29"/>
      <c r="Q1055" s="6"/>
      <c r="R1055" s="29"/>
      <c r="S1055" s="10"/>
      <c r="T1055" s="8">
        <v>1</v>
      </c>
    </row>
    <row r="1056" spans="1:20" ht="15.75" customHeight="1" x14ac:dyDescent="0.35">
      <c r="A1056" s="25" t="s">
        <v>1304</v>
      </c>
      <c r="B1056" s="25" t="s">
        <v>1441</v>
      </c>
      <c r="C1056" s="26">
        <v>185502</v>
      </c>
      <c r="D1056" s="25" t="s">
        <v>1455</v>
      </c>
      <c r="E1056" s="25" t="s">
        <v>1443</v>
      </c>
      <c r="F1056" s="26" t="s">
        <v>469</v>
      </c>
      <c r="G1056" s="26" t="s">
        <v>469</v>
      </c>
      <c r="H1056" s="26">
        <v>1</v>
      </c>
      <c r="I1056" s="26">
        <v>4</v>
      </c>
      <c r="J1056" s="26">
        <v>1</v>
      </c>
      <c r="K1056" s="26">
        <v>138</v>
      </c>
      <c r="L1056" s="26" t="s">
        <v>28</v>
      </c>
      <c r="M1056" s="27">
        <v>943</v>
      </c>
      <c r="N1056" s="28">
        <v>258222.93</v>
      </c>
      <c r="O1056" s="26" t="s">
        <v>29</v>
      </c>
      <c r="P1056" s="29"/>
      <c r="Q1056" s="6"/>
      <c r="R1056" s="29"/>
      <c r="S1056" s="10"/>
      <c r="T1056" s="8">
        <v>1</v>
      </c>
    </row>
    <row r="1057" spans="1:20" ht="15.75" customHeight="1" x14ac:dyDescent="0.35">
      <c r="A1057" s="25" t="s">
        <v>1304</v>
      </c>
      <c r="B1057" s="25" t="s">
        <v>1456</v>
      </c>
      <c r="C1057" s="26">
        <v>116873</v>
      </c>
      <c r="D1057" s="25" t="s">
        <v>1457</v>
      </c>
      <c r="E1057" s="25" t="s">
        <v>1458</v>
      </c>
      <c r="F1057" s="26" t="s">
        <v>466</v>
      </c>
      <c r="G1057" s="26" t="s">
        <v>466</v>
      </c>
      <c r="H1057" s="26"/>
      <c r="I1057" s="26"/>
      <c r="J1057" s="26">
        <v>1</v>
      </c>
      <c r="K1057" s="26">
        <v>138</v>
      </c>
      <c r="L1057" s="26" t="s">
        <v>28</v>
      </c>
      <c r="M1057" s="27">
        <v>969</v>
      </c>
      <c r="N1057" s="28"/>
      <c r="O1057" s="26" t="s">
        <v>29</v>
      </c>
      <c r="P1057" s="29"/>
      <c r="Q1057" s="6"/>
      <c r="R1057" s="29"/>
      <c r="S1057" s="10"/>
      <c r="T1057" s="8"/>
    </row>
    <row r="1058" spans="1:20" ht="15.75" customHeight="1" x14ac:dyDescent="0.35">
      <c r="A1058" s="25" t="s">
        <v>1304</v>
      </c>
      <c r="B1058" s="25" t="s">
        <v>1456</v>
      </c>
      <c r="C1058" s="26">
        <v>116882</v>
      </c>
      <c r="D1058" s="25" t="s">
        <v>1459</v>
      </c>
      <c r="E1058" s="25" t="s">
        <v>1458</v>
      </c>
      <c r="F1058" s="26" t="s">
        <v>466</v>
      </c>
      <c r="G1058" s="26" t="s">
        <v>466</v>
      </c>
      <c r="H1058" s="26"/>
      <c r="I1058" s="26"/>
      <c r="J1058" s="26">
        <v>1</v>
      </c>
      <c r="K1058" s="26">
        <v>138</v>
      </c>
      <c r="L1058" s="26" t="s">
        <v>28</v>
      </c>
      <c r="M1058" s="27">
        <v>961</v>
      </c>
      <c r="N1058" s="28"/>
      <c r="O1058" s="26" t="s">
        <v>29</v>
      </c>
      <c r="P1058" s="29"/>
      <c r="Q1058" s="6"/>
      <c r="R1058" s="29"/>
      <c r="S1058" s="10"/>
      <c r="T1058" s="8"/>
    </row>
    <row r="1059" spans="1:20" ht="15.75" customHeight="1" x14ac:dyDescent="0.35">
      <c r="A1059" s="25" t="s">
        <v>1304</v>
      </c>
      <c r="B1059" s="25" t="s">
        <v>1456</v>
      </c>
      <c r="C1059" s="26">
        <v>116883</v>
      </c>
      <c r="D1059" s="25" t="s">
        <v>1460</v>
      </c>
      <c r="E1059" s="25" t="s">
        <v>1458</v>
      </c>
      <c r="F1059" s="26" t="s">
        <v>466</v>
      </c>
      <c r="G1059" s="26" t="s">
        <v>466</v>
      </c>
      <c r="H1059" s="26"/>
      <c r="I1059" s="26"/>
      <c r="J1059" s="26">
        <v>1</v>
      </c>
      <c r="K1059" s="26">
        <v>138</v>
      </c>
      <c r="L1059" s="26" t="s">
        <v>28</v>
      </c>
      <c r="M1059" s="27">
        <v>963</v>
      </c>
      <c r="N1059" s="28"/>
      <c r="O1059" s="26" t="s">
        <v>29</v>
      </c>
      <c r="P1059" s="29"/>
      <c r="Q1059" s="6"/>
      <c r="R1059" s="29"/>
      <c r="S1059" s="10"/>
      <c r="T1059" s="8"/>
    </row>
    <row r="1060" spans="1:20" ht="15.75" customHeight="1" x14ac:dyDescent="0.35">
      <c r="A1060" s="25" t="s">
        <v>1304</v>
      </c>
      <c r="B1060" s="25" t="s">
        <v>1456</v>
      </c>
      <c r="C1060" s="26">
        <v>116886</v>
      </c>
      <c r="D1060" s="25" t="s">
        <v>1461</v>
      </c>
      <c r="E1060" s="25" t="s">
        <v>1458</v>
      </c>
      <c r="F1060" s="26" t="s">
        <v>466</v>
      </c>
      <c r="G1060" s="26" t="s">
        <v>466</v>
      </c>
      <c r="H1060" s="26"/>
      <c r="I1060" s="26"/>
      <c r="J1060" s="26">
        <v>1</v>
      </c>
      <c r="K1060" s="26">
        <v>138</v>
      </c>
      <c r="L1060" s="26" t="s">
        <v>28</v>
      </c>
      <c r="M1060" s="27">
        <v>970</v>
      </c>
      <c r="N1060" s="28"/>
      <c r="O1060" s="26" t="s">
        <v>29</v>
      </c>
      <c r="P1060" s="29"/>
      <c r="Q1060" s="6"/>
      <c r="R1060" s="29"/>
      <c r="S1060" s="10"/>
      <c r="T1060" s="8"/>
    </row>
    <row r="1061" spans="1:20" ht="15.75" customHeight="1" x14ac:dyDescent="0.35">
      <c r="A1061" s="25" t="s">
        <v>1304</v>
      </c>
      <c r="B1061" s="25" t="s">
        <v>1456</v>
      </c>
      <c r="C1061" s="26">
        <v>116888</v>
      </c>
      <c r="D1061" s="25" t="s">
        <v>1462</v>
      </c>
      <c r="E1061" s="25" t="s">
        <v>1458</v>
      </c>
      <c r="F1061" s="26" t="s">
        <v>466</v>
      </c>
      <c r="G1061" s="26" t="s">
        <v>466</v>
      </c>
      <c r="H1061" s="26"/>
      <c r="I1061" s="26"/>
      <c r="J1061" s="26">
        <v>1</v>
      </c>
      <c r="K1061" s="26">
        <v>138</v>
      </c>
      <c r="L1061" s="26" t="s">
        <v>28</v>
      </c>
      <c r="M1061" s="27">
        <v>972</v>
      </c>
      <c r="N1061" s="28"/>
      <c r="O1061" s="26" t="s">
        <v>29</v>
      </c>
      <c r="P1061" s="29"/>
      <c r="Q1061" s="6"/>
      <c r="R1061" s="29"/>
      <c r="S1061" s="10"/>
      <c r="T1061" s="8"/>
    </row>
    <row r="1062" spans="1:20" ht="15.75" customHeight="1" x14ac:dyDescent="0.35">
      <c r="A1062" s="25" t="s">
        <v>1304</v>
      </c>
      <c r="B1062" s="25" t="s">
        <v>1456</v>
      </c>
      <c r="C1062" s="26">
        <v>116903</v>
      </c>
      <c r="D1062" s="25" t="s">
        <v>1463</v>
      </c>
      <c r="E1062" s="25" t="s">
        <v>1464</v>
      </c>
      <c r="F1062" s="26" t="s">
        <v>215</v>
      </c>
      <c r="G1062" s="26" t="s">
        <v>215</v>
      </c>
      <c r="H1062" s="26"/>
      <c r="I1062" s="26"/>
      <c r="J1062" s="26">
        <v>1</v>
      </c>
      <c r="K1062" s="26">
        <v>138</v>
      </c>
      <c r="L1062" s="26" t="s">
        <v>28</v>
      </c>
      <c r="M1062" s="27">
        <v>949</v>
      </c>
      <c r="N1062" s="28"/>
      <c r="O1062" s="26" t="s">
        <v>29</v>
      </c>
      <c r="P1062" s="29"/>
      <c r="Q1062" s="6"/>
      <c r="R1062" s="29"/>
      <c r="S1062" s="10"/>
      <c r="T1062" s="8"/>
    </row>
    <row r="1063" spans="1:20" ht="15.75" customHeight="1" x14ac:dyDescent="0.35">
      <c r="A1063" s="25" t="s">
        <v>1304</v>
      </c>
      <c r="B1063" s="25" t="s">
        <v>1456</v>
      </c>
      <c r="C1063" s="26">
        <v>116906</v>
      </c>
      <c r="D1063" s="25" t="s">
        <v>1465</v>
      </c>
      <c r="E1063" s="25" t="s">
        <v>1464</v>
      </c>
      <c r="F1063" s="26" t="s">
        <v>215</v>
      </c>
      <c r="G1063" s="26" t="s">
        <v>215</v>
      </c>
      <c r="H1063" s="26"/>
      <c r="I1063" s="26"/>
      <c r="J1063" s="26">
        <v>1</v>
      </c>
      <c r="K1063" s="26">
        <v>138</v>
      </c>
      <c r="L1063" s="26" t="s">
        <v>28</v>
      </c>
      <c r="M1063" s="27">
        <v>951</v>
      </c>
      <c r="N1063" s="28"/>
      <c r="O1063" s="26" t="s">
        <v>29</v>
      </c>
      <c r="P1063" s="29"/>
      <c r="Q1063" s="6"/>
      <c r="R1063" s="29"/>
      <c r="S1063" s="10"/>
      <c r="T1063" s="8"/>
    </row>
    <row r="1064" spans="1:20" ht="15.75" customHeight="1" x14ac:dyDescent="0.35">
      <c r="A1064" s="25" t="s">
        <v>1304</v>
      </c>
      <c r="B1064" s="25" t="s">
        <v>1456</v>
      </c>
      <c r="C1064" s="26">
        <v>116908</v>
      </c>
      <c r="D1064" s="25" t="s">
        <v>1466</v>
      </c>
      <c r="E1064" s="25" t="s">
        <v>1464</v>
      </c>
      <c r="F1064" s="26" t="s">
        <v>215</v>
      </c>
      <c r="G1064" s="26" t="s">
        <v>215</v>
      </c>
      <c r="H1064" s="26"/>
      <c r="I1064" s="26"/>
      <c r="J1064" s="26">
        <v>1</v>
      </c>
      <c r="K1064" s="26">
        <v>138</v>
      </c>
      <c r="L1064" s="26" t="s">
        <v>28</v>
      </c>
      <c r="M1064" s="27">
        <v>952</v>
      </c>
      <c r="N1064" s="28"/>
      <c r="O1064" s="26" t="s">
        <v>29</v>
      </c>
      <c r="P1064" s="29"/>
      <c r="Q1064" s="6"/>
      <c r="R1064" s="29"/>
      <c r="S1064" s="10"/>
      <c r="T1064" s="8"/>
    </row>
    <row r="1065" spans="1:20" ht="15.75" customHeight="1" x14ac:dyDescent="0.35">
      <c r="A1065" s="25" t="s">
        <v>1304</v>
      </c>
      <c r="B1065" s="25" t="s">
        <v>1456</v>
      </c>
      <c r="C1065" s="26">
        <v>116915</v>
      </c>
      <c r="D1065" s="25" t="s">
        <v>1467</v>
      </c>
      <c r="E1065" s="25" t="s">
        <v>1464</v>
      </c>
      <c r="F1065" s="26" t="s">
        <v>215</v>
      </c>
      <c r="G1065" s="26" t="s">
        <v>215</v>
      </c>
      <c r="H1065" s="26"/>
      <c r="I1065" s="26"/>
      <c r="J1065" s="26">
        <v>1</v>
      </c>
      <c r="K1065" s="26">
        <v>138</v>
      </c>
      <c r="L1065" s="26" t="s">
        <v>28</v>
      </c>
      <c r="M1065" s="27">
        <v>955</v>
      </c>
      <c r="N1065" s="28"/>
      <c r="O1065" s="26" t="s">
        <v>29</v>
      </c>
      <c r="P1065" s="29"/>
      <c r="Q1065" s="6"/>
      <c r="R1065" s="29"/>
      <c r="S1065" s="10"/>
      <c r="T1065" s="8"/>
    </row>
    <row r="1066" spans="1:20" ht="15.75" customHeight="1" x14ac:dyDescent="0.35">
      <c r="A1066" s="25" t="s">
        <v>1304</v>
      </c>
      <c r="B1066" s="25" t="s">
        <v>1456</v>
      </c>
      <c r="C1066" s="26">
        <v>116920</v>
      </c>
      <c r="D1066" s="25" t="s">
        <v>1468</v>
      </c>
      <c r="E1066" s="25" t="s">
        <v>1464</v>
      </c>
      <c r="F1066" s="26" t="s">
        <v>215</v>
      </c>
      <c r="G1066" s="26" t="s">
        <v>215</v>
      </c>
      <c r="H1066" s="26"/>
      <c r="I1066" s="26"/>
      <c r="J1066" s="26">
        <v>1</v>
      </c>
      <c r="K1066" s="26">
        <v>138</v>
      </c>
      <c r="L1066" s="26" t="s">
        <v>28</v>
      </c>
      <c r="M1066" s="27">
        <v>950</v>
      </c>
      <c r="N1066" s="28"/>
      <c r="O1066" s="26" t="s">
        <v>29</v>
      </c>
      <c r="P1066" s="29"/>
      <c r="Q1066" s="6"/>
      <c r="R1066" s="29"/>
      <c r="S1066" s="10"/>
      <c r="T1066" s="8"/>
    </row>
    <row r="1067" spans="1:20" ht="15.75" customHeight="1" x14ac:dyDescent="0.35">
      <c r="A1067" s="25" t="s">
        <v>1304</v>
      </c>
      <c r="B1067" s="25" t="s">
        <v>1456</v>
      </c>
      <c r="C1067" s="26">
        <v>116929</v>
      </c>
      <c r="D1067" s="25" t="s">
        <v>1469</v>
      </c>
      <c r="E1067" s="25" t="s">
        <v>1464</v>
      </c>
      <c r="F1067" s="26" t="s">
        <v>215</v>
      </c>
      <c r="G1067" s="26" t="s">
        <v>215</v>
      </c>
      <c r="H1067" s="26"/>
      <c r="I1067" s="26"/>
      <c r="J1067" s="26">
        <v>1</v>
      </c>
      <c r="K1067" s="26">
        <v>138</v>
      </c>
      <c r="L1067" s="26" t="s">
        <v>28</v>
      </c>
      <c r="M1067" s="27">
        <v>953</v>
      </c>
      <c r="N1067" s="28"/>
      <c r="O1067" s="26" t="s">
        <v>29</v>
      </c>
      <c r="P1067" s="29"/>
      <c r="Q1067" s="6"/>
      <c r="R1067" s="29"/>
      <c r="S1067" s="10"/>
      <c r="T1067" s="8"/>
    </row>
    <row r="1068" spans="1:20" ht="15.75" customHeight="1" x14ac:dyDescent="0.35">
      <c r="A1068" s="25" t="s">
        <v>1304</v>
      </c>
      <c r="B1068" s="25" t="s">
        <v>1456</v>
      </c>
      <c r="C1068" s="26">
        <v>116938</v>
      </c>
      <c r="D1068" s="25" t="s">
        <v>1470</v>
      </c>
      <c r="E1068" s="25" t="s">
        <v>1464</v>
      </c>
      <c r="F1068" s="26" t="s">
        <v>215</v>
      </c>
      <c r="G1068" s="26" t="s">
        <v>215</v>
      </c>
      <c r="H1068" s="26"/>
      <c r="I1068" s="26"/>
      <c r="J1068" s="26">
        <v>1</v>
      </c>
      <c r="K1068" s="26">
        <v>138</v>
      </c>
      <c r="L1068" s="26" t="s">
        <v>28</v>
      </c>
      <c r="M1068" s="27">
        <v>956</v>
      </c>
      <c r="N1068" s="28"/>
      <c r="O1068" s="26" t="s">
        <v>29</v>
      </c>
      <c r="P1068" s="29"/>
      <c r="Q1068" s="6"/>
      <c r="R1068" s="29"/>
      <c r="S1068" s="10"/>
      <c r="T1068" s="8"/>
    </row>
    <row r="1069" spans="1:20" ht="15.75" customHeight="1" x14ac:dyDescent="0.35">
      <c r="A1069" s="25" t="s">
        <v>1304</v>
      </c>
      <c r="B1069" s="25" t="s">
        <v>1456</v>
      </c>
      <c r="C1069" s="26">
        <v>116939</v>
      </c>
      <c r="D1069" s="25" t="s">
        <v>1471</v>
      </c>
      <c r="E1069" s="25" t="s">
        <v>1464</v>
      </c>
      <c r="F1069" s="26" t="s">
        <v>215</v>
      </c>
      <c r="G1069" s="26" t="s">
        <v>215</v>
      </c>
      <c r="H1069" s="26"/>
      <c r="I1069" s="26"/>
      <c r="J1069" s="26">
        <v>1</v>
      </c>
      <c r="K1069" s="26">
        <v>138</v>
      </c>
      <c r="L1069" s="26" t="s">
        <v>28</v>
      </c>
      <c r="M1069" s="27">
        <v>957</v>
      </c>
      <c r="N1069" s="28"/>
      <c r="O1069" s="26" t="s">
        <v>29</v>
      </c>
      <c r="P1069" s="29"/>
      <c r="Q1069" s="6"/>
      <c r="R1069" s="29"/>
      <c r="S1069" s="10"/>
      <c r="T1069" s="8"/>
    </row>
    <row r="1070" spans="1:20" ht="15.75" customHeight="1" x14ac:dyDescent="0.35">
      <c r="A1070" s="25" t="s">
        <v>1304</v>
      </c>
      <c r="B1070" s="25" t="s">
        <v>1456</v>
      </c>
      <c r="C1070" s="26">
        <v>116944</v>
      </c>
      <c r="D1070" s="25" t="s">
        <v>1472</v>
      </c>
      <c r="E1070" s="25" t="s">
        <v>1473</v>
      </c>
      <c r="F1070" s="26" t="s">
        <v>469</v>
      </c>
      <c r="G1070" s="26" t="s">
        <v>469</v>
      </c>
      <c r="H1070" s="26"/>
      <c r="I1070" s="26"/>
      <c r="J1070" s="26">
        <v>1</v>
      </c>
      <c r="K1070" s="26">
        <v>138</v>
      </c>
      <c r="L1070" s="26" t="s">
        <v>28</v>
      </c>
      <c r="M1070" s="27">
        <v>990</v>
      </c>
      <c r="N1070" s="28"/>
      <c r="O1070" s="26" t="s">
        <v>29</v>
      </c>
      <c r="P1070" s="29"/>
      <c r="Q1070" s="6"/>
      <c r="R1070" s="29"/>
      <c r="S1070" s="10"/>
      <c r="T1070" s="8"/>
    </row>
    <row r="1071" spans="1:20" ht="15.75" customHeight="1" x14ac:dyDescent="0.35">
      <c r="A1071" s="25" t="s">
        <v>1304</v>
      </c>
      <c r="B1071" s="25" t="s">
        <v>1456</v>
      </c>
      <c r="C1071" s="26">
        <v>116950</v>
      </c>
      <c r="D1071" s="25" t="s">
        <v>1474</v>
      </c>
      <c r="E1071" s="25" t="s">
        <v>1473</v>
      </c>
      <c r="F1071" s="26" t="s">
        <v>469</v>
      </c>
      <c r="G1071" s="26" t="s">
        <v>469</v>
      </c>
      <c r="H1071" s="26"/>
      <c r="I1071" s="26"/>
      <c r="J1071" s="26">
        <v>1</v>
      </c>
      <c r="K1071" s="26">
        <v>138</v>
      </c>
      <c r="L1071" s="26" t="s">
        <v>28</v>
      </c>
      <c r="M1071" s="27">
        <v>996</v>
      </c>
      <c r="N1071" s="28"/>
      <c r="O1071" s="26" t="s">
        <v>29</v>
      </c>
      <c r="P1071" s="29"/>
      <c r="Q1071" s="6"/>
      <c r="R1071" s="29"/>
      <c r="S1071" s="10"/>
      <c r="T1071" s="8"/>
    </row>
    <row r="1072" spans="1:20" ht="15.75" customHeight="1" x14ac:dyDescent="0.35">
      <c r="A1072" s="25" t="s">
        <v>1304</v>
      </c>
      <c r="B1072" s="25" t="s">
        <v>1456</v>
      </c>
      <c r="C1072" s="26">
        <v>116952</v>
      </c>
      <c r="D1072" s="25" t="s">
        <v>1475</v>
      </c>
      <c r="E1072" s="25" t="s">
        <v>1473</v>
      </c>
      <c r="F1072" s="26" t="s">
        <v>469</v>
      </c>
      <c r="G1072" s="26" t="s">
        <v>469</v>
      </c>
      <c r="H1072" s="26"/>
      <c r="I1072" s="26"/>
      <c r="J1072" s="26">
        <v>1</v>
      </c>
      <c r="K1072" s="26">
        <v>138</v>
      </c>
      <c r="L1072" s="26" t="s">
        <v>28</v>
      </c>
      <c r="M1072" s="27">
        <v>1010</v>
      </c>
      <c r="N1072" s="28"/>
      <c r="O1072" s="26" t="s">
        <v>29</v>
      </c>
      <c r="P1072" s="29"/>
      <c r="Q1072" s="6"/>
      <c r="R1072" s="29"/>
      <c r="S1072" s="10"/>
      <c r="T1072" s="8"/>
    </row>
    <row r="1073" spans="1:20" ht="15.75" customHeight="1" x14ac:dyDescent="0.35">
      <c r="A1073" s="25" t="s">
        <v>1304</v>
      </c>
      <c r="B1073" s="25" t="s">
        <v>1456</v>
      </c>
      <c r="C1073" s="26">
        <v>116954</v>
      </c>
      <c r="D1073" s="25" t="s">
        <v>1476</v>
      </c>
      <c r="E1073" s="25" t="s">
        <v>1473</v>
      </c>
      <c r="F1073" s="26" t="s">
        <v>469</v>
      </c>
      <c r="G1073" s="26" t="s">
        <v>469</v>
      </c>
      <c r="H1073" s="26"/>
      <c r="I1073" s="26"/>
      <c r="J1073" s="26">
        <v>1</v>
      </c>
      <c r="K1073" s="26">
        <v>138</v>
      </c>
      <c r="L1073" s="26" t="s">
        <v>28</v>
      </c>
      <c r="M1073" s="27">
        <v>1015</v>
      </c>
      <c r="N1073" s="28"/>
      <c r="O1073" s="26" t="s">
        <v>29</v>
      </c>
      <c r="P1073" s="29"/>
      <c r="Q1073" s="6"/>
      <c r="R1073" s="29"/>
      <c r="S1073" s="10"/>
      <c r="T1073" s="8"/>
    </row>
    <row r="1074" spans="1:20" ht="15.75" customHeight="1" x14ac:dyDescent="0.35">
      <c r="A1074" s="25" t="s">
        <v>1304</v>
      </c>
      <c r="B1074" s="25" t="s">
        <v>1456</v>
      </c>
      <c r="C1074" s="26">
        <v>116957</v>
      </c>
      <c r="D1074" s="25" t="s">
        <v>1477</v>
      </c>
      <c r="E1074" s="25" t="s">
        <v>1478</v>
      </c>
      <c r="F1074" s="26" t="s">
        <v>469</v>
      </c>
      <c r="G1074" s="26" t="s">
        <v>469</v>
      </c>
      <c r="H1074" s="26"/>
      <c r="I1074" s="26"/>
      <c r="J1074" s="26">
        <v>1</v>
      </c>
      <c r="K1074" s="26">
        <v>138</v>
      </c>
      <c r="L1074" s="26" t="s">
        <v>28</v>
      </c>
      <c r="M1074" s="27">
        <v>982</v>
      </c>
      <c r="N1074" s="28"/>
      <c r="O1074" s="26" t="s">
        <v>29</v>
      </c>
      <c r="P1074" s="29"/>
      <c r="Q1074" s="6"/>
      <c r="R1074" s="29"/>
      <c r="S1074" s="10"/>
      <c r="T1074" s="8"/>
    </row>
    <row r="1075" spans="1:20" ht="15.75" customHeight="1" x14ac:dyDescent="0.35">
      <c r="A1075" s="25" t="s">
        <v>1304</v>
      </c>
      <c r="B1075" s="25" t="s">
        <v>1456</v>
      </c>
      <c r="C1075" s="26">
        <v>116960</v>
      </c>
      <c r="D1075" s="25" t="s">
        <v>1479</v>
      </c>
      <c r="E1075" s="25" t="s">
        <v>1478</v>
      </c>
      <c r="F1075" s="26" t="s">
        <v>469</v>
      </c>
      <c r="G1075" s="26" t="s">
        <v>469</v>
      </c>
      <c r="H1075" s="26"/>
      <c r="I1075" s="26"/>
      <c r="J1075" s="26">
        <v>1</v>
      </c>
      <c r="K1075" s="26">
        <v>138</v>
      </c>
      <c r="L1075" s="26" t="s">
        <v>28</v>
      </c>
      <c r="M1075" s="27">
        <v>988</v>
      </c>
      <c r="N1075" s="28"/>
      <c r="O1075" s="26" t="s">
        <v>29</v>
      </c>
      <c r="P1075" s="29"/>
      <c r="Q1075" s="6"/>
      <c r="R1075" s="29"/>
      <c r="S1075" s="10"/>
      <c r="T1075" s="8"/>
    </row>
    <row r="1076" spans="1:20" ht="15.75" customHeight="1" x14ac:dyDescent="0.35">
      <c r="A1076" s="25" t="s">
        <v>1304</v>
      </c>
      <c r="B1076" s="25" t="s">
        <v>1456</v>
      </c>
      <c r="C1076" s="26">
        <v>116968</v>
      </c>
      <c r="D1076" s="25" t="s">
        <v>394</v>
      </c>
      <c r="E1076" s="25" t="s">
        <v>1478</v>
      </c>
      <c r="F1076" s="26" t="s">
        <v>469</v>
      </c>
      <c r="G1076" s="26" t="s">
        <v>469</v>
      </c>
      <c r="H1076" s="26"/>
      <c r="I1076" s="26"/>
      <c r="J1076" s="26">
        <v>1</v>
      </c>
      <c r="K1076" s="26">
        <v>138</v>
      </c>
      <c r="L1076" s="26" t="s">
        <v>28</v>
      </c>
      <c r="M1076" s="27">
        <v>999</v>
      </c>
      <c r="N1076" s="28"/>
      <c r="O1076" s="26" t="s">
        <v>29</v>
      </c>
      <c r="P1076" s="29"/>
      <c r="Q1076" s="6"/>
      <c r="R1076" s="29"/>
      <c r="S1076" s="10"/>
      <c r="T1076" s="8"/>
    </row>
    <row r="1077" spans="1:20" ht="15.75" customHeight="1" x14ac:dyDescent="0.35">
      <c r="A1077" s="25" t="s">
        <v>1304</v>
      </c>
      <c r="B1077" s="25" t="s">
        <v>1456</v>
      </c>
      <c r="C1077" s="26">
        <v>116970</v>
      </c>
      <c r="D1077" s="25" t="s">
        <v>1480</v>
      </c>
      <c r="E1077" s="25" t="s">
        <v>1478</v>
      </c>
      <c r="F1077" s="26" t="s">
        <v>469</v>
      </c>
      <c r="G1077" s="26" t="s">
        <v>469</v>
      </c>
      <c r="H1077" s="26"/>
      <c r="I1077" s="26"/>
      <c r="J1077" s="26">
        <v>1</v>
      </c>
      <c r="K1077" s="26">
        <v>138</v>
      </c>
      <c r="L1077" s="26" t="s">
        <v>28</v>
      </c>
      <c r="M1077" s="27">
        <v>1000</v>
      </c>
      <c r="N1077" s="28"/>
      <c r="O1077" s="26" t="s">
        <v>29</v>
      </c>
      <c r="P1077" s="29"/>
      <c r="Q1077" s="6"/>
      <c r="R1077" s="29"/>
      <c r="S1077" s="10"/>
      <c r="T1077" s="8"/>
    </row>
    <row r="1078" spans="1:20" ht="15.75" customHeight="1" x14ac:dyDescent="0.35">
      <c r="A1078" s="25" t="s">
        <v>1304</v>
      </c>
      <c r="B1078" s="25" t="s">
        <v>1456</v>
      </c>
      <c r="C1078" s="26">
        <v>116971</v>
      </c>
      <c r="D1078" s="25" t="s">
        <v>1481</v>
      </c>
      <c r="E1078" s="25" t="s">
        <v>1478</v>
      </c>
      <c r="F1078" s="26" t="s">
        <v>469</v>
      </c>
      <c r="G1078" s="26" t="s">
        <v>469</v>
      </c>
      <c r="H1078" s="26">
        <v>1</v>
      </c>
      <c r="I1078" s="26">
        <v>7</v>
      </c>
      <c r="J1078" s="26">
        <v>1</v>
      </c>
      <c r="K1078" s="26">
        <v>138</v>
      </c>
      <c r="L1078" s="26" t="s">
        <v>28</v>
      </c>
      <c r="M1078" s="27">
        <v>1002</v>
      </c>
      <c r="N1078" s="28">
        <v>629037.28</v>
      </c>
      <c r="O1078" s="26" t="s">
        <v>29</v>
      </c>
      <c r="P1078" s="29"/>
      <c r="Q1078" s="6"/>
      <c r="R1078" s="29"/>
      <c r="S1078" s="10"/>
      <c r="T1078" s="8">
        <v>1</v>
      </c>
    </row>
    <row r="1079" spans="1:20" ht="15.75" customHeight="1" x14ac:dyDescent="0.35">
      <c r="A1079" s="25" t="s">
        <v>1304</v>
      </c>
      <c r="B1079" s="25" t="s">
        <v>1456</v>
      </c>
      <c r="C1079" s="26">
        <v>116972</v>
      </c>
      <c r="D1079" s="25" t="s">
        <v>1482</v>
      </c>
      <c r="E1079" s="25" t="s">
        <v>1478</v>
      </c>
      <c r="F1079" s="26" t="s">
        <v>469</v>
      </c>
      <c r="G1079" s="26" t="s">
        <v>469</v>
      </c>
      <c r="H1079" s="26"/>
      <c r="I1079" s="26"/>
      <c r="J1079" s="26">
        <v>1</v>
      </c>
      <c r="K1079" s="26">
        <v>138</v>
      </c>
      <c r="L1079" s="26" t="s">
        <v>28</v>
      </c>
      <c r="M1079" s="27">
        <v>1004</v>
      </c>
      <c r="N1079" s="28"/>
      <c r="O1079" s="26" t="s">
        <v>29</v>
      </c>
      <c r="P1079" s="29"/>
      <c r="Q1079" s="6"/>
      <c r="R1079" s="29"/>
      <c r="S1079" s="10"/>
      <c r="T1079" s="8"/>
    </row>
    <row r="1080" spans="1:20" ht="15.75" customHeight="1" x14ac:dyDescent="0.35">
      <c r="A1080" s="25" t="s">
        <v>1304</v>
      </c>
      <c r="B1080" s="25" t="s">
        <v>1456</v>
      </c>
      <c r="C1080" s="26">
        <v>116973</v>
      </c>
      <c r="D1080" s="25" t="s">
        <v>1483</v>
      </c>
      <c r="E1080" s="25" t="s">
        <v>1478</v>
      </c>
      <c r="F1080" s="26" t="s">
        <v>469</v>
      </c>
      <c r="G1080" s="26" t="s">
        <v>469</v>
      </c>
      <c r="H1080" s="26">
        <v>1</v>
      </c>
      <c r="I1080" s="26">
        <v>4</v>
      </c>
      <c r="J1080" s="26">
        <v>1</v>
      </c>
      <c r="K1080" s="26">
        <v>138</v>
      </c>
      <c r="L1080" s="26" t="s">
        <v>28</v>
      </c>
      <c r="M1080" s="27">
        <v>1005</v>
      </c>
      <c r="N1080" s="28">
        <v>669838</v>
      </c>
      <c r="O1080" s="26" t="s">
        <v>29</v>
      </c>
      <c r="P1080" s="29"/>
      <c r="Q1080" s="6"/>
      <c r="R1080" s="29"/>
      <c r="S1080" s="10"/>
      <c r="T1080" s="8">
        <v>1</v>
      </c>
    </row>
    <row r="1081" spans="1:20" ht="15.75" customHeight="1" x14ac:dyDescent="0.35">
      <c r="A1081" s="25" t="s">
        <v>1304</v>
      </c>
      <c r="B1081" s="25" t="s">
        <v>1456</v>
      </c>
      <c r="C1081" s="26">
        <v>116977</v>
      </c>
      <c r="D1081" s="25" t="s">
        <v>1484</v>
      </c>
      <c r="E1081" s="25" t="s">
        <v>1478</v>
      </c>
      <c r="F1081" s="26" t="s">
        <v>469</v>
      </c>
      <c r="G1081" s="26" t="s">
        <v>469</v>
      </c>
      <c r="H1081" s="26">
        <v>1</v>
      </c>
      <c r="I1081" s="26">
        <v>2</v>
      </c>
      <c r="J1081" s="26">
        <v>1</v>
      </c>
      <c r="K1081" s="26">
        <v>138</v>
      </c>
      <c r="L1081" s="26" t="s">
        <v>28</v>
      </c>
      <c r="M1081" s="27">
        <v>1013</v>
      </c>
      <c r="N1081" s="28">
        <v>758672.56</v>
      </c>
      <c r="O1081" s="26" t="s">
        <v>29</v>
      </c>
      <c r="P1081" s="29"/>
      <c r="Q1081" s="6"/>
      <c r="R1081" s="29"/>
      <c r="S1081" s="10"/>
      <c r="T1081" s="8">
        <v>1</v>
      </c>
    </row>
    <row r="1082" spans="1:20" ht="15.75" customHeight="1" x14ac:dyDescent="0.35">
      <c r="A1082" s="25" t="s">
        <v>1304</v>
      </c>
      <c r="B1082" s="25" t="s">
        <v>1456</v>
      </c>
      <c r="C1082" s="26">
        <v>116979</v>
      </c>
      <c r="D1082" s="25" t="s">
        <v>1485</v>
      </c>
      <c r="E1082" s="25" t="s">
        <v>1478</v>
      </c>
      <c r="F1082" s="26" t="s">
        <v>469</v>
      </c>
      <c r="G1082" s="26" t="s">
        <v>469</v>
      </c>
      <c r="H1082" s="26">
        <v>1</v>
      </c>
      <c r="I1082" s="26">
        <v>10</v>
      </c>
      <c r="J1082" s="26">
        <v>1</v>
      </c>
      <c r="K1082" s="26">
        <v>138</v>
      </c>
      <c r="L1082" s="26" t="s">
        <v>28</v>
      </c>
      <c r="M1082" s="27">
        <v>1017</v>
      </c>
      <c r="N1082" s="28">
        <v>896856.69</v>
      </c>
      <c r="O1082" s="26" t="s">
        <v>29</v>
      </c>
      <c r="P1082" s="29"/>
      <c r="Q1082" s="6"/>
      <c r="R1082" s="29"/>
      <c r="S1082" s="10"/>
      <c r="T1082" s="8">
        <v>1</v>
      </c>
    </row>
    <row r="1083" spans="1:20" ht="15.75" customHeight="1" x14ac:dyDescent="0.35">
      <c r="A1083" s="25" t="s">
        <v>1304</v>
      </c>
      <c r="B1083" s="25" t="s">
        <v>1456</v>
      </c>
      <c r="C1083" s="26">
        <v>116983</v>
      </c>
      <c r="D1083" s="25" t="s">
        <v>1486</v>
      </c>
      <c r="E1083" s="25" t="s">
        <v>1478</v>
      </c>
      <c r="F1083" s="26" t="s">
        <v>469</v>
      </c>
      <c r="G1083" s="26" t="s">
        <v>469</v>
      </c>
      <c r="H1083" s="26">
        <v>1</v>
      </c>
      <c r="I1083" s="26">
        <v>9</v>
      </c>
      <c r="J1083" s="26">
        <v>1</v>
      </c>
      <c r="K1083" s="26">
        <v>138</v>
      </c>
      <c r="L1083" s="26" t="s">
        <v>28</v>
      </c>
      <c r="M1083" s="27">
        <v>1021</v>
      </c>
      <c r="N1083" s="28">
        <v>349163.74</v>
      </c>
      <c r="O1083" s="26" t="s">
        <v>29</v>
      </c>
      <c r="P1083" s="29"/>
      <c r="Q1083" s="6"/>
      <c r="R1083" s="29"/>
      <c r="S1083" s="10"/>
      <c r="T1083" s="8">
        <v>1</v>
      </c>
    </row>
    <row r="1084" spans="1:20" ht="15.75" customHeight="1" x14ac:dyDescent="0.35">
      <c r="A1084" s="25" t="s">
        <v>1304</v>
      </c>
      <c r="B1084" s="25" t="s">
        <v>1456</v>
      </c>
      <c r="C1084" s="26">
        <v>116994</v>
      </c>
      <c r="D1084" s="25" t="s">
        <v>1487</v>
      </c>
      <c r="E1084" s="25" t="s">
        <v>1478</v>
      </c>
      <c r="F1084" s="26" t="s">
        <v>469</v>
      </c>
      <c r="G1084" s="26" t="s">
        <v>469</v>
      </c>
      <c r="H1084" s="26"/>
      <c r="I1084" s="26"/>
      <c r="J1084" s="26">
        <v>1</v>
      </c>
      <c r="K1084" s="26">
        <v>138</v>
      </c>
      <c r="L1084" s="26" t="s">
        <v>28</v>
      </c>
      <c r="M1084" s="27">
        <v>981</v>
      </c>
      <c r="N1084" s="28"/>
      <c r="O1084" s="26" t="s">
        <v>29</v>
      </c>
      <c r="P1084" s="29"/>
      <c r="Q1084" s="6"/>
      <c r="R1084" s="29"/>
      <c r="S1084" s="10"/>
      <c r="T1084" s="8"/>
    </row>
    <row r="1085" spans="1:20" ht="15.75" customHeight="1" x14ac:dyDescent="0.35">
      <c r="A1085" s="25" t="s">
        <v>1304</v>
      </c>
      <c r="B1085" s="25" t="s">
        <v>1456</v>
      </c>
      <c r="C1085" s="26">
        <v>117008</v>
      </c>
      <c r="D1085" s="25" t="s">
        <v>1488</v>
      </c>
      <c r="E1085" s="25" t="s">
        <v>1478</v>
      </c>
      <c r="F1085" s="26" t="s">
        <v>469</v>
      </c>
      <c r="G1085" s="26" t="s">
        <v>469</v>
      </c>
      <c r="H1085" s="26"/>
      <c r="I1085" s="26"/>
      <c r="J1085" s="26">
        <v>1</v>
      </c>
      <c r="K1085" s="26">
        <v>138</v>
      </c>
      <c r="L1085" s="26" t="s">
        <v>28</v>
      </c>
      <c r="M1085" s="27">
        <v>1012</v>
      </c>
      <c r="N1085" s="28"/>
      <c r="O1085" s="26" t="s">
        <v>29</v>
      </c>
      <c r="P1085" s="29"/>
      <c r="Q1085" s="6"/>
      <c r="R1085" s="29"/>
      <c r="S1085" s="10"/>
      <c r="T1085" s="8"/>
    </row>
    <row r="1086" spans="1:20" ht="15.75" customHeight="1" x14ac:dyDescent="0.35">
      <c r="A1086" s="25" t="s">
        <v>1304</v>
      </c>
      <c r="B1086" s="25" t="s">
        <v>1456</v>
      </c>
      <c r="C1086" s="26">
        <v>117009</v>
      </c>
      <c r="D1086" s="25" t="s">
        <v>1489</v>
      </c>
      <c r="E1086" s="25" t="s">
        <v>1478</v>
      </c>
      <c r="F1086" s="26" t="s">
        <v>469</v>
      </c>
      <c r="G1086" s="26" t="s">
        <v>469</v>
      </c>
      <c r="H1086" s="26"/>
      <c r="I1086" s="26"/>
      <c r="J1086" s="26">
        <v>1</v>
      </c>
      <c r="K1086" s="26">
        <v>138</v>
      </c>
      <c r="L1086" s="26" t="s">
        <v>28</v>
      </c>
      <c r="M1086" s="27">
        <v>1014</v>
      </c>
      <c r="N1086" s="28"/>
      <c r="O1086" s="26" t="s">
        <v>29</v>
      </c>
      <c r="P1086" s="29"/>
      <c r="Q1086" s="6"/>
      <c r="R1086" s="29"/>
      <c r="S1086" s="10"/>
      <c r="T1086" s="8"/>
    </row>
    <row r="1087" spans="1:20" ht="15.75" customHeight="1" x14ac:dyDescent="0.35">
      <c r="A1087" s="25" t="s">
        <v>1304</v>
      </c>
      <c r="B1087" s="25" t="s">
        <v>1456</v>
      </c>
      <c r="C1087" s="26">
        <v>117010</v>
      </c>
      <c r="D1087" s="25" t="s">
        <v>1490</v>
      </c>
      <c r="E1087" s="25" t="s">
        <v>1478</v>
      </c>
      <c r="F1087" s="26" t="s">
        <v>469</v>
      </c>
      <c r="G1087" s="26" t="s">
        <v>469</v>
      </c>
      <c r="H1087" s="26"/>
      <c r="I1087" s="26"/>
      <c r="J1087" s="26">
        <v>1</v>
      </c>
      <c r="K1087" s="26">
        <v>138</v>
      </c>
      <c r="L1087" s="26" t="s">
        <v>28</v>
      </c>
      <c r="M1087" s="27">
        <v>1016</v>
      </c>
      <c r="N1087" s="28"/>
      <c r="O1087" s="26" t="s">
        <v>29</v>
      </c>
      <c r="P1087" s="29"/>
      <c r="Q1087" s="6"/>
      <c r="R1087" s="29"/>
      <c r="S1087" s="10"/>
      <c r="T1087" s="8"/>
    </row>
    <row r="1088" spans="1:20" ht="15.75" customHeight="1" x14ac:dyDescent="0.35">
      <c r="A1088" s="25" t="s">
        <v>1304</v>
      </c>
      <c r="B1088" s="25" t="s">
        <v>1456</v>
      </c>
      <c r="C1088" s="26">
        <v>117013</v>
      </c>
      <c r="D1088" s="25" t="s">
        <v>1491</v>
      </c>
      <c r="E1088" s="25" t="s">
        <v>1478</v>
      </c>
      <c r="F1088" s="26" t="s">
        <v>469</v>
      </c>
      <c r="G1088" s="26" t="s">
        <v>469</v>
      </c>
      <c r="H1088" s="26"/>
      <c r="I1088" s="26"/>
      <c r="J1088" s="26">
        <v>1</v>
      </c>
      <c r="K1088" s="26">
        <v>138</v>
      </c>
      <c r="L1088" s="26" t="s">
        <v>28</v>
      </c>
      <c r="M1088" s="27">
        <v>1022</v>
      </c>
      <c r="N1088" s="28"/>
      <c r="O1088" s="26" t="s">
        <v>29</v>
      </c>
      <c r="P1088" s="29"/>
      <c r="Q1088" s="6"/>
      <c r="R1088" s="29"/>
      <c r="S1088" s="10"/>
      <c r="T1088" s="8"/>
    </row>
    <row r="1089" spans="1:20" ht="15.75" customHeight="1" x14ac:dyDescent="0.35">
      <c r="A1089" s="25" t="s">
        <v>1304</v>
      </c>
      <c r="B1089" s="25" t="s">
        <v>1456</v>
      </c>
      <c r="C1089" s="26">
        <v>117014</v>
      </c>
      <c r="D1089" s="25" t="s">
        <v>1492</v>
      </c>
      <c r="E1089" s="25" t="s">
        <v>1478</v>
      </c>
      <c r="F1089" s="26" t="s">
        <v>469</v>
      </c>
      <c r="G1089" s="26" t="s">
        <v>469</v>
      </c>
      <c r="H1089" s="26">
        <v>1</v>
      </c>
      <c r="I1089" s="26">
        <v>5</v>
      </c>
      <c r="J1089" s="26">
        <v>1</v>
      </c>
      <c r="K1089" s="26">
        <v>138</v>
      </c>
      <c r="L1089" s="26" t="s">
        <v>28</v>
      </c>
      <c r="M1089" s="27">
        <v>1023</v>
      </c>
      <c r="N1089" s="28">
        <v>549601.5</v>
      </c>
      <c r="O1089" s="26" t="s">
        <v>29</v>
      </c>
      <c r="P1089" s="29"/>
      <c r="Q1089" s="6"/>
      <c r="R1089" s="29"/>
      <c r="S1089" s="10"/>
      <c r="T1089" s="8">
        <v>1</v>
      </c>
    </row>
    <row r="1090" spans="1:20" ht="15.75" customHeight="1" x14ac:dyDescent="0.35">
      <c r="A1090" s="25" t="s">
        <v>1304</v>
      </c>
      <c r="B1090" s="25" t="s">
        <v>1456</v>
      </c>
      <c r="C1090" s="26">
        <v>117066</v>
      </c>
      <c r="D1090" s="25" t="s">
        <v>1493</v>
      </c>
      <c r="E1090" s="25" t="s">
        <v>1494</v>
      </c>
      <c r="F1090" s="26" t="s">
        <v>466</v>
      </c>
      <c r="G1090" s="26" t="s">
        <v>466</v>
      </c>
      <c r="H1090" s="26"/>
      <c r="I1090" s="26"/>
      <c r="J1090" s="26">
        <v>1</v>
      </c>
      <c r="K1090" s="26">
        <v>138</v>
      </c>
      <c r="L1090" s="26" t="s">
        <v>28</v>
      </c>
      <c r="M1090" s="27">
        <v>960</v>
      </c>
      <c r="N1090" s="28"/>
      <c r="O1090" s="26" t="s">
        <v>29</v>
      </c>
      <c r="P1090" s="29"/>
      <c r="Q1090" s="6"/>
      <c r="R1090" s="29"/>
      <c r="S1090" s="10"/>
      <c r="T1090" s="8"/>
    </row>
    <row r="1091" spans="1:20" ht="15.75" customHeight="1" x14ac:dyDescent="0.35">
      <c r="A1091" s="25" t="s">
        <v>1304</v>
      </c>
      <c r="B1091" s="25" t="s">
        <v>1456</v>
      </c>
      <c r="C1091" s="26">
        <v>117096</v>
      </c>
      <c r="D1091" s="25" t="s">
        <v>1495</v>
      </c>
      <c r="E1091" s="25" t="s">
        <v>1494</v>
      </c>
      <c r="F1091" s="26" t="s">
        <v>466</v>
      </c>
      <c r="G1091" s="26" t="s">
        <v>466</v>
      </c>
      <c r="H1091" s="26"/>
      <c r="I1091" s="26"/>
      <c r="J1091" s="26">
        <v>1</v>
      </c>
      <c r="K1091" s="26">
        <v>138</v>
      </c>
      <c r="L1091" s="26" t="s">
        <v>28</v>
      </c>
      <c r="M1091" s="27">
        <v>965</v>
      </c>
      <c r="N1091" s="28"/>
      <c r="O1091" s="26" t="s">
        <v>29</v>
      </c>
      <c r="P1091" s="29"/>
      <c r="Q1091" s="6"/>
      <c r="R1091" s="29"/>
      <c r="S1091" s="10"/>
      <c r="T1091" s="8"/>
    </row>
    <row r="1092" spans="1:20" ht="15.75" customHeight="1" x14ac:dyDescent="0.35">
      <c r="A1092" s="25" t="s">
        <v>1304</v>
      </c>
      <c r="B1092" s="25" t="s">
        <v>1456</v>
      </c>
      <c r="C1092" s="26">
        <v>117106</v>
      </c>
      <c r="D1092" s="25" t="s">
        <v>1496</v>
      </c>
      <c r="E1092" s="25" t="s">
        <v>1494</v>
      </c>
      <c r="F1092" s="26" t="s">
        <v>466</v>
      </c>
      <c r="G1092" s="26" t="s">
        <v>466</v>
      </c>
      <c r="H1092" s="26"/>
      <c r="I1092" s="26"/>
      <c r="J1092" s="26">
        <v>1</v>
      </c>
      <c r="K1092" s="26">
        <v>138</v>
      </c>
      <c r="L1092" s="26" t="s">
        <v>28</v>
      </c>
      <c r="M1092" s="27">
        <v>977</v>
      </c>
      <c r="N1092" s="28"/>
      <c r="O1092" s="26" t="s">
        <v>29</v>
      </c>
      <c r="P1092" s="29"/>
      <c r="Q1092" s="6"/>
      <c r="R1092" s="29"/>
      <c r="S1092" s="10"/>
      <c r="T1092" s="8"/>
    </row>
    <row r="1093" spans="1:20" ht="15.75" customHeight="1" x14ac:dyDescent="0.35">
      <c r="A1093" s="25" t="s">
        <v>1304</v>
      </c>
      <c r="B1093" s="25" t="s">
        <v>1456</v>
      </c>
      <c r="C1093" s="26">
        <v>117134</v>
      </c>
      <c r="D1093" s="25" t="s">
        <v>1497</v>
      </c>
      <c r="E1093" s="25" t="s">
        <v>1498</v>
      </c>
      <c r="F1093" s="26" t="s">
        <v>466</v>
      </c>
      <c r="G1093" s="26" t="s">
        <v>466</v>
      </c>
      <c r="H1093" s="26"/>
      <c r="I1093" s="26"/>
      <c r="J1093" s="26">
        <v>1</v>
      </c>
      <c r="K1093" s="26">
        <v>138</v>
      </c>
      <c r="L1093" s="26" t="s">
        <v>28</v>
      </c>
      <c r="M1093" s="27">
        <v>973</v>
      </c>
      <c r="N1093" s="28"/>
      <c r="O1093" s="26" t="s">
        <v>29</v>
      </c>
      <c r="P1093" s="29"/>
      <c r="Q1093" s="6"/>
      <c r="R1093" s="29"/>
      <c r="S1093" s="10"/>
      <c r="T1093" s="8"/>
    </row>
    <row r="1094" spans="1:20" ht="15.75" customHeight="1" x14ac:dyDescent="0.35">
      <c r="A1094" s="25" t="s">
        <v>1304</v>
      </c>
      <c r="B1094" s="25" t="s">
        <v>1456</v>
      </c>
      <c r="C1094" s="26">
        <v>117141</v>
      </c>
      <c r="D1094" s="25" t="s">
        <v>1125</v>
      </c>
      <c r="E1094" s="25" t="s">
        <v>1499</v>
      </c>
      <c r="F1094" s="26" t="s">
        <v>469</v>
      </c>
      <c r="G1094" s="26" t="s">
        <v>469</v>
      </c>
      <c r="H1094" s="26"/>
      <c r="I1094" s="26"/>
      <c r="J1094" s="26">
        <v>1</v>
      </c>
      <c r="K1094" s="26">
        <v>138</v>
      </c>
      <c r="L1094" s="26" t="s">
        <v>28</v>
      </c>
      <c r="M1094" s="27">
        <v>984</v>
      </c>
      <c r="N1094" s="28"/>
      <c r="O1094" s="26" t="s">
        <v>29</v>
      </c>
      <c r="P1094" s="29"/>
      <c r="Q1094" s="6"/>
      <c r="R1094" s="29"/>
      <c r="S1094" s="10"/>
      <c r="T1094" s="8"/>
    </row>
    <row r="1095" spans="1:20" ht="15.75" customHeight="1" x14ac:dyDescent="0.35">
      <c r="A1095" s="25" t="s">
        <v>1304</v>
      </c>
      <c r="B1095" s="25" t="s">
        <v>1456</v>
      </c>
      <c r="C1095" s="26">
        <v>117143</v>
      </c>
      <c r="D1095" s="25" t="s">
        <v>1500</v>
      </c>
      <c r="E1095" s="25" t="s">
        <v>1499</v>
      </c>
      <c r="F1095" s="26" t="s">
        <v>469</v>
      </c>
      <c r="G1095" s="26" t="s">
        <v>469</v>
      </c>
      <c r="H1095" s="26">
        <v>1</v>
      </c>
      <c r="I1095" s="26">
        <v>9</v>
      </c>
      <c r="J1095" s="26">
        <v>1</v>
      </c>
      <c r="K1095" s="26">
        <v>138</v>
      </c>
      <c r="L1095" s="26" t="s">
        <v>28</v>
      </c>
      <c r="M1095" s="27">
        <v>987</v>
      </c>
      <c r="N1095" s="28">
        <v>923210.17</v>
      </c>
      <c r="O1095" s="26" t="s">
        <v>29</v>
      </c>
      <c r="P1095" s="29"/>
      <c r="Q1095" s="6"/>
      <c r="R1095" s="29"/>
      <c r="S1095" s="10"/>
      <c r="T1095" s="8">
        <v>1</v>
      </c>
    </row>
    <row r="1096" spans="1:20" ht="15.75" customHeight="1" x14ac:dyDescent="0.35">
      <c r="A1096" s="25" t="s">
        <v>1304</v>
      </c>
      <c r="B1096" s="25" t="s">
        <v>1456</v>
      </c>
      <c r="C1096" s="26">
        <v>117145</v>
      </c>
      <c r="D1096" s="25" t="s">
        <v>1501</v>
      </c>
      <c r="E1096" s="25" t="s">
        <v>1499</v>
      </c>
      <c r="F1096" s="26" t="s">
        <v>469</v>
      </c>
      <c r="G1096" s="26" t="s">
        <v>469</v>
      </c>
      <c r="H1096" s="26">
        <v>1</v>
      </c>
      <c r="I1096" s="26">
        <v>9</v>
      </c>
      <c r="J1096" s="26">
        <v>1</v>
      </c>
      <c r="K1096" s="26">
        <v>138</v>
      </c>
      <c r="L1096" s="26" t="s">
        <v>28</v>
      </c>
      <c r="M1096" s="27">
        <v>989</v>
      </c>
      <c r="N1096" s="28">
        <v>835486.41</v>
      </c>
      <c r="O1096" s="26" t="s">
        <v>29</v>
      </c>
      <c r="P1096" s="29"/>
      <c r="Q1096" s="6"/>
      <c r="R1096" s="29"/>
      <c r="S1096" s="10"/>
      <c r="T1096" s="8">
        <v>1</v>
      </c>
    </row>
    <row r="1097" spans="1:20" ht="15.75" customHeight="1" x14ac:dyDescent="0.35">
      <c r="A1097" s="25" t="s">
        <v>1304</v>
      </c>
      <c r="B1097" s="25" t="s">
        <v>1456</v>
      </c>
      <c r="C1097" s="26">
        <v>117146</v>
      </c>
      <c r="D1097" s="25" t="s">
        <v>1502</v>
      </c>
      <c r="E1097" s="25" t="s">
        <v>1499</v>
      </c>
      <c r="F1097" s="26" t="s">
        <v>469</v>
      </c>
      <c r="G1097" s="26" t="s">
        <v>469</v>
      </c>
      <c r="H1097" s="26">
        <v>1</v>
      </c>
      <c r="I1097" s="26">
        <v>9</v>
      </c>
      <c r="J1097" s="26">
        <v>1</v>
      </c>
      <c r="K1097" s="26">
        <v>138</v>
      </c>
      <c r="L1097" s="26" t="s">
        <v>28</v>
      </c>
      <c r="M1097" s="27">
        <v>992</v>
      </c>
      <c r="N1097" s="28">
        <v>970538.94</v>
      </c>
      <c r="O1097" s="26" t="s">
        <v>29</v>
      </c>
      <c r="P1097" s="29"/>
      <c r="Q1097" s="6"/>
      <c r="R1097" s="29"/>
      <c r="S1097" s="10"/>
      <c r="T1097" s="8">
        <v>1</v>
      </c>
    </row>
    <row r="1098" spans="1:20" ht="15.75" customHeight="1" x14ac:dyDescent="0.35">
      <c r="A1098" s="25" t="s">
        <v>1304</v>
      </c>
      <c r="B1098" s="25" t="s">
        <v>1456</v>
      </c>
      <c r="C1098" s="26">
        <v>117155</v>
      </c>
      <c r="D1098" s="25" t="s">
        <v>1503</v>
      </c>
      <c r="E1098" s="25" t="s">
        <v>1499</v>
      </c>
      <c r="F1098" s="26" t="s">
        <v>469</v>
      </c>
      <c r="G1098" s="26" t="s">
        <v>469</v>
      </c>
      <c r="H1098" s="26">
        <v>1</v>
      </c>
      <c r="I1098" s="26">
        <v>9</v>
      </c>
      <c r="J1098" s="26">
        <v>1</v>
      </c>
      <c r="K1098" s="26">
        <v>138</v>
      </c>
      <c r="L1098" s="26" t="s">
        <v>28</v>
      </c>
      <c r="M1098" s="27">
        <v>1006</v>
      </c>
      <c r="N1098" s="28">
        <v>786342.28</v>
      </c>
      <c r="O1098" s="26" t="s">
        <v>29</v>
      </c>
      <c r="P1098" s="29"/>
      <c r="Q1098" s="6"/>
      <c r="R1098" s="29"/>
      <c r="S1098" s="10"/>
      <c r="T1098" s="8">
        <v>1</v>
      </c>
    </row>
    <row r="1099" spans="1:20" ht="15.75" customHeight="1" x14ac:dyDescent="0.35">
      <c r="A1099" s="25" t="s">
        <v>1304</v>
      </c>
      <c r="B1099" s="25" t="s">
        <v>1456</v>
      </c>
      <c r="C1099" s="26">
        <v>117160</v>
      </c>
      <c r="D1099" s="25" t="s">
        <v>1504</v>
      </c>
      <c r="E1099" s="25" t="s">
        <v>1499</v>
      </c>
      <c r="F1099" s="26" t="s">
        <v>469</v>
      </c>
      <c r="G1099" s="26" t="s">
        <v>469</v>
      </c>
      <c r="H1099" s="26"/>
      <c r="I1099" s="26"/>
      <c r="J1099" s="26">
        <v>1</v>
      </c>
      <c r="K1099" s="26">
        <v>138</v>
      </c>
      <c r="L1099" s="26" t="s">
        <v>28</v>
      </c>
      <c r="M1099" s="27">
        <v>1020</v>
      </c>
      <c r="N1099" s="28"/>
      <c r="O1099" s="26" t="s">
        <v>29</v>
      </c>
      <c r="P1099" s="29"/>
      <c r="Q1099" s="6"/>
      <c r="R1099" s="29"/>
      <c r="S1099" s="10"/>
      <c r="T1099" s="8"/>
    </row>
    <row r="1100" spans="1:20" ht="15.75" customHeight="1" x14ac:dyDescent="0.35">
      <c r="A1100" s="25" t="s">
        <v>1304</v>
      </c>
      <c r="B1100" s="25" t="s">
        <v>1456</v>
      </c>
      <c r="C1100" s="26">
        <v>117202</v>
      </c>
      <c r="D1100" s="25" t="s">
        <v>1505</v>
      </c>
      <c r="E1100" s="25" t="s">
        <v>1506</v>
      </c>
      <c r="F1100" s="26" t="s">
        <v>466</v>
      </c>
      <c r="G1100" s="26" t="s">
        <v>466</v>
      </c>
      <c r="H1100" s="26">
        <v>1</v>
      </c>
      <c r="I1100" s="26">
        <v>2</v>
      </c>
      <c r="J1100" s="26">
        <v>1</v>
      </c>
      <c r="K1100" s="26">
        <v>138</v>
      </c>
      <c r="L1100" s="26" t="s">
        <v>28</v>
      </c>
      <c r="M1100" s="27">
        <v>964</v>
      </c>
      <c r="N1100" s="28">
        <v>263400</v>
      </c>
      <c r="O1100" s="26" t="s">
        <v>29</v>
      </c>
      <c r="P1100" s="29"/>
      <c r="Q1100" s="6"/>
      <c r="R1100" s="29"/>
      <c r="S1100" s="10"/>
      <c r="T1100" s="8">
        <v>1</v>
      </c>
    </row>
    <row r="1101" spans="1:20" ht="15.75" customHeight="1" x14ac:dyDescent="0.35">
      <c r="A1101" s="25" t="s">
        <v>1304</v>
      </c>
      <c r="B1101" s="25" t="s">
        <v>1456</v>
      </c>
      <c r="C1101" s="26">
        <v>117208</v>
      </c>
      <c r="D1101" s="25" t="s">
        <v>1507</v>
      </c>
      <c r="E1101" s="25" t="s">
        <v>1506</v>
      </c>
      <c r="F1101" s="26" t="s">
        <v>466</v>
      </c>
      <c r="G1101" s="26" t="s">
        <v>466</v>
      </c>
      <c r="H1101" s="26"/>
      <c r="I1101" s="26"/>
      <c r="J1101" s="26">
        <v>1</v>
      </c>
      <c r="K1101" s="26">
        <v>138</v>
      </c>
      <c r="L1101" s="26" t="s">
        <v>28</v>
      </c>
      <c r="M1101" s="27">
        <v>975</v>
      </c>
      <c r="N1101" s="28"/>
      <c r="O1101" s="26" t="s">
        <v>29</v>
      </c>
      <c r="P1101" s="29"/>
      <c r="Q1101" s="6"/>
      <c r="R1101" s="29"/>
      <c r="S1101" s="10"/>
      <c r="T1101" s="8"/>
    </row>
    <row r="1102" spans="1:20" ht="15.75" customHeight="1" x14ac:dyDescent="0.35">
      <c r="A1102" s="25" t="s">
        <v>1304</v>
      </c>
      <c r="B1102" s="25" t="s">
        <v>1456</v>
      </c>
      <c r="C1102" s="26">
        <v>117256</v>
      </c>
      <c r="D1102" s="25" t="s">
        <v>1508</v>
      </c>
      <c r="E1102" s="25" t="s">
        <v>1509</v>
      </c>
      <c r="F1102" s="26" t="s">
        <v>466</v>
      </c>
      <c r="G1102" s="26" t="s">
        <v>466</v>
      </c>
      <c r="H1102" s="26"/>
      <c r="I1102" s="26"/>
      <c r="J1102" s="26">
        <v>1</v>
      </c>
      <c r="K1102" s="26">
        <v>138</v>
      </c>
      <c r="L1102" s="26" t="s">
        <v>28</v>
      </c>
      <c r="M1102" s="27">
        <v>959</v>
      </c>
      <c r="N1102" s="28"/>
      <c r="O1102" s="26" t="s">
        <v>29</v>
      </c>
      <c r="P1102" s="29"/>
      <c r="Q1102" s="6"/>
      <c r="R1102" s="29"/>
      <c r="S1102" s="10"/>
      <c r="T1102" s="8"/>
    </row>
    <row r="1103" spans="1:20" ht="15.75" customHeight="1" x14ac:dyDescent="0.35">
      <c r="A1103" s="25" t="s">
        <v>1304</v>
      </c>
      <c r="B1103" s="25" t="s">
        <v>1456</v>
      </c>
      <c r="C1103" s="26">
        <v>117258</v>
      </c>
      <c r="D1103" s="25" t="s">
        <v>1510</v>
      </c>
      <c r="E1103" s="25" t="s">
        <v>1509</v>
      </c>
      <c r="F1103" s="26" t="s">
        <v>466</v>
      </c>
      <c r="G1103" s="26" t="s">
        <v>466</v>
      </c>
      <c r="H1103" s="26">
        <v>1</v>
      </c>
      <c r="I1103" s="26">
        <v>6</v>
      </c>
      <c r="J1103" s="26">
        <v>1</v>
      </c>
      <c r="K1103" s="26">
        <v>138</v>
      </c>
      <c r="L1103" s="26" t="s">
        <v>28</v>
      </c>
      <c r="M1103" s="27">
        <v>962</v>
      </c>
      <c r="N1103" s="28">
        <v>536631.35</v>
      </c>
      <c r="O1103" s="26" t="s">
        <v>29</v>
      </c>
      <c r="P1103" s="29"/>
      <c r="Q1103" s="6"/>
      <c r="R1103" s="29"/>
      <c r="S1103" s="10"/>
      <c r="T1103" s="8">
        <v>1</v>
      </c>
    </row>
    <row r="1104" spans="1:20" ht="15.75" customHeight="1" x14ac:dyDescent="0.35">
      <c r="A1104" s="25" t="s">
        <v>1304</v>
      </c>
      <c r="B1104" s="25" t="s">
        <v>1456</v>
      </c>
      <c r="C1104" s="26">
        <v>117259</v>
      </c>
      <c r="D1104" s="25" t="s">
        <v>1511</v>
      </c>
      <c r="E1104" s="25" t="s">
        <v>1509</v>
      </c>
      <c r="F1104" s="26" t="s">
        <v>466</v>
      </c>
      <c r="G1104" s="26" t="s">
        <v>466</v>
      </c>
      <c r="H1104" s="26"/>
      <c r="I1104" s="26"/>
      <c r="J1104" s="26">
        <v>1</v>
      </c>
      <c r="K1104" s="26">
        <v>138</v>
      </c>
      <c r="L1104" s="26" t="s">
        <v>28</v>
      </c>
      <c r="M1104" s="27">
        <v>966</v>
      </c>
      <c r="N1104" s="28"/>
      <c r="O1104" s="26" t="s">
        <v>29</v>
      </c>
      <c r="P1104" s="29"/>
      <c r="Q1104" s="6"/>
      <c r="R1104" s="29"/>
      <c r="S1104" s="10"/>
      <c r="T1104" s="8"/>
    </row>
    <row r="1105" spans="1:20" ht="15.75" customHeight="1" x14ac:dyDescent="0.35">
      <c r="A1105" s="25" t="s">
        <v>1304</v>
      </c>
      <c r="B1105" s="25" t="s">
        <v>1456</v>
      </c>
      <c r="C1105" s="26">
        <v>117262</v>
      </c>
      <c r="D1105" s="25" t="s">
        <v>1512</v>
      </c>
      <c r="E1105" s="25" t="s">
        <v>1509</v>
      </c>
      <c r="F1105" s="26" t="s">
        <v>466</v>
      </c>
      <c r="G1105" s="26" t="s">
        <v>466</v>
      </c>
      <c r="H1105" s="26">
        <v>1</v>
      </c>
      <c r="I1105" s="26">
        <v>8</v>
      </c>
      <c r="J1105" s="26">
        <v>1</v>
      </c>
      <c r="K1105" s="26">
        <v>138</v>
      </c>
      <c r="L1105" s="26" t="s">
        <v>28</v>
      </c>
      <c r="M1105" s="27">
        <v>968</v>
      </c>
      <c r="N1105" s="28">
        <v>699806.92</v>
      </c>
      <c r="O1105" s="26" t="s">
        <v>29</v>
      </c>
      <c r="P1105" s="29"/>
      <c r="Q1105" s="6"/>
      <c r="R1105" s="29"/>
      <c r="S1105" s="10"/>
      <c r="T1105" s="8">
        <v>1</v>
      </c>
    </row>
    <row r="1106" spans="1:20" ht="15.75" customHeight="1" x14ac:dyDescent="0.35">
      <c r="A1106" s="25" t="s">
        <v>1304</v>
      </c>
      <c r="B1106" s="25" t="s">
        <v>1456</v>
      </c>
      <c r="C1106" s="26">
        <v>117270</v>
      </c>
      <c r="D1106" s="25" t="s">
        <v>1513</v>
      </c>
      <c r="E1106" s="25" t="s">
        <v>1509</v>
      </c>
      <c r="F1106" s="26" t="s">
        <v>466</v>
      </c>
      <c r="G1106" s="26" t="s">
        <v>466</v>
      </c>
      <c r="H1106" s="26"/>
      <c r="I1106" s="26"/>
      <c r="J1106" s="26">
        <v>1</v>
      </c>
      <c r="K1106" s="26">
        <v>138</v>
      </c>
      <c r="L1106" s="26" t="s">
        <v>28</v>
      </c>
      <c r="M1106" s="27">
        <v>971</v>
      </c>
      <c r="N1106" s="28"/>
      <c r="O1106" s="26" t="s">
        <v>29</v>
      </c>
      <c r="P1106" s="29"/>
      <c r="Q1106" s="6"/>
      <c r="R1106" s="29"/>
      <c r="S1106" s="10"/>
      <c r="T1106" s="8"/>
    </row>
    <row r="1107" spans="1:20" ht="15.75" customHeight="1" x14ac:dyDescent="0.35">
      <c r="A1107" s="25" t="s">
        <v>1304</v>
      </c>
      <c r="B1107" s="25" t="s">
        <v>1456</v>
      </c>
      <c r="C1107" s="26">
        <v>117272</v>
      </c>
      <c r="D1107" s="25" t="s">
        <v>1514</v>
      </c>
      <c r="E1107" s="25" t="s">
        <v>1509</v>
      </c>
      <c r="F1107" s="26" t="s">
        <v>466</v>
      </c>
      <c r="G1107" s="26" t="s">
        <v>466</v>
      </c>
      <c r="H1107" s="26"/>
      <c r="I1107" s="26"/>
      <c r="J1107" s="26">
        <v>1</v>
      </c>
      <c r="K1107" s="26">
        <v>138</v>
      </c>
      <c r="L1107" s="26" t="s">
        <v>28</v>
      </c>
      <c r="M1107" s="27">
        <v>974</v>
      </c>
      <c r="N1107" s="28"/>
      <c r="O1107" s="26" t="s">
        <v>29</v>
      </c>
      <c r="P1107" s="29"/>
      <c r="Q1107" s="6"/>
      <c r="R1107" s="29"/>
      <c r="S1107" s="10"/>
      <c r="T1107" s="8"/>
    </row>
    <row r="1108" spans="1:20" ht="15.75" customHeight="1" x14ac:dyDescent="0.35">
      <c r="A1108" s="25" t="s">
        <v>1304</v>
      </c>
      <c r="B1108" s="25" t="s">
        <v>1456</v>
      </c>
      <c r="C1108" s="26">
        <v>117273</v>
      </c>
      <c r="D1108" s="25" t="s">
        <v>1515</v>
      </c>
      <c r="E1108" s="25" t="s">
        <v>1509</v>
      </c>
      <c r="F1108" s="26" t="s">
        <v>466</v>
      </c>
      <c r="G1108" s="26" t="s">
        <v>466</v>
      </c>
      <c r="H1108" s="26"/>
      <c r="I1108" s="26"/>
      <c r="J1108" s="26">
        <v>1</v>
      </c>
      <c r="K1108" s="26">
        <v>138</v>
      </c>
      <c r="L1108" s="26" t="s">
        <v>28</v>
      </c>
      <c r="M1108" s="27">
        <v>976</v>
      </c>
      <c r="N1108" s="28"/>
      <c r="O1108" s="26" t="s">
        <v>29</v>
      </c>
      <c r="P1108" s="29"/>
      <c r="Q1108" s="6"/>
      <c r="R1108" s="29"/>
      <c r="S1108" s="10"/>
      <c r="T1108" s="8"/>
    </row>
    <row r="1109" spans="1:20" ht="15.75" customHeight="1" x14ac:dyDescent="0.35">
      <c r="A1109" s="25" t="s">
        <v>1304</v>
      </c>
      <c r="B1109" s="25" t="s">
        <v>1456</v>
      </c>
      <c r="C1109" s="26">
        <v>117274</v>
      </c>
      <c r="D1109" s="25" t="s">
        <v>1516</v>
      </c>
      <c r="E1109" s="25" t="s">
        <v>1509</v>
      </c>
      <c r="F1109" s="26" t="s">
        <v>466</v>
      </c>
      <c r="G1109" s="26" t="s">
        <v>466</v>
      </c>
      <c r="H1109" s="26"/>
      <c r="I1109" s="26"/>
      <c r="J1109" s="26">
        <v>1</v>
      </c>
      <c r="K1109" s="26">
        <v>138</v>
      </c>
      <c r="L1109" s="26" t="s">
        <v>28</v>
      </c>
      <c r="M1109" s="27">
        <v>978</v>
      </c>
      <c r="N1109" s="28"/>
      <c r="O1109" s="26" t="s">
        <v>29</v>
      </c>
      <c r="P1109" s="29"/>
      <c r="Q1109" s="6"/>
      <c r="R1109" s="29"/>
      <c r="S1109" s="10"/>
      <c r="T1109" s="8"/>
    </row>
    <row r="1110" spans="1:20" ht="15.75" customHeight="1" x14ac:dyDescent="0.35">
      <c r="A1110" s="25" t="s">
        <v>1304</v>
      </c>
      <c r="B1110" s="25" t="s">
        <v>1456</v>
      </c>
      <c r="C1110" s="26">
        <v>117311</v>
      </c>
      <c r="D1110" s="25" t="s">
        <v>1517</v>
      </c>
      <c r="E1110" s="25" t="s">
        <v>1398</v>
      </c>
      <c r="F1110" s="26" t="s">
        <v>555</v>
      </c>
      <c r="G1110" s="26" t="s">
        <v>555</v>
      </c>
      <c r="H1110" s="26"/>
      <c r="I1110" s="26"/>
      <c r="J1110" s="26">
        <v>1</v>
      </c>
      <c r="K1110" s="26">
        <v>138</v>
      </c>
      <c r="L1110" s="26" t="s">
        <v>28</v>
      </c>
      <c r="M1110" s="27">
        <v>958</v>
      </c>
      <c r="N1110" s="28"/>
      <c r="O1110" s="26" t="s">
        <v>29</v>
      </c>
      <c r="P1110" s="29"/>
      <c r="Q1110" s="6"/>
      <c r="R1110" s="29"/>
      <c r="S1110" s="10"/>
      <c r="T1110" s="8"/>
    </row>
    <row r="1111" spans="1:20" ht="15.75" customHeight="1" x14ac:dyDescent="0.35">
      <c r="A1111" s="25" t="s">
        <v>1304</v>
      </c>
      <c r="B1111" s="25" t="s">
        <v>1456</v>
      </c>
      <c r="C1111" s="26">
        <v>117349</v>
      </c>
      <c r="D1111" s="25" t="s">
        <v>1518</v>
      </c>
      <c r="E1111" s="25" t="s">
        <v>1519</v>
      </c>
      <c r="F1111" s="26" t="s">
        <v>469</v>
      </c>
      <c r="G1111" s="26" t="s">
        <v>469</v>
      </c>
      <c r="H1111" s="26"/>
      <c r="I1111" s="26"/>
      <c r="J1111" s="26">
        <v>1</v>
      </c>
      <c r="K1111" s="26">
        <v>138</v>
      </c>
      <c r="L1111" s="26" t="s">
        <v>28</v>
      </c>
      <c r="M1111" s="27">
        <v>983</v>
      </c>
      <c r="N1111" s="28"/>
      <c r="O1111" s="26" t="s">
        <v>29</v>
      </c>
      <c r="P1111" s="29"/>
      <c r="Q1111" s="6"/>
      <c r="R1111" s="29"/>
      <c r="S1111" s="10"/>
      <c r="T1111" s="8"/>
    </row>
    <row r="1112" spans="1:20" ht="15.75" customHeight="1" x14ac:dyDescent="0.35">
      <c r="A1112" s="25" t="s">
        <v>1304</v>
      </c>
      <c r="B1112" s="25" t="s">
        <v>1456</v>
      </c>
      <c r="C1112" s="26">
        <v>117353</v>
      </c>
      <c r="D1112" s="25" t="s">
        <v>1520</v>
      </c>
      <c r="E1112" s="25" t="s">
        <v>1519</v>
      </c>
      <c r="F1112" s="26" t="s">
        <v>469</v>
      </c>
      <c r="G1112" s="26" t="s">
        <v>469</v>
      </c>
      <c r="H1112" s="26"/>
      <c r="I1112" s="26"/>
      <c r="J1112" s="26">
        <v>1</v>
      </c>
      <c r="K1112" s="26">
        <v>138</v>
      </c>
      <c r="L1112" s="26" t="s">
        <v>28</v>
      </c>
      <c r="M1112" s="27">
        <v>991</v>
      </c>
      <c r="N1112" s="28"/>
      <c r="O1112" s="26" t="s">
        <v>29</v>
      </c>
      <c r="P1112" s="29"/>
      <c r="Q1112" s="6"/>
      <c r="R1112" s="29"/>
      <c r="S1112" s="10"/>
      <c r="T1112" s="8"/>
    </row>
    <row r="1113" spans="1:20" ht="15.75" customHeight="1" x14ac:dyDescent="0.35">
      <c r="A1113" s="25" t="s">
        <v>1304</v>
      </c>
      <c r="B1113" s="25" t="s">
        <v>1456</v>
      </c>
      <c r="C1113" s="26">
        <v>117359</v>
      </c>
      <c r="D1113" s="25" t="s">
        <v>1521</v>
      </c>
      <c r="E1113" s="25" t="s">
        <v>1519</v>
      </c>
      <c r="F1113" s="26" t="s">
        <v>469</v>
      </c>
      <c r="G1113" s="26" t="s">
        <v>469</v>
      </c>
      <c r="H1113" s="26"/>
      <c r="I1113" s="26"/>
      <c r="J1113" s="26">
        <v>1</v>
      </c>
      <c r="K1113" s="26">
        <v>138</v>
      </c>
      <c r="L1113" s="26" t="s">
        <v>28</v>
      </c>
      <c r="M1113" s="27">
        <v>998</v>
      </c>
      <c r="N1113" s="28"/>
      <c r="O1113" s="26" t="s">
        <v>29</v>
      </c>
      <c r="P1113" s="29"/>
      <c r="Q1113" s="6"/>
      <c r="R1113" s="29"/>
      <c r="S1113" s="10"/>
      <c r="T1113" s="8"/>
    </row>
    <row r="1114" spans="1:20" ht="15.75" customHeight="1" x14ac:dyDescent="0.35">
      <c r="A1114" s="25" t="s">
        <v>1304</v>
      </c>
      <c r="B1114" s="25" t="s">
        <v>1456</v>
      </c>
      <c r="C1114" s="26">
        <v>117363</v>
      </c>
      <c r="D1114" s="25" t="s">
        <v>1522</v>
      </c>
      <c r="E1114" s="25" t="s">
        <v>1519</v>
      </c>
      <c r="F1114" s="26" t="s">
        <v>469</v>
      </c>
      <c r="G1114" s="26" t="s">
        <v>469</v>
      </c>
      <c r="H1114" s="26"/>
      <c r="I1114" s="26"/>
      <c r="J1114" s="26">
        <v>1</v>
      </c>
      <c r="K1114" s="26">
        <v>138</v>
      </c>
      <c r="L1114" s="26" t="s">
        <v>28</v>
      </c>
      <c r="M1114" s="27">
        <v>1007</v>
      </c>
      <c r="N1114" s="28"/>
      <c r="O1114" s="26" t="s">
        <v>29</v>
      </c>
      <c r="P1114" s="29"/>
      <c r="Q1114" s="6"/>
      <c r="R1114" s="29"/>
      <c r="S1114" s="10"/>
      <c r="T1114" s="8"/>
    </row>
    <row r="1115" spans="1:20" ht="15.75" customHeight="1" x14ac:dyDescent="0.35">
      <c r="A1115" s="25" t="s">
        <v>1304</v>
      </c>
      <c r="B1115" s="25" t="s">
        <v>1456</v>
      </c>
      <c r="C1115" s="26">
        <v>117364</v>
      </c>
      <c r="D1115" s="25" t="s">
        <v>1523</v>
      </c>
      <c r="E1115" s="25" t="s">
        <v>1519</v>
      </c>
      <c r="F1115" s="26" t="s">
        <v>469</v>
      </c>
      <c r="G1115" s="26" t="s">
        <v>469</v>
      </c>
      <c r="H1115" s="26"/>
      <c r="I1115" s="26"/>
      <c r="J1115" s="26">
        <v>1</v>
      </c>
      <c r="K1115" s="26">
        <v>138</v>
      </c>
      <c r="L1115" s="26" t="s">
        <v>28</v>
      </c>
      <c r="M1115" s="27">
        <v>1025</v>
      </c>
      <c r="N1115" s="28"/>
      <c r="O1115" s="26" t="s">
        <v>29</v>
      </c>
      <c r="P1115" s="29"/>
      <c r="Q1115" s="6"/>
      <c r="R1115" s="29"/>
      <c r="S1115" s="10"/>
      <c r="T1115" s="8"/>
    </row>
    <row r="1116" spans="1:20" ht="15.75" customHeight="1" x14ac:dyDescent="0.35">
      <c r="A1116" s="25" t="s">
        <v>1304</v>
      </c>
      <c r="B1116" s="25" t="s">
        <v>1456</v>
      </c>
      <c r="C1116" s="26">
        <v>117366</v>
      </c>
      <c r="D1116" s="25" t="s">
        <v>1524</v>
      </c>
      <c r="E1116" s="25" t="s">
        <v>1519</v>
      </c>
      <c r="F1116" s="26" t="s">
        <v>469</v>
      </c>
      <c r="G1116" s="26" t="s">
        <v>469</v>
      </c>
      <c r="H1116" s="26"/>
      <c r="I1116" s="26"/>
      <c r="J1116" s="26">
        <v>1</v>
      </c>
      <c r="K1116" s="26">
        <v>138</v>
      </c>
      <c r="L1116" s="26" t="s">
        <v>28</v>
      </c>
      <c r="M1116" s="27">
        <v>985</v>
      </c>
      <c r="N1116" s="28"/>
      <c r="O1116" s="26" t="s">
        <v>29</v>
      </c>
      <c r="P1116" s="29"/>
      <c r="Q1116" s="6"/>
      <c r="R1116" s="29"/>
      <c r="S1116" s="10"/>
      <c r="T1116" s="8"/>
    </row>
    <row r="1117" spans="1:20" ht="15.75" customHeight="1" x14ac:dyDescent="0.35">
      <c r="A1117" s="25" t="s">
        <v>1304</v>
      </c>
      <c r="B1117" s="25" t="s">
        <v>1456</v>
      </c>
      <c r="C1117" s="26">
        <v>117376</v>
      </c>
      <c r="D1117" s="25" t="s">
        <v>1525</v>
      </c>
      <c r="E1117" s="25" t="s">
        <v>1519</v>
      </c>
      <c r="F1117" s="26" t="s">
        <v>469</v>
      </c>
      <c r="G1117" s="26" t="s">
        <v>469</v>
      </c>
      <c r="H1117" s="26"/>
      <c r="I1117" s="26"/>
      <c r="J1117" s="26">
        <v>1</v>
      </c>
      <c r="K1117" s="26">
        <v>138</v>
      </c>
      <c r="L1117" s="26" t="s">
        <v>28</v>
      </c>
      <c r="M1117" s="27">
        <v>1003</v>
      </c>
      <c r="N1117" s="28"/>
      <c r="O1117" s="26" t="s">
        <v>29</v>
      </c>
      <c r="P1117" s="29"/>
      <c r="Q1117" s="6"/>
      <c r="R1117" s="29"/>
      <c r="S1117" s="10"/>
      <c r="T1117" s="8"/>
    </row>
    <row r="1118" spans="1:20" ht="15.75" customHeight="1" x14ac:dyDescent="0.35">
      <c r="A1118" s="25" t="s">
        <v>1304</v>
      </c>
      <c r="B1118" s="25" t="s">
        <v>1456</v>
      </c>
      <c r="C1118" s="26">
        <v>117378</v>
      </c>
      <c r="D1118" s="25" t="s">
        <v>1526</v>
      </c>
      <c r="E1118" s="25" t="s">
        <v>1519</v>
      </c>
      <c r="F1118" s="26" t="s">
        <v>469</v>
      </c>
      <c r="G1118" s="26" t="s">
        <v>469</v>
      </c>
      <c r="H1118" s="26"/>
      <c r="I1118" s="26"/>
      <c r="J1118" s="26">
        <v>1</v>
      </c>
      <c r="K1118" s="26">
        <v>138</v>
      </c>
      <c r="L1118" s="26" t="s">
        <v>28</v>
      </c>
      <c r="M1118" s="27">
        <v>1011</v>
      </c>
      <c r="N1118" s="28"/>
      <c r="O1118" s="26" t="s">
        <v>29</v>
      </c>
      <c r="P1118" s="29"/>
      <c r="Q1118" s="6"/>
      <c r="R1118" s="29"/>
      <c r="S1118" s="10"/>
      <c r="T1118" s="8"/>
    </row>
    <row r="1119" spans="1:20" ht="15.75" customHeight="1" x14ac:dyDescent="0.35">
      <c r="A1119" s="25" t="s">
        <v>1304</v>
      </c>
      <c r="B1119" s="25" t="s">
        <v>1456</v>
      </c>
      <c r="C1119" s="26">
        <v>117416</v>
      </c>
      <c r="D1119" s="25" t="s">
        <v>1527</v>
      </c>
      <c r="E1119" s="25" t="s">
        <v>1528</v>
      </c>
      <c r="F1119" s="26" t="s">
        <v>215</v>
      </c>
      <c r="G1119" s="26" t="s">
        <v>215</v>
      </c>
      <c r="H1119" s="26"/>
      <c r="I1119" s="26"/>
      <c r="J1119" s="26">
        <v>1</v>
      </c>
      <c r="K1119" s="26">
        <v>138</v>
      </c>
      <c r="L1119" s="26" t="s">
        <v>28</v>
      </c>
      <c r="M1119" s="27">
        <v>954</v>
      </c>
      <c r="N1119" s="28"/>
      <c r="O1119" s="26" t="s">
        <v>29</v>
      </c>
      <c r="P1119" s="29"/>
      <c r="Q1119" s="6"/>
      <c r="R1119" s="29"/>
      <c r="S1119" s="10"/>
      <c r="T1119" s="8"/>
    </row>
    <row r="1120" spans="1:20" ht="15.75" customHeight="1" x14ac:dyDescent="0.35">
      <c r="A1120" s="25" t="s">
        <v>1304</v>
      </c>
      <c r="B1120" s="25" t="s">
        <v>1456</v>
      </c>
      <c r="C1120" s="26">
        <v>180501</v>
      </c>
      <c r="D1120" s="25" t="s">
        <v>1529</v>
      </c>
      <c r="E1120" s="25" t="s">
        <v>1478</v>
      </c>
      <c r="F1120" s="26" t="s">
        <v>469</v>
      </c>
      <c r="G1120" s="26" t="s">
        <v>469</v>
      </c>
      <c r="H1120" s="26"/>
      <c r="I1120" s="26"/>
      <c r="J1120" s="26">
        <v>1</v>
      </c>
      <c r="K1120" s="26">
        <v>138</v>
      </c>
      <c r="L1120" s="26" t="s">
        <v>28</v>
      </c>
      <c r="M1120" s="27">
        <v>994</v>
      </c>
      <c r="N1120" s="28"/>
      <c r="O1120" s="26" t="s">
        <v>29</v>
      </c>
      <c r="P1120" s="29"/>
      <c r="Q1120" s="6"/>
      <c r="R1120" s="29"/>
      <c r="S1120" s="10"/>
      <c r="T1120" s="8"/>
    </row>
    <row r="1121" spans="1:20" ht="15.75" customHeight="1" x14ac:dyDescent="0.35">
      <c r="A1121" s="25" t="s">
        <v>1304</v>
      </c>
      <c r="B1121" s="25" t="s">
        <v>1456</v>
      </c>
      <c r="C1121" s="26">
        <v>180502</v>
      </c>
      <c r="D1121" s="25" t="s">
        <v>1334</v>
      </c>
      <c r="E1121" s="25" t="s">
        <v>1478</v>
      </c>
      <c r="F1121" s="26" t="s">
        <v>469</v>
      </c>
      <c r="G1121" s="26" t="s">
        <v>469</v>
      </c>
      <c r="H1121" s="26"/>
      <c r="I1121" s="26"/>
      <c r="J1121" s="26">
        <v>1</v>
      </c>
      <c r="K1121" s="26">
        <v>138</v>
      </c>
      <c r="L1121" s="26" t="s">
        <v>28</v>
      </c>
      <c r="M1121" s="27">
        <v>1019</v>
      </c>
      <c r="N1121" s="28"/>
      <c r="O1121" s="26" t="s">
        <v>29</v>
      </c>
      <c r="P1121" s="29"/>
      <c r="Q1121" s="6"/>
      <c r="R1121" s="29"/>
      <c r="S1121" s="10"/>
      <c r="T1121" s="8"/>
    </row>
    <row r="1122" spans="1:20" ht="15.75" customHeight="1" x14ac:dyDescent="0.35">
      <c r="A1122" s="25" t="s">
        <v>1304</v>
      </c>
      <c r="B1122" s="25" t="s">
        <v>1456</v>
      </c>
      <c r="C1122" s="26">
        <v>180505</v>
      </c>
      <c r="D1122" s="25" t="s">
        <v>1530</v>
      </c>
      <c r="E1122" s="25" t="s">
        <v>1494</v>
      </c>
      <c r="F1122" s="26" t="s">
        <v>466</v>
      </c>
      <c r="G1122" s="26" t="s">
        <v>466</v>
      </c>
      <c r="H1122" s="26">
        <v>1</v>
      </c>
      <c r="I1122" s="26">
        <v>13</v>
      </c>
      <c r="J1122" s="26">
        <v>1</v>
      </c>
      <c r="K1122" s="26">
        <v>138</v>
      </c>
      <c r="L1122" s="26" t="s">
        <v>28</v>
      </c>
      <c r="M1122" s="27">
        <v>979</v>
      </c>
      <c r="N1122" s="28">
        <v>1116889.07</v>
      </c>
      <c r="O1122" s="26" t="s">
        <v>29</v>
      </c>
      <c r="P1122" s="29"/>
      <c r="Q1122" s="6"/>
      <c r="R1122" s="29"/>
      <c r="S1122" s="10"/>
      <c r="T1122" s="8">
        <v>1</v>
      </c>
    </row>
    <row r="1123" spans="1:20" ht="15.75" customHeight="1" x14ac:dyDescent="0.35">
      <c r="A1123" s="25" t="s">
        <v>1304</v>
      </c>
      <c r="B1123" s="25" t="s">
        <v>1456</v>
      </c>
      <c r="C1123" s="26">
        <v>180506</v>
      </c>
      <c r="D1123" s="25" t="s">
        <v>1531</v>
      </c>
      <c r="E1123" s="25" t="s">
        <v>1519</v>
      </c>
      <c r="F1123" s="26" t="s">
        <v>469</v>
      </c>
      <c r="G1123" s="26" t="s">
        <v>469</v>
      </c>
      <c r="H1123" s="26"/>
      <c r="I1123" s="26"/>
      <c r="J1123" s="26">
        <v>1</v>
      </c>
      <c r="K1123" s="26">
        <v>138</v>
      </c>
      <c r="L1123" s="26" t="s">
        <v>28</v>
      </c>
      <c r="M1123" s="27">
        <v>986</v>
      </c>
      <c r="N1123" s="28"/>
      <c r="O1123" s="26" t="s">
        <v>29</v>
      </c>
      <c r="P1123" s="29"/>
      <c r="Q1123" s="6"/>
      <c r="R1123" s="29"/>
      <c r="S1123" s="10"/>
      <c r="T1123" s="8"/>
    </row>
    <row r="1124" spans="1:20" ht="15.75" customHeight="1" x14ac:dyDescent="0.35">
      <c r="A1124" s="25" t="s">
        <v>1304</v>
      </c>
      <c r="B1124" s="25" t="s">
        <v>1456</v>
      </c>
      <c r="C1124" s="26">
        <v>180508</v>
      </c>
      <c r="D1124" s="25" t="s">
        <v>1532</v>
      </c>
      <c r="E1124" s="25" t="s">
        <v>1499</v>
      </c>
      <c r="F1124" s="26" t="s">
        <v>469</v>
      </c>
      <c r="G1124" s="26" t="s">
        <v>469</v>
      </c>
      <c r="H1124" s="26">
        <v>1</v>
      </c>
      <c r="I1124" s="26">
        <v>9</v>
      </c>
      <c r="J1124" s="26">
        <v>1</v>
      </c>
      <c r="K1124" s="26">
        <v>138</v>
      </c>
      <c r="L1124" s="26" t="s">
        <v>28</v>
      </c>
      <c r="M1124" s="27">
        <v>1001</v>
      </c>
      <c r="N1124" s="28">
        <v>958158.87</v>
      </c>
      <c r="O1124" s="26" t="s">
        <v>29</v>
      </c>
      <c r="P1124" s="29"/>
      <c r="Q1124" s="6"/>
      <c r="R1124" s="29"/>
      <c r="S1124" s="10"/>
      <c r="T1124" s="8">
        <v>1</v>
      </c>
    </row>
    <row r="1125" spans="1:20" ht="15.75" customHeight="1" x14ac:dyDescent="0.35">
      <c r="A1125" s="25" t="s">
        <v>1304</v>
      </c>
      <c r="B1125" s="25" t="s">
        <v>1456</v>
      </c>
      <c r="C1125" s="26">
        <v>180512</v>
      </c>
      <c r="D1125" s="25" t="s">
        <v>1533</v>
      </c>
      <c r="E1125" s="25" t="s">
        <v>1473</v>
      </c>
      <c r="F1125" s="26" t="s">
        <v>469</v>
      </c>
      <c r="G1125" s="26" t="s">
        <v>469</v>
      </c>
      <c r="H1125" s="26"/>
      <c r="I1125" s="26"/>
      <c r="J1125" s="26">
        <v>1</v>
      </c>
      <c r="K1125" s="26">
        <v>138</v>
      </c>
      <c r="L1125" s="26" t="s">
        <v>28</v>
      </c>
      <c r="M1125" s="27">
        <v>1008</v>
      </c>
      <c r="N1125" s="28"/>
      <c r="O1125" s="26" t="s">
        <v>29</v>
      </c>
      <c r="P1125" s="29"/>
      <c r="Q1125" s="6"/>
      <c r="R1125" s="29"/>
      <c r="S1125" s="10"/>
      <c r="T1125" s="8"/>
    </row>
    <row r="1126" spans="1:20" ht="15.75" customHeight="1" x14ac:dyDescent="0.35">
      <c r="A1126" s="25" t="s">
        <v>1304</v>
      </c>
      <c r="B1126" s="25" t="s">
        <v>1456</v>
      </c>
      <c r="C1126" s="26">
        <v>180513</v>
      </c>
      <c r="D1126" s="25" t="s">
        <v>1534</v>
      </c>
      <c r="E1126" s="25" t="s">
        <v>1494</v>
      </c>
      <c r="F1126" s="26" t="s">
        <v>466</v>
      </c>
      <c r="G1126" s="26" t="s">
        <v>466</v>
      </c>
      <c r="H1126" s="26"/>
      <c r="I1126" s="26"/>
      <c r="J1126" s="26">
        <v>1</v>
      </c>
      <c r="K1126" s="26">
        <v>138</v>
      </c>
      <c r="L1126" s="26" t="s">
        <v>28</v>
      </c>
      <c r="M1126" s="27">
        <v>967</v>
      </c>
      <c r="N1126" s="28"/>
      <c r="O1126" s="26" t="s">
        <v>29</v>
      </c>
      <c r="P1126" s="29"/>
      <c r="Q1126" s="6"/>
      <c r="R1126" s="29"/>
      <c r="S1126" s="10"/>
      <c r="T1126" s="8"/>
    </row>
    <row r="1127" spans="1:20" ht="15.75" customHeight="1" x14ac:dyDescent="0.35">
      <c r="A1127" s="25" t="s">
        <v>1304</v>
      </c>
      <c r="B1127" s="25" t="s">
        <v>1456</v>
      </c>
      <c r="C1127" s="26">
        <v>180514</v>
      </c>
      <c r="D1127" s="25" t="s">
        <v>1535</v>
      </c>
      <c r="E1127" s="25" t="s">
        <v>1473</v>
      </c>
      <c r="F1127" s="26" t="s">
        <v>469</v>
      </c>
      <c r="G1127" s="26" t="s">
        <v>469</v>
      </c>
      <c r="H1127" s="26"/>
      <c r="I1127" s="26"/>
      <c r="J1127" s="26">
        <v>1</v>
      </c>
      <c r="K1127" s="26">
        <v>138</v>
      </c>
      <c r="L1127" s="26" t="s">
        <v>28</v>
      </c>
      <c r="M1127" s="27">
        <v>1018</v>
      </c>
      <c r="N1127" s="28"/>
      <c r="O1127" s="26" t="s">
        <v>29</v>
      </c>
      <c r="P1127" s="29"/>
      <c r="Q1127" s="6"/>
      <c r="R1127" s="29"/>
      <c r="S1127" s="10"/>
      <c r="T1127" s="8"/>
    </row>
    <row r="1128" spans="1:20" ht="15.75" customHeight="1" x14ac:dyDescent="0.35">
      <c r="A1128" s="25" t="s">
        <v>1304</v>
      </c>
      <c r="B1128" s="25" t="s">
        <v>1456</v>
      </c>
      <c r="C1128" s="26">
        <v>180518</v>
      </c>
      <c r="D1128" s="25" t="s">
        <v>1536</v>
      </c>
      <c r="E1128" s="25" t="s">
        <v>1499</v>
      </c>
      <c r="F1128" s="26" t="s">
        <v>469</v>
      </c>
      <c r="G1128" s="26" t="s">
        <v>469</v>
      </c>
      <c r="H1128" s="26">
        <v>1</v>
      </c>
      <c r="I1128" s="26">
        <v>9</v>
      </c>
      <c r="J1128" s="26">
        <v>1</v>
      </c>
      <c r="K1128" s="26">
        <v>138</v>
      </c>
      <c r="L1128" s="26" t="s">
        <v>28</v>
      </c>
      <c r="M1128" s="27">
        <v>980</v>
      </c>
      <c r="N1128" s="28">
        <v>723035.78</v>
      </c>
      <c r="O1128" s="26" t="s">
        <v>29</v>
      </c>
      <c r="P1128" s="29"/>
      <c r="Q1128" s="6"/>
      <c r="R1128" s="29"/>
      <c r="S1128" s="10"/>
      <c r="T1128" s="8">
        <v>1</v>
      </c>
    </row>
    <row r="1129" spans="1:20" ht="15.75" customHeight="1" x14ac:dyDescent="0.35">
      <c r="A1129" s="25" t="s">
        <v>1304</v>
      </c>
      <c r="B1129" s="25" t="s">
        <v>1456</v>
      </c>
      <c r="C1129" s="26">
        <v>180519</v>
      </c>
      <c r="D1129" s="25" t="s">
        <v>1537</v>
      </c>
      <c r="E1129" s="25" t="s">
        <v>1473</v>
      </c>
      <c r="F1129" s="26" t="s">
        <v>469</v>
      </c>
      <c r="G1129" s="26" t="s">
        <v>469</v>
      </c>
      <c r="H1129" s="26"/>
      <c r="I1129" s="26"/>
      <c r="J1129" s="26">
        <v>1</v>
      </c>
      <c r="K1129" s="26">
        <v>138</v>
      </c>
      <c r="L1129" s="26" t="s">
        <v>28</v>
      </c>
      <c r="M1129" s="27">
        <v>993</v>
      </c>
      <c r="N1129" s="28"/>
      <c r="O1129" s="26" t="s">
        <v>29</v>
      </c>
      <c r="P1129" s="29"/>
      <c r="Q1129" s="6"/>
      <c r="R1129" s="29"/>
      <c r="S1129" s="10"/>
      <c r="T1129" s="8"/>
    </row>
    <row r="1130" spans="1:20" ht="15.75" customHeight="1" x14ac:dyDescent="0.35">
      <c r="A1130" s="25" t="s">
        <v>1304</v>
      </c>
      <c r="B1130" s="25" t="s">
        <v>1456</v>
      </c>
      <c r="C1130" s="26">
        <v>180520</v>
      </c>
      <c r="D1130" s="25" t="s">
        <v>1538</v>
      </c>
      <c r="E1130" s="25" t="s">
        <v>1478</v>
      </c>
      <c r="F1130" s="26" t="s">
        <v>469</v>
      </c>
      <c r="G1130" s="26" t="s">
        <v>469</v>
      </c>
      <c r="H1130" s="26"/>
      <c r="I1130" s="26"/>
      <c r="J1130" s="26">
        <v>1</v>
      </c>
      <c r="K1130" s="26">
        <v>138</v>
      </c>
      <c r="L1130" s="26" t="s">
        <v>28</v>
      </c>
      <c r="M1130" s="27">
        <v>997</v>
      </c>
      <c r="N1130" s="28"/>
      <c r="O1130" s="26" t="s">
        <v>29</v>
      </c>
      <c r="P1130" s="29"/>
      <c r="Q1130" s="6"/>
      <c r="R1130" s="29"/>
      <c r="S1130" s="10"/>
      <c r="T1130" s="8"/>
    </row>
    <row r="1131" spans="1:20" ht="15.75" customHeight="1" x14ac:dyDescent="0.35">
      <c r="A1131" s="25" t="s">
        <v>1304</v>
      </c>
      <c r="B1131" s="25" t="s">
        <v>1456</v>
      </c>
      <c r="C1131" s="26">
        <v>180521</v>
      </c>
      <c r="D1131" s="25" t="s">
        <v>1539</v>
      </c>
      <c r="E1131" s="25" t="s">
        <v>1519</v>
      </c>
      <c r="F1131" s="26" t="s">
        <v>469</v>
      </c>
      <c r="G1131" s="26" t="s">
        <v>469</v>
      </c>
      <c r="H1131" s="26"/>
      <c r="I1131" s="26"/>
      <c r="J1131" s="26">
        <v>1</v>
      </c>
      <c r="K1131" s="26">
        <v>138</v>
      </c>
      <c r="L1131" s="26" t="s">
        <v>28</v>
      </c>
      <c r="M1131" s="27">
        <v>995</v>
      </c>
      <c r="N1131" s="28"/>
      <c r="O1131" s="26" t="s">
        <v>29</v>
      </c>
      <c r="P1131" s="29"/>
      <c r="Q1131" s="6"/>
      <c r="R1131" s="29"/>
      <c r="S1131" s="10"/>
      <c r="T1131" s="8"/>
    </row>
    <row r="1132" spans="1:20" ht="15.75" customHeight="1" x14ac:dyDescent="0.35">
      <c r="A1132" s="25" t="s">
        <v>1304</v>
      </c>
      <c r="B1132" s="25" t="s">
        <v>1456</v>
      </c>
      <c r="C1132" s="26">
        <v>180522</v>
      </c>
      <c r="D1132" s="25" t="s">
        <v>1540</v>
      </c>
      <c r="E1132" s="25" t="s">
        <v>1519</v>
      </c>
      <c r="F1132" s="26" t="s">
        <v>469</v>
      </c>
      <c r="G1132" s="26" t="s">
        <v>469</v>
      </c>
      <c r="H1132" s="26"/>
      <c r="I1132" s="26"/>
      <c r="J1132" s="26">
        <v>1</v>
      </c>
      <c r="K1132" s="26">
        <v>138</v>
      </c>
      <c r="L1132" s="26" t="s">
        <v>28</v>
      </c>
      <c r="M1132" s="27">
        <v>1009</v>
      </c>
      <c r="N1132" s="28"/>
      <c r="O1132" s="26" t="s">
        <v>29</v>
      </c>
      <c r="P1132" s="29"/>
      <c r="Q1132" s="6"/>
      <c r="R1132" s="29"/>
      <c r="S1132" s="10"/>
      <c r="T1132" s="8"/>
    </row>
    <row r="1133" spans="1:20" ht="15.75" customHeight="1" x14ac:dyDescent="0.35">
      <c r="A1133" s="25" t="s">
        <v>1304</v>
      </c>
      <c r="B1133" s="25" t="s">
        <v>1456</v>
      </c>
      <c r="C1133" s="26">
        <v>180523</v>
      </c>
      <c r="D1133" s="25" t="s">
        <v>1541</v>
      </c>
      <c r="E1133" s="25" t="s">
        <v>1542</v>
      </c>
      <c r="F1133" s="26" t="s">
        <v>469</v>
      </c>
      <c r="G1133" s="26" t="s">
        <v>469</v>
      </c>
      <c r="H1133" s="26"/>
      <c r="I1133" s="26"/>
      <c r="J1133" s="26">
        <v>1</v>
      </c>
      <c r="K1133" s="26">
        <v>138</v>
      </c>
      <c r="L1133" s="26" t="s">
        <v>28</v>
      </c>
      <c r="M1133" s="27">
        <v>1024</v>
      </c>
      <c r="N1133" s="28"/>
      <c r="O1133" s="26" t="s">
        <v>29</v>
      </c>
      <c r="P1133" s="29"/>
      <c r="Q1133" s="6"/>
      <c r="R1133" s="29"/>
      <c r="S1133" s="10"/>
      <c r="T1133" s="8"/>
    </row>
    <row r="1134" spans="1:20" ht="15.75" customHeight="1" x14ac:dyDescent="0.35">
      <c r="A1134" s="25" t="s">
        <v>1304</v>
      </c>
      <c r="B1134" s="25" t="s">
        <v>1543</v>
      </c>
      <c r="C1134" s="26">
        <v>117924</v>
      </c>
      <c r="D1134" s="25" t="s">
        <v>1544</v>
      </c>
      <c r="E1134" s="25" t="s">
        <v>1545</v>
      </c>
      <c r="F1134" s="26" t="s">
        <v>555</v>
      </c>
      <c r="G1134" s="26" t="s">
        <v>555</v>
      </c>
      <c r="H1134" s="26"/>
      <c r="I1134" s="26"/>
      <c r="J1134" s="26">
        <v>1</v>
      </c>
      <c r="K1134" s="26">
        <v>138</v>
      </c>
      <c r="L1134" s="26" t="s">
        <v>28</v>
      </c>
      <c r="M1134" s="27">
        <v>1840</v>
      </c>
      <c r="N1134" s="28"/>
      <c r="O1134" s="26" t="s">
        <v>29</v>
      </c>
      <c r="P1134" s="29"/>
      <c r="Q1134" s="6"/>
      <c r="R1134" s="29"/>
      <c r="S1134" s="10"/>
      <c r="T1134" s="8"/>
    </row>
    <row r="1135" spans="1:20" ht="15.75" customHeight="1" x14ac:dyDescent="0.35">
      <c r="A1135" s="25" t="s">
        <v>1304</v>
      </c>
      <c r="B1135" s="25" t="s">
        <v>1543</v>
      </c>
      <c r="C1135" s="26">
        <v>186002</v>
      </c>
      <c r="D1135" s="25" t="s">
        <v>1546</v>
      </c>
      <c r="E1135" s="25" t="s">
        <v>1545</v>
      </c>
      <c r="F1135" s="26" t="s">
        <v>555</v>
      </c>
      <c r="G1135" s="26" t="s">
        <v>555</v>
      </c>
      <c r="H1135" s="26"/>
      <c r="I1135" s="26"/>
      <c r="J1135" s="26">
        <v>1</v>
      </c>
      <c r="K1135" s="26">
        <v>138</v>
      </c>
      <c r="L1135" s="26" t="s">
        <v>28</v>
      </c>
      <c r="M1135" s="27">
        <v>1838</v>
      </c>
      <c r="N1135" s="28"/>
      <c r="O1135" s="26" t="s">
        <v>29</v>
      </c>
      <c r="P1135" s="29"/>
      <c r="Q1135" s="6"/>
      <c r="R1135" s="29"/>
      <c r="S1135" s="10"/>
      <c r="T1135" s="8"/>
    </row>
    <row r="1136" spans="1:20" ht="15.75" customHeight="1" x14ac:dyDescent="0.35">
      <c r="A1136" s="25" t="s">
        <v>1304</v>
      </c>
      <c r="B1136" s="25" t="s">
        <v>1543</v>
      </c>
      <c r="C1136" s="26">
        <v>186004</v>
      </c>
      <c r="D1136" s="25" t="s">
        <v>1547</v>
      </c>
      <c r="E1136" s="25" t="s">
        <v>1545</v>
      </c>
      <c r="F1136" s="26" t="s">
        <v>555</v>
      </c>
      <c r="G1136" s="26" t="s">
        <v>555</v>
      </c>
      <c r="H1136" s="26"/>
      <c r="I1136" s="26"/>
      <c r="J1136" s="26">
        <v>1</v>
      </c>
      <c r="K1136" s="26">
        <v>138</v>
      </c>
      <c r="L1136" s="26" t="s">
        <v>28</v>
      </c>
      <c r="M1136" s="27">
        <v>1839</v>
      </c>
      <c r="N1136" s="28"/>
      <c r="O1136" s="26" t="s">
        <v>29</v>
      </c>
      <c r="P1136" s="29"/>
      <c r="Q1136" s="6"/>
      <c r="R1136" s="29"/>
      <c r="S1136" s="10"/>
      <c r="T1136" s="8"/>
    </row>
    <row r="1137" spans="1:20" ht="15.75" customHeight="1" x14ac:dyDescent="0.35">
      <c r="A1137" s="25" t="s">
        <v>1304</v>
      </c>
      <c r="B1137" s="25" t="s">
        <v>1548</v>
      </c>
      <c r="C1137" s="26">
        <v>117701</v>
      </c>
      <c r="D1137" s="25" t="s">
        <v>1549</v>
      </c>
      <c r="E1137" s="25" t="s">
        <v>1550</v>
      </c>
      <c r="F1137" s="26" t="s">
        <v>90</v>
      </c>
      <c r="G1137" s="26" t="s">
        <v>90</v>
      </c>
      <c r="H1137" s="26">
        <v>1</v>
      </c>
      <c r="I1137" s="26">
        <v>4</v>
      </c>
      <c r="J1137" s="26">
        <v>1</v>
      </c>
      <c r="K1137" s="26">
        <v>138</v>
      </c>
      <c r="L1137" s="26" t="s">
        <v>28</v>
      </c>
      <c r="M1137" s="27">
        <v>1065</v>
      </c>
      <c r="N1137" s="28">
        <v>841603.67</v>
      </c>
      <c r="O1137" s="26" t="s">
        <v>29</v>
      </c>
      <c r="P1137" s="29"/>
      <c r="Q1137" s="6"/>
      <c r="R1137" s="29"/>
      <c r="S1137" s="10"/>
      <c r="T1137" s="8">
        <v>1</v>
      </c>
    </row>
    <row r="1138" spans="1:20" ht="15.75" customHeight="1" x14ac:dyDescent="0.35">
      <c r="A1138" s="25" t="s">
        <v>1304</v>
      </c>
      <c r="B1138" s="25" t="s">
        <v>1548</v>
      </c>
      <c r="C1138" s="26">
        <v>117702</v>
      </c>
      <c r="D1138" s="25" t="s">
        <v>1551</v>
      </c>
      <c r="E1138" s="25" t="s">
        <v>1550</v>
      </c>
      <c r="F1138" s="26" t="s">
        <v>90</v>
      </c>
      <c r="G1138" s="26" t="s">
        <v>90</v>
      </c>
      <c r="H1138" s="26">
        <v>1</v>
      </c>
      <c r="I1138" s="26">
        <v>9</v>
      </c>
      <c r="J1138" s="26">
        <v>1</v>
      </c>
      <c r="K1138" s="26">
        <v>138</v>
      </c>
      <c r="L1138" s="26" t="s">
        <v>28</v>
      </c>
      <c r="M1138" s="27">
        <v>1066</v>
      </c>
      <c r="N1138" s="28">
        <v>433936.72</v>
      </c>
      <c r="O1138" s="26" t="s">
        <v>29</v>
      </c>
      <c r="P1138" s="29"/>
      <c r="Q1138" s="6"/>
      <c r="R1138" s="29"/>
      <c r="S1138" s="10"/>
      <c r="T1138" s="8">
        <v>1</v>
      </c>
    </row>
    <row r="1139" spans="1:20" ht="15.75" customHeight="1" x14ac:dyDescent="0.35">
      <c r="A1139" s="25" t="s">
        <v>1304</v>
      </c>
      <c r="B1139" s="25" t="s">
        <v>1548</v>
      </c>
      <c r="C1139" s="26">
        <v>117731</v>
      </c>
      <c r="D1139" s="25" t="s">
        <v>1552</v>
      </c>
      <c r="E1139" s="25" t="s">
        <v>1550</v>
      </c>
      <c r="F1139" s="26" t="s">
        <v>90</v>
      </c>
      <c r="G1139" s="26" t="s">
        <v>90</v>
      </c>
      <c r="H1139" s="26">
        <v>1</v>
      </c>
      <c r="I1139" s="26">
        <v>9</v>
      </c>
      <c r="J1139" s="26">
        <v>1</v>
      </c>
      <c r="K1139" s="26">
        <v>138</v>
      </c>
      <c r="L1139" s="26" t="s">
        <v>28</v>
      </c>
      <c r="M1139" s="27">
        <v>1062</v>
      </c>
      <c r="N1139" s="28">
        <v>572834.21</v>
      </c>
      <c r="O1139" s="26" t="s">
        <v>29</v>
      </c>
      <c r="P1139" s="29"/>
      <c r="Q1139" s="6"/>
      <c r="R1139" s="29"/>
      <c r="S1139" s="10"/>
      <c r="T1139" s="8">
        <v>1</v>
      </c>
    </row>
    <row r="1140" spans="1:20" ht="15.75" customHeight="1" x14ac:dyDescent="0.35">
      <c r="A1140" s="25" t="s">
        <v>1304</v>
      </c>
      <c r="B1140" s="25" t="s">
        <v>1548</v>
      </c>
      <c r="C1140" s="26">
        <v>117732</v>
      </c>
      <c r="D1140" s="25" t="s">
        <v>1553</v>
      </c>
      <c r="E1140" s="25" t="s">
        <v>1550</v>
      </c>
      <c r="F1140" s="26" t="s">
        <v>90</v>
      </c>
      <c r="G1140" s="26" t="s">
        <v>90</v>
      </c>
      <c r="H1140" s="26">
        <v>1</v>
      </c>
      <c r="I1140" s="26">
        <v>9</v>
      </c>
      <c r="J1140" s="26">
        <v>1</v>
      </c>
      <c r="K1140" s="26">
        <v>138</v>
      </c>
      <c r="L1140" s="26" t="s">
        <v>28</v>
      </c>
      <c r="M1140" s="27">
        <v>1063</v>
      </c>
      <c r="N1140" s="28">
        <v>504099.64</v>
      </c>
      <c r="O1140" s="26" t="s">
        <v>29</v>
      </c>
      <c r="P1140" s="29"/>
      <c r="Q1140" s="6"/>
      <c r="R1140" s="29"/>
      <c r="S1140" s="10"/>
      <c r="T1140" s="8">
        <v>1</v>
      </c>
    </row>
    <row r="1141" spans="1:20" ht="15.75" customHeight="1" x14ac:dyDescent="0.35">
      <c r="A1141" s="25" t="s">
        <v>1304</v>
      </c>
      <c r="B1141" s="25" t="s">
        <v>1548</v>
      </c>
      <c r="C1141" s="26">
        <v>117736</v>
      </c>
      <c r="D1141" s="25" t="s">
        <v>1554</v>
      </c>
      <c r="E1141" s="25" t="s">
        <v>1550</v>
      </c>
      <c r="F1141" s="26" t="s">
        <v>90</v>
      </c>
      <c r="G1141" s="26" t="s">
        <v>90</v>
      </c>
      <c r="H1141" s="26"/>
      <c r="I1141" s="26"/>
      <c r="J1141" s="26">
        <v>1</v>
      </c>
      <c r="K1141" s="26">
        <v>138</v>
      </c>
      <c r="L1141" s="26" t="s">
        <v>28</v>
      </c>
      <c r="M1141" s="27">
        <v>1064</v>
      </c>
      <c r="N1141" s="28"/>
      <c r="O1141" s="26" t="s">
        <v>29</v>
      </c>
      <c r="P1141" s="29"/>
      <c r="Q1141" s="6"/>
      <c r="R1141" s="29"/>
      <c r="S1141" s="10"/>
      <c r="T1141" s="8"/>
    </row>
    <row r="1142" spans="1:20" ht="15.75" customHeight="1" x14ac:dyDescent="0.35">
      <c r="A1142" s="25" t="s">
        <v>1304</v>
      </c>
      <c r="B1142" s="25" t="s">
        <v>1548</v>
      </c>
      <c r="C1142" s="26">
        <v>184001</v>
      </c>
      <c r="D1142" s="25" t="s">
        <v>1555</v>
      </c>
      <c r="E1142" s="25" t="s">
        <v>1550</v>
      </c>
      <c r="F1142" s="26" t="s">
        <v>90</v>
      </c>
      <c r="G1142" s="26" t="s">
        <v>90</v>
      </c>
      <c r="H1142" s="26">
        <v>1</v>
      </c>
      <c r="I1142" s="26">
        <v>11</v>
      </c>
      <c r="J1142" s="26">
        <v>1</v>
      </c>
      <c r="K1142" s="26">
        <v>138</v>
      </c>
      <c r="L1142" s="26" t="s">
        <v>28</v>
      </c>
      <c r="M1142" s="27">
        <v>1067</v>
      </c>
      <c r="N1142" s="28">
        <v>570050.57999999996</v>
      </c>
      <c r="O1142" s="26" t="s">
        <v>29</v>
      </c>
      <c r="P1142" s="29"/>
      <c r="Q1142" s="6"/>
      <c r="R1142" s="29"/>
      <c r="S1142" s="10"/>
      <c r="T1142" s="8">
        <v>1</v>
      </c>
    </row>
    <row r="1143" spans="1:20" ht="15.75" customHeight="1" x14ac:dyDescent="0.35">
      <c r="A1143" s="25" t="s">
        <v>1304</v>
      </c>
      <c r="B1143" s="25" t="s">
        <v>488</v>
      </c>
      <c r="C1143" s="26">
        <v>117743</v>
      </c>
      <c r="D1143" s="25" t="s">
        <v>1556</v>
      </c>
      <c r="E1143" s="25" t="s">
        <v>490</v>
      </c>
      <c r="F1143" s="26" t="s">
        <v>215</v>
      </c>
      <c r="G1143" s="26" t="s">
        <v>215</v>
      </c>
      <c r="H1143" s="26"/>
      <c r="I1143" s="26"/>
      <c r="J1143" s="26">
        <v>1</v>
      </c>
      <c r="K1143" s="26">
        <v>138</v>
      </c>
      <c r="L1143" s="26" t="s">
        <v>28</v>
      </c>
      <c r="M1143" s="27">
        <v>1070</v>
      </c>
      <c r="N1143" s="28"/>
      <c r="O1143" s="26" t="s">
        <v>29</v>
      </c>
      <c r="P1143" s="29"/>
      <c r="Q1143" s="6"/>
      <c r="R1143" s="29"/>
      <c r="S1143" s="10"/>
      <c r="T1143" s="8"/>
    </row>
    <row r="1144" spans="1:20" ht="15.75" customHeight="1" x14ac:dyDescent="0.35">
      <c r="A1144" s="25" t="s">
        <v>1304</v>
      </c>
      <c r="B1144" s="25" t="s">
        <v>488</v>
      </c>
      <c r="C1144" s="26">
        <v>117751</v>
      </c>
      <c r="D1144" s="25" t="s">
        <v>1557</v>
      </c>
      <c r="E1144" s="25" t="s">
        <v>490</v>
      </c>
      <c r="F1144" s="26" t="s">
        <v>215</v>
      </c>
      <c r="G1144" s="26" t="s">
        <v>215</v>
      </c>
      <c r="H1144" s="26"/>
      <c r="I1144" s="26"/>
      <c r="J1144" s="26">
        <v>1</v>
      </c>
      <c r="K1144" s="26">
        <v>138</v>
      </c>
      <c r="L1144" s="26" t="s">
        <v>28</v>
      </c>
      <c r="M1144" s="27">
        <v>1078</v>
      </c>
      <c r="N1144" s="28"/>
      <c r="O1144" s="26" t="s">
        <v>29</v>
      </c>
      <c r="P1144" s="29"/>
      <c r="Q1144" s="6"/>
      <c r="R1144" s="29"/>
      <c r="S1144" s="10"/>
      <c r="T1144" s="8"/>
    </row>
    <row r="1145" spans="1:20" ht="15.75" customHeight="1" x14ac:dyDescent="0.35">
      <c r="A1145" s="25" t="s">
        <v>1304</v>
      </c>
      <c r="B1145" s="25" t="s">
        <v>488</v>
      </c>
      <c r="C1145" s="26">
        <v>117755</v>
      </c>
      <c r="D1145" s="25" t="s">
        <v>940</v>
      </c>
      <c r="E1145" s="25" t="s">
        <v>490</v>
      </c>
      <c r="F1145" s="26" t="s">
        <v>215</v>
      </c>
      <c r="G1145" s="26" t="s">
        <v>215</v>
      </c>
      <c r="H1145" s="26"/>
      <c r="I1145" s="26"/>
      <c r="J1145" s="26">
        <v>1</v>
      </c>
      <c r="K1145" s="26">
        <v>138</v>
      </c>
      <c r="L1145" s="26" t="s">
        <v>28</v>
      </c>
      <c r="M1145" s="27">
        <v>1084</v>
      </c>
      <c r="N1145" s="28"/>
      <c r="O1145" s="26" t="s">
        <v>29</v>
      </c>
      <c r="P1145" s="29"/>
      <c r="Q1145" s="6"/>
      <c r="R1145" s="29"/>
      <c r="S1145" s="10"/>
      <c r="T1145" s="8"/>
    </row>
    <row r="1146" spans="1:20" ht="15.75" customHeight="1" x14ac:dyDescent="0.35">
      <c r="A1146" s="25" t="s">
        <v>1304</v>
      </c>
      <c r="B1146" s="25" t="s">
        <v>488</v>
      </c>
      <c r="C1146" s="26">
        <v>117759</v>
      </c>
      <c r="D1146" s="25" t="s">
        <v>1558</v>
      </c>
      <c r="E1146" s="25" t="s">
        <v>490</v>
      </c>
      <c r="F1146" s="26" t="s">
        <v>215</v>
      </c>
      <c r="G1146" s="26" t="s">
        <v>215</v>
      </c>
      <c r="H1146" s="26"/>
      <c r="I1146" s="26"/>
      <c r="J1146" s="26">
        <v>1</v>
      </c>
      <c r="K1146" s="26">
        <v>138</v>
      </c>
      <c r="L1146" s="26" t="s">
        <v>28</v>
      </c>
      <c r="M1146" s="27">
        <v>1071</v>
      </c>
      <c r="N1146" s="28"/>
      <c r="O1146" s="26" t="s">
        <v>29</v>
      </c>
      <c r="P1146" s="29"/>
      <c r="Q1146" s="6"/>
      <c r="R1146" s="29"/>
      <c r="S1146" s="10"/>
      <c r="T1146" s="8"/>
    </row>
    <row r="1147" spans="1:20" ht="15.75" customHeight="1" x14ac:dyDescent="0.35">
      <c r="A1147" s="25" t="s">
        <v>1304</v>
      </c>
      <c r="B1147" s="25" t="s">
        <v>488</v>
      </c>
      <c r="C1147" s="26">
        <v>117761</v>
      </c>
      <c r="D1147" s="25" t="s">
        <v>1559</v>
      </c>
      <c r="E1147" s="25" t="s">
        <v>490</v>
      </c>
      <c r="F1147" s="26" t="s">
        <v>215</v>
      </c>
      <c r="G1147" s="26" t="s">
        <v>215</v>
      </c>
      <c r="H1147" s="26"/>
      <c r="I1147" s="26"/>
      <c r="J1147" s="26">
        <v>1</v>
      </c>
      <c r="K1147" s="26">
        <v>138</v>
      </c>
      <c r="L1147" s="26" t="s">
        <v>28</v>
      </c>
      <c r="M1147" s="27">
        <v>1073</v>
      </c>
      <c r="N1147" s="28"/>
      <c r="O1147" s="26" t="s">
        <v>29</v>
      </c>
      <c r="P1147" s="29"/>
      <c r="Q1147" s="6"/>
      <c r="R1147" s="29"/>
      <c r="S1147" s="10"/>
      <c r="T1147" s="8"/>
    </row>
    <row r="1148" spans="1:20" ht="15.75" customHeight="1" x14ac:dyDescent="0.35">
      <c r="A1148" s="25" t="s">
        <v>1304</v>
      </c>
      <c r="B1148" s="25" t="s">
        <v>488</v>
      </c>
      <c r="C1148" s="26">
        <v>117767</v>
      </c>
      <c r="D1148" s="25" t="s">
        <v>1560</v>
      </c>
      <c r="E1148" s="25" t="s">
        <v>490</v>
      </c>
      <c r="F1148" s="26" t="s">
        <v>215</v>
      </c>
      <c r="G1148" s="26" t="s">
        <v>215</v>
      </c>
      <c r="H1148" s="26"/>
      <c r="I1148" s="26"/>
      <c r="J1148" s="26">
        <v>1</v>
      </c>
      <c r="K1148" s="26">
        <v>138</v>
      </c>
      <c r="L1148" s="26" t="s">
        <v>28</v>
      </c>
      <c r="M1148" s="27">
        <v>1085</v>
      </c>
      <c r="N1148" s="28"/>
      <c r="O1148" s="26" t="s">
        <v>29</v>
      </c>
      <c r="P1148" s="29"/>
      <c r="Q1148" s="6"/>
      <c r="R1148" s="29"/>
      <c r="S1148" s="10"/>
      <c r="T1148" s="8"/>
    </row>
    <row r="1149" spans="1:20" ht="15.75" customHeight="1" x14ac:dyDescent="0.35">
      <c r="A1149" s="25" t="s">
        <v>1304</v>
      </c>
      <c r="B1149" s="25" t="s">
        <v>488</v>
      </c>
      <c r="C1149" s="26">
        <v>117769</v>
      </c>
      <c r="D1149" s="25" t="s">
        <v>1561</v>
      </c>
      <c r="E1149" s="25" t="s">
        <v>490</v>
      </c>
      <c r="F1149" s="26" t="s">
        <v>215</v>
      </c>
      <c r="G1149" s="26" t="s">
        <v>215</v>
      </c>
      <c r="H1149" s="26"/>
      <c r="I1149" s="26"/>
      <c r="J1149" s="26">
        <v>1</v>
      </c>
      <c r="K1149" s="26">
        <v>138</v>
      </c>
      <c r="L1149" s="26" t="s">
        <v>28</v>
      </c>
      <c r="M1149" s="27">
        <v>1069</v>
      </c>
      <c r="N1149" s="28"/>
      <c r="O1149" s="26" t="s">
        <v>29</v>
      </c>
      <c r="P1149" s="29"/>
      <c r="Q1149" s="6"/>
      <c r="R1149" s="29"/>
      <c r="S1149" s="10"/>
      <c r="T1149" s="8"/>
    </row>
    <row r="1150" spans="1:20" ht="15.75" customHeight="1" x14ac:dyDescent="0.35">
      <c r="A1150" s="25" t="s">
        <v>1304</v>
      </c>
      <c r="B1150" s="25" t="s">
        <v>488</v>
      </c>
      <c r="C1150" s="26">
        <v>117774</v>
      </c>
      <c r="D1150" s="25" t="s">
        <v>1562</v>
      </c>
      <c r="E1150" s="25" t="s">
        <v>490</v>
      </c>
      <c r="F1150" s="26" t="s">
        <v>215</v>
      </c>
      <c r="G1150" s="26" t="s">
        <v>215</v>
      </c>
      <c r="H1150" s="26"/>
      <c r="I1150" s="26"/>
      <c r="J1150" s="26">
        <v>1</v>
      </c>
      <c r="K1150" s="26">
        <v>138</v>
      </c>
      <c r="L1150" s="26" t="s">
        <v>28</v>
      </c>
      <c r="M1150" s="27">
        <v>1072</v>
      </c>
      <c r="N1150" s="28"/>
      <c r="O1150" s="26" t="s">
        <v>29</v>
      </c>
      <c r="P1150" s="29"/>
      <c r="Q1150" s="6"/>
      <c r="R1150" s="29"/>
      <c r="S1150" s="10"/>
      <c r="T1150" s="8"/>
    </row>
    <row r="1151" spans="1:20" ht="15.75" customHeight="1" x14ac:dyDescent="0.35">
      <c r="A1151" s="25" t="s">
        <v>1304</v>
      </c>
      <c r="B1151" s="25" t="s">
        <v>488</v>
      </c>
      <c r="C1151" s="26">
        <v>117775</v>
      </c>
      <c r="D1151" s="25" t="s">
        <v>1563</v>
      </c>
      <c r="E1151" s="25" t="s">
        <v>490</v>
      </c>
      <c r="F1151" s="26" t="s">
        <v>215</v>
      </c>
      <c r="G1151" s="26" t="s">
        <v>215</v>
      </c>
      <c r="H1151" s="26"/>
      <c r="I1151" s="26"/>
      <c r="J1151" s="26">
        <v>1</v>
      </c>
      <c r="K1151" s="26">
        <v>138</v>
      </c>
      <c r="L1151" s="26" t="s">
        <v>28</v>
      </c>
      <c r="M1151" s="27">
        <v>1075</v>
      </c>
      <c r="N1151" s="28"/>
      <c r="O1151" s="26" t="s">
        <v>29</v>
      </c>
      <c r="P1151" s="29"/>
      <c r="Q1151" s="6"/>
      <c r="R1151" s="29"/>
      <c r="S1151" s="10"/>
      <c r="T1151" s="8"/>
    </row>
    <row r="1152" spans="1:20" ht="15.75" customHeight="1" x14ac:dyDescent="0.35">
      <c r="A1152" s="25" t="s">
        <v>1304</v>
      </c>
      <c r="B1152" s="25" t="s">
        <v>488</v>
      </c>
      <c r="C1152" s="26">
        <v>117777</v>
      </c>
      <c r="D1152" s="25" t="s">
        <v>1564</v>
      </c>
      <c r="E1152" s="25" t="s">
        <v>490</v>
      </c>
      <c r="F1152" s="26" t="s">
        <v>215</v>
      </c>
      <c r="G1152" s="26" t="s">
        <v>215</v>
      </c>
      <c r="H1152" s="26"/>
      <c r="I1152" s="26"/>
      <c r="J1152" s="26">
        <v>1</v>
      </c>
      <c r="K1152" s="26">
        <v>138</v>
      </c>
      <c r="L1152" s="26" t="s">
        <v>28</v>
      </c>
      <c r="M1152" s="27">
        <v>1077</v>
      </c>
      <c r="N1152" s="28"/>
      <c r="O1152" s="26" t="s">
        <v>29</v>
      </c>
      <c r="P1152" s="29"/>
      <c r="Q1152" s="6"/>
      <c r="R1152" s="29"/>
      <c r="S1152" s="10"/>
      <c r="T1152" s="8"/>
    </row>
    <row r="1153" spans="1:20" ht="15.75" customHeight="1" x14ac:dyDescent="0.35">
      <c r="A1153" s="25" t="s">
        <v>1304</v>
      </c>
      <c r="B1153" s="25" t="s">
        <v>488</v>
      </c>
      <c r="C1153" s="26">
        <v>117778</v>
      </c>
      <c r="D1153" s="25" t="s">
        <v>1565</v>
      </c>
      <c r="E1153" s="25" t="s">
        <v>490</v>
      </c>
      <c r="F1153" s="26" t="s">
        <v>215</v>
      </c>
      <c r="G1153" s="26" t="s">
        <v>215</v>
      </c>
      <c r="H1153" s="26"/>
      <c r="I1153" s="26"/>
      <c r="J1153" s="26">
        <v>1</v>
      </c>
      <c r="K1153" s="26">
        <v>138</v>
      </c>
      <c r="L1153" s="26" t="s">
        <v>28</v>
      </c>
      <c r="M1153" s="27">
        <v>1076</v>
      </c>
      <c r="N1153" s="28"/>
      <c r="O1153" s="26" t="s">
        <v>29</v>
      </c>
      <c r="P1153" s="29"/>
      <c r="Q1153" s="6"/>
      <c r="R1153" s="29"/>
      <c r="S1153" s="10"/>
      <c r="T1153" s="8"/>
    </row>
    <row r="1154" spans="1:20" ht="15.75" customHeight="1" x14ac:dyDescent="0.35">
      <c r="A1154" s="25" t="s">
        <v>1304</v>
      </c>
      <c r="B1154" s="25" t="s">
        <v>488</v>
      </c>
      <c r="C1154" s="26">
        <v>117780</v>
      </c>
      <c r="D1154" s="25" t="s">
        <v>1566</v>
      </c>
      <c r="E1154" s="25" t="s">
        <v>490</v>
      </c>
      <c r="F1154" s="26" t="s">
        <v>215</v>
      </c>
      <c r="G1154" s="26" t="s">
        <v>215</v>
      </c>
      <c r="H1154" s="26"/>
      <c r="I1154" s="26"/>
      <c r="J1154" s="26">
        <v>1</v>
      </c>
      <c r="K1154" s="26">
        <v>138</v>
      </c>
      <c r="L1154" s="26" t="s">
        <v>28</v>
      </c>
      <c r="M1154" s="27">
        <v>1079</v>
      </c>
      <c r="N1154" s="28"/>
      <c r="O1154" s="26" t="s">
        <v>29</v>
      </c>
      <c r="P1154" s="29"/>
      <c r="Q1154" s="6"/>
      <c r="R1154" s="29"/>
      <c r="S1154" s="10"/>
      <c r="T1154" s="8"/>
    </row>
    <row r="1155" spans="1:20" ht="15.75" customHeight="1" x14ac:dyDescent="0.35">
      <c r="A1155" s="25" t="s">
        <v>1304</v>
      </c>
      <c r="B1155" s="25" t="s">
        <v>488</v>
      </c>
      <c r="C1155" s="26">
        <v>117781</v>
      </c>
      <c r="D1155" s="25" t="s">
        <v>1567</v>
      </c>
      <c r="E1155" s="25" t="s">
        <v>490</v>
      </c>
      <c r="F1155" s="26" t="s">
        <v>215</v>
      </c>
      <c r="G1155" s="26" t="s">
        <v>215</v>
      </c>
      <c r="H1155" s="26"/>
      <c r="I1155" s="26"/>
      <c r="J1155" s="26">
        <v>1</v>
      </c>
      <c r="K1155" s="26">
        <v>138</v>
      </c>
      <c r="L1155" s="26" t="s">
        <v>28</v>
      </c>
      <c r="M1155" s="27">
        <v>1080</v>
      </c>
      <c r="N1155" s="28"/>
      <c r="O1155" s="26" t="s">
        <v>29</v>
      </c>
      <c r="P1155" s="29"/>
      <c r="Q1155" s="6"/>
      <c r="R1155" s="29"/>
      <c r="S1155" s="10"/>
      <c r="T1155" s="8"/>
    </row>
    <row r="1156" spans="1:20" ht="15.75" customHeight="1" x14ac:dyDescent="0.35">
      <c r="A1156" s="25" t="s">
        <v>1304</v>
      </c>
      <c r="B1156" s="25" t="s">
        <v>488</v>
      </c>
      <c r="C1156" s="26">
        <v>117782</v>
      </c>
      <c r="D1156" s="25" t="s">
        <v>1568</v>
      </c>
      <c r="E1156" s="25" t="s">
        <v>490</v>
      </c>
      <c r="F1156" s="26" t="s">
        <v>215</v>
      </c>
      <c r="G1156" s="26" t="s">
        <v>215</v>
      </c>
      <c r="H1156" s="26"/>
      <c r="I1156" s="26"/>
      <c r="J1156" s="26">
        <v>1</v>
      </c>
      <c r="K1156" s="26">
        <v>138</v>
      </c>
      <c r="L1156" s="26" t="s">
        <v>28</v>
      </c>
      <c r="M1156" s="27">
        <v>1083</v>
      </c>
      <c r="N1156" s="28"/>
      <c r="O1156" s="26" t="s">
        <v>29</v>
      </c>
      <c r="P1156" s="29"/>
      <c r="Q1156" s="6"/>
      <c r="R1156" s="29"/>
      <c r="S1156" s="10"/>
      <c r="T1156" s="8"/>
    </row>
    <row r="1157" spans="1:20" ht="15.75" customHeight="1" x14ac:dyDescent="0.35">
      <c r="A1157" s="25" t="s">
        <v>1304</v>
      </c>
      <c r="B1157" s="25" t="s">
        <v>488</v>
      </c>
      <c r="C1157" s="26">
        <v>117786</v>
      </c>
      <c r="D1157" s="25" t="s">
        <v>1569</v>
      </c>
      <c r="E1157" s="25" t="s">
        <v>490</v>
      </c>
      <c r="F1157" s="26" t="s">
        <v>215</v>
      </c>
      <c r="G1157" s="26" t="s">
        <v>215</v>
      </c>
      <c r="H1157" s="26"/>
      <c r="I1157" s="26"/>
      <c r="J1157" s="26">
        <v>1</v>
      </c>
      <c r="K1157" s="26">
        <v>138</v>
      </c>
      <c r="L1157" s="26" t="s">
        <v>28</v>
      </c>
      <c r="M1157" s="27">
        <v>1068</v>
      </c>
      <c r="N1157" s="28"/>
      <c r="O1157" s="26" t="s">
        <v>29</v>
      </c>
      <c r="P1157" s="29"/>
      <c r="Q1157" s="6"/>
      <c r="R1157" s="29"/>
      <c r="S1157" s="10"/>
      <c r="T1157" s="8"/>
    </row>
    <row r="1158" spans="1:20" ht="15.75" customHeight="1" x14ac:dyDescent="0.35">
      <c r="A1158" s="25" t="s">
        <v>1304</v>
      </c>
      <c r="B1158" s="25" t="s">
        <v>488</v>
      </c>
      <c r="C1158" s="26">
        <v>117787</v>
      </c>
      <c r="D1158" s="25" t="s">
        <v>1570</v>
      </c>
      <c r="E1158" s="25" t="s">
        <v>490</v>
      </c>
      <c r="F1158" s="26" t="s">
        <v>215</v>
      </c>
      <c r="G1158" s="26" t="s">
        <v>215</v>
      </c>
      <c r="H1158" s="26"/>
      <c r="I1158" s="26"/>
      <c r="J1158" s="26">
        <v>1</v>
      </c>
      <c r="K1158" s="26">
        <v>138</v>
      </c>
      <c r="L1158" s="26" t="s">
        <v>28</v>
      </c>
      <c r="M1158" s="27">
        <v>1074</v>
      </c>
      <c r="N1158" s="28"/>
      <c r="O1158" s="26" t="s">
        <v>29</v>
      </c>
      <c r="P1158" s="29"/>
      <c r="Q1158" s="6"/>
      <c r="R1158" s="29"/>
      <c r="S1158" s="10"/>
      <c r="T1158" s="8"/>
    </row>
    <row r="1159" spans="1:20" ht="15.75" customHeight="1" x14ac:dyDescent="0.35">
      <c r="A1159" s="25" t="s">
        <v>1304</v>
      </c>
      <c r="B1159" s="25" t="s">
        <v>488</v>
      </c>
      <c r="C1159" s="26">
        <v>117797</v>
      </c>
      <c r="D1159" s="25" t="s">
        <v>1571</v>
      </c>
      <c r="E1159" s="25" t="s">
        <v>490</v>
      </c>
      <c r="F1159" s="26" t="s">
        <v>215</v>
      </c>
      <c r="G1159" s="26" t="s">
        <v>215</v>
      </c>
      <c r="H1159" s="26"/>
      <c r="I1159" s="26"/>
      <c r="J1159" s="26">
        <v>1</v>
      </c>
      <c r="K1159" s="26">
        <v>138</v>
      </c>
      <c r="L1159" s="26" t="s">
        <v>28</v>
      </c>
      <c r="M1159" s="27">
        <v>1081</v>
      </c>
      <c r="N1159" s="28"/>
      <c r="O1159" s="26" t="s">
        <v>29</v>
      </c>
      <c r="P1159" s="29"/>
      <c r="Q1159" s="6"/>
      <c r="R1159" s="29"/>
      <c r="S1159" s="10"/>
      <c r="T1159" s="8"/>
    </row>
    <row r="1160" spans="1:20" ht="15.75" customHeight="1" x14ac:dyDescent="0.35">
      <c r="A1160" s="25" t="s">
        <v>1304</v>
      </c>
      <c r="B1160" s="25" t="s">
        <v>488</v>
      </c>
      <c r="C1160" s="26">
        <v>117798</v>
      </c>
      <c r="D1160" s="25" t="s">
        <v>1572</v>
      </c>
      <c r="E1160" s="25" t="s">
        <v>490</v>
      </c>
      <c r="F1160" s="26" t="s">
        <v>215</v>
      </c>
      <c r="G1160" s="26" t="s">
        <v>215</v>
      </c>
      <c r="H1160" s="26"/>
      <c r="I1160" s="26"/>
      <c r="J1160" s="26">
        <v>1</v>
      </c>
      <c r="K1160" s="26">
        <v>138</v>
      </c>
      <c r="L1160" s="26" t="s">
        <v>28</v>
      </c>
      <c r="M1160" s="27">
        <v>1082</v>
      </c>
      <c r="N1160" s="28"/>
      <c r="O1160" s="26" t="s">
        <v>29</v>
      </c>
      <c r="P1160" s="29"/>
      <c r="Q1160" s="6"/>
      <c r="R1160" s="29"/>
      <c r="S1160" s="10"/>
      <c r="T1160" s="8"/>
    </row>
    <row r="1161" spans="1:20" ht="15.75" customHeight="1" x14ac:dyDescent="0.35">
      <c r="A1161" s="25" t="s">
        <v>1573</v>
      </c>
      <c r="B1161" s="25" t="s">
        <v>1574</v>
      </c>
      <c r="C1161" s="26">
        <v>120084</v>
      </c>
      <c r="D1161" s="25" t="s">
        <v>1575</v>
      </c>
      <c r="E1161" s="25" t="s">
        <v>1576</v>
      </c>
      <c r="F1161" s="26" t="s">
        <v>90</v>
      </c>
      <c r="G1161" s="26" t="s">
        <v>90</v>
      </c>
      <c r="H1161" s="26">
        <v>1</v>
      </c>
      <c r="I1161" s="26">
        <v>3</v>
      </c>
      <c r="J1161" s="26">
        <v>1</v>
      </c>
      <c r="K1161" s="26">
        <v>138</v>
      </c>
      <c r="L1161" s="26" t="s">
        <v>28</v>
      </c>
      <c r="M1161" s="27">
        <v>904</v>
      </c>
      <c r="N1161" s="28">
        <v>248776.32000000001</v>
      </c>
      <c r="O1161" s="26" t="s">
        <v>29</v>
      </c>
      <c r="P1161" s="29"/>
      <c r="Q1161" s="6"/>
      <c r="R1161" s="29"/>
      <c r="S1161" s="10"/>
      <c r="T1161" s="8">
        <v>1</v>
      </c>
    </row>
    <row r="1162" spans="1:20" ht="15.75" customHeight="1" x14ac:dyDescent="0.35">
      <c r="A1162" s="25" t="s">
        <v>1573</v>
      </c>
      <c r="B1162" s="25" t="s">
        <v>1574</v>
      </c>
      <c r="C1162" s="26">
        <v>237501</v>
      </c>
      <c r="D1162" s="25" t="s">
        <v>1577</v>
      </c>
      <c r="E1162" s="25" t="s">
        <v>1576</v>
      </c>
      <c r="F1162" s="26" t="s">
        <v>90</v>
      </c>
      <c r="G1162" s="26" t="s">
        <v>90</v>
      </c>
      <c r="H1162" s="26">
        <v>1</v>
      </c>
      <c r="I1162" s="26">
        <v>6</v>
      </c>
      <c r="J1162" s="26">
        <v>1</v>
      </c>
      <c r="K1162" s="26">
        <v>138</v>
      </c>
      <c r="L1162" s="26" t="s">
        <v>28</v>
      </c>
      <c r="M1162" s="27">
        <v>905</v>
      </c>
      <c r="N1162" s="28">
        <v>505185.69</v>
      </c>
      <c r="O1162" s="26" t="s">
        <v>29</v>
      </c>
      <c r="P1162" s="29"/>
      <c r="Q1162" s="6"/>
      <c r="R1162" s="29"/>
      <c r="S1162" s="10"/>
      <c r="T1162" s="8">
        <v>1</v>
      </c>
    </row>
    <row r="1163" spans="1:20" ht="15.75" customHeight="1" x14ac:dyDescent="0.35">
      <c r="A1163" s="25" t="s">
        <v>1573</v>
      </c>
      <c r="B1163" s="25" t="s">
        <v>1574</v>
      </c>
      <c r="C1163" s="26">
        <v>237505</v>
      </c>
      <c r="D1163" s="25" t="s">
        <v>1578</v>
      </c>
      <c r="E1163" s="25" t="s">
        <v>1576</v>
      </c>
      <c r="F1163" s="26" t="s">
        <v>90</v>
      </c>
      <c r="G1163" s="26" t="s">
        <v>90</v>
      </c>
      <c r="H1163" s="26"/>
      <c r="I1163" s="26"/>
      <c r="J1163" s="26">
        <v>1</v>
      </c>
      <c r="K1163" s="26">
        <v>138</v>
      </c>
      <c r="L1163" s="26" t="s">
        <v>28</v>
      </c>
      <c r="M1163" s="27">
        <v>903</v>
      </c>
      <c r="N1163" s="28"/>
      <c r="O1163" s="26" t="s">
        <v>29</v>
      </c>
      <c r="P1163" s="29"/>
      <c r="Q1163" s="6"/>
      <c r="R1163" s="29"/>
      <c r="S1163" s="10"/>
      <c r="T1163" s="8"/>
    </row>
    <row r="1164" spans="1:20" ht="15.75" customHeight="1" x14ac:dyDescent="0.35">
      <c r="A1164" s="25" t="s">
        <v>1573</v>
      </c>
      <c r="B1164" s="25" t="s">
        <v>1574</v>
      </c>
      <c r="C1164" s="26">
        <v>323009</v>
      </c>
      <c r="D1164" s="25" t="s">
        <v>1579</v>
      </c>
      <c r="E1164" s="25" t="s">
        <v>1576</v>
      </c>
      <c r="F1164" s="26" t="s">
        <v>90</v>
      </c>
      <c r="G1164" s="26" t="s">
        <v>90</v>
      </c>
      <c r="H1164" s="26">
        <v>1</v>
      </c>
      <c r="I1164" s="26">
        <v>5</v>
      </c>
      <c r="J1164" s="26">
        <v>1</v>
      </c>
      <c r="K1164" s="26">
        <v>138</v>
      </c>
      <c r="L1164" s="26" t="s">
        <v>28</v>
      </c>
      <c r="M1164" s="27">
        <v>906</v>
      </c>
      <c r="N1164" s="28">
        <v>487551.32</v>
      </c>
      <c r="O1164" s="26" t="s">
        <v>29</v>
      </c>
      <c r="P1164" s="29"/>
      <c r="Q1164" s="6"/>
      <c r="R1164" s="29"/>
      <c r="S1164" s="10"/>
      <c r="T1164" s="8">
        <v>1</v>
      </c>
    </row>
    <row r="1165" spans="1:20" ht="15.75" customHeight="1" x14ac:dyDescent="0.35">
      <c r="A1165" s="25" t="s">
        <v>1573</v>
      </c>
      <c r="B1165" s="25" t="s">
        <v>1580</v>
      </c>
      <c r="C1165" s="26">
        <v>120121</v>
      </c>
      <c r="D1165" s="25" t="s">
        <v>1581</v>
      </c>
      <c r="E1165" s="25" t="s">
        <v>1582</v>
      </c>
      <c r="F1165" s="26" t="s">
        <v>491</v>
      </c>
      <c r="G1165" s="26" t="s">
        <v>491</v>
      </c>
      <c r="H1165" s="26"/>
      <c r="I1165" s="26"/>
      <c r="J1165" s="26">
        <v>1</v>
      </c>
      <c r="K1165" s="26">
        <v>138</v>
      </c>
      <c r="L1165" s="26" t="s">
        <v>28</v>
      </c>
      <c r="M1165" s="27">
        <v>907</v>
      </c>
      <c r="N1165" s="28"/>
      <c r="O1165" s="26" t="s">
        <v>29</v>
      </c>
      <c r="P1165" s="29"/>
      <c r="Q1165" s="6"/>
      <c r="R1165" s="29"/>
      <c r="S1165" s="10"/>
      <c r="T1165" s="8"/>
    </row>
    <row r="1166" spans="1:20" ht="15.75" customHeight="1" x14ac:dyDescent="0.35">
      <c r="A1166" s="25" t="s">
        <v>1573</v>
      </c>
      <c r="B1166" s="25" t="s">
        <v>1580</v>
      </c>
      <c r="C1166" s="26">
        <v>120126</v>
      </c>
      <c r="D1166" s="25" t="s">
        <v>1583</v>
      </c>
      <c r="E1166" s="25" t="s">
        <v>1582</v>
      </c>
      <c r="F1166" s="26" t="s">
        <v>491</v>
      </c>
      <c r="G1166" s="26" t="s">
        <v>491</v>
      </c>
      <c r="H1166" s="26"/>
      <c r="I1166" s="26"/>
      <c r="J1166" s="26">
        <v>1</v>
      </c>
      <c r="K1166" s="26">
        <v>138</v>
      </c>
      <c r="L1166" s="26" t="s">
        <v>28</v>
      </c>
      <c r="M1166" s="27">
        <v>908</v>
      </c>
      <c r="N1166" s="28"/>
      <c r="O1166" s="26" t="s">
        <v>29</v>
      </c>
      <c r="P1166" s="29"/>
      <c r="Q1166" s="6"/>
      <c r="R1166" s="29"/>
      <c r="S1166" s="10"/>
      <c r="T1166" s="8"/>
    </row>
    <row r="1167" spans="1:20" ht="15.75" customHeight="1" x14ac:dyDescent="0.35">
      <c r="A1167" s="25" t="s">
        <v>1573</v>
      </c>
      <c r="B1167" s="25" t="s">
        <v>1580</v>
      </c>
      <c r="C1167" s="26">
        <v>120129</v>
      </c>
      <c r="D1167" s="25" t="s">
        <v>1584</v>
      </c>
      <c r="E1167" s="25" t="s">
        <v>1582</v>
      </c>
      <c r="F1167" s="26" t="s">
        <v>491</v>
      </c>
      <c r="G1167" s="26" t="s">
        <v>491</v>
      </c>
      <c r="H1167" s="26"/>
      <c r="I1167" s="26"/>
      <c r="J1167" s="26">
        <v>1</v>
      </c>
      <c r="K1167" s="26">
        <v>138</v>
      </c>
      <c r="L1167" s="26" t="s">
        <v>28</v>
      </c>
      <c r="M1167" s="27">
        <v>911</v>
      </c>
      <c r="N1167" s="28"/>
      <c r="O1167" s="26" t="s">
        <v>29</v>
      </c>
      <c r="P1167" s="29"/>
      <c r="Q1167" s="6"/>
      <c r="R1167" s="29"/>
      <c r="S1167" s="10"/>
      <c r="T1167" s="8"/>
    </row>
    <row r="1168" spans="1:20" ht="15.75" customHeight="1" x14ac:dyDescent="0.35">
      <c r="A1168" s="25" t="s">
        <v>1573</v>
      </c>
      <c r="B1168" s="25" t="s">
        <v>1580</v>
      </c>
      <c r="C1168" s="26">
        <v>120131</v>
      </c>
      <c r="D1168" s="25" t="s">
        <v>1585</v>
      </c>
      <c r="E1168" s="25" t="s">
        <v>1582</v>
      </c>
      <c r="F1168" s="26" t="s">
        <v>491</v>
      </c>
      <c r="G1168" s="26" t="s">
        <v>491</v>
      </c>
      <c r="H1168" s="26"/>
      <c r="I1168" s="26"/>
      <c r="J1168" s="26">
        <v>1</v>
      </c>
      <c r="K1168" s="26">
        <v>138</v>
      </c>
      <c r="L1168" s="26" t="s">
        <v>28</v>
      </c>
      <c r="M1168" s="27">
        <v>916</v>
      </c>
      <c r="N1168" s="28"/>
      <c r="O1168" s="26" t="s">
        <v>29</v>
      </c>
      <c r="P1168" s="29"/>
      <c r="Q1168" s="6"/>
      <c r="R1168" s="29"/>
      <c r="S1168" s="10"/>
      <c r="T1168" s="8"/>
    </row>
    <row r="1169" spans="1:20" ht="15.75" customHeight="1" x14ac:dyDescent="0.35">
      <c r="A1169" s="25" t="s">
        <v>1573</v>
      </c>
      <c r="B1169" s="25" t="s">
        <v>1580</v>
      </c>
      <c r="C1169" s="26">
        <v>120146</v>
      </c>
      <c r="D1169" s="25" t="s">
        <v>1586</v>
      </c>
      <c r="E1169" s="25" t="s">
        <v>1582</v>
      </c>
      <c r="F1169" s="26" t="s">
        <v>491</v>
      </c>
      <c r="G1169" s="26" t="s">
        <v>491</v>
      </c>
      <c r="H1169" s="26"/>
      <c r="I1169" s="26"/>
      <c r="J1169" s="26">
        <v>1</v>
      </c>
      <c r="K1169" s="26">
        <v>138</v>
      </c>
      <c r="L1169" s="26" t="s">
        <v>28</v>
      </c>
      <c r="M1169" s="27">
        <v>909</v>
      </c>
      <c r="N1169" s="28"/>
      <c r="O1169" s="26" t="s">
        <v>29</v>
      </c>
      <c r="P1169" s="29"/>
      <c r="Q1169" s="6"/>
      <c r="R1169" s="29"/>
      <c r="S1169" s="10"/>
      <c r="T1169" s="8"/>
    </row>
    <row r="1170" spans="1:20" ht="15.75" customHeight="1" x14ac:dyDescent="0.35">
      <c r="A1170" s="25" t="s">
        <v>1573</v>
      </c>
      <c r="B1170" s="25" t="s">
        <v>1580</v>
      </c>
      <c r="C1170" s="26">
        <v>120150</v>
      </c>
      <c r="D1170" s="25" t="s">
        <v>1587</v>
      </c>
      <c r="E1170" s="25" t="s">
        <v>1582</v>
      </c>
      <c r="F1170" s="26" t="s">
        <v>491</v>
      </c>
      <c r="G1170" s="26" t="s">
        <v>491</v>
      </c>
      <c r="H1170" s="26"/>
      <c r="I1170" s="26"/>
      <c r="J1170" s="26">
        <v>1</v>
      </c>
      <c r="K1170" s="26">
        <v>138</v>
      </c>
      <c r="L1170" s="26" t="s">
        <v>28</v>
      </c>
      <c r="M1170" s="27">
        <v>912</v>
      </c>
      <c r="N1170" s="28"/>
      <c r="O1170" s="26" t="s">
        <v>29</v>
      </c>
      <c r="P1170" s="29"/>
      <c r="Q1170" s="6"/>
      <c r="R1170" s="29"/>
      <c r="S1170" s="10"/>
      <c r="T1170" s="8"/>
    </row>
    <row r="1171" spans="1:20" ht="15.75" customHeight="1" x14ac:dyDescent="0.35">
      <c r="A1171" s="25" t="s">
        <v>1573</v>
      </c>
      <c r="B1171" s="25" t="s">
        <v>1580</v>
      </c>
      <c r="C1171" s="26">
        <v>120153</v>
      </c>
      <c r="D1171" s="25" t="s">
        <v>1588</v>
      </c>
      <c r="E1171" s="25" t="s">
        <v>1582</v>
      </c>
      <c r="F1171" s="26" t="s">
        <v>491</v>
      </c>
      <c r="G1171" s="26" t="s">
        <v>491</v>
      </c>
      <c r="H1171" s="26"/>
      <c r="I1171" s="26"/>
      <c r="J1171" s="26">
        <v>1</v>
      </c>
      <c r="K1171" s="26">
        <v>138</v>
      </c>
      <c r="L1171" s="26" t="s">
        <v>28</v>
      </c>
      <c r="M1171" s="27">
        <v>913</v>
      </c>
      <c r="N1171" s="28"/>
      <c r="O1171" s="26" t="s">
        <v>29</v>
      </c>
      <c r="P1171" s="29"/>
      <c r="Q1171" s="6"/>
      <c r="R1171" s="29"/>
      <c r="S1171" s="10"/>
      <c r="T1171" s="8"/>
    </row>
    <row r="1172" spans="1:20" ht="15.75" customHeight="1" x14ac:dyDescent="0.35">
      <c r="A1172" s="25" t="s">
        <v>1573</v>
      </c>
      <c r="B1172" s="25" t="s">
        <v>1580</v>
      </c>
      <c r="C1172" s="26">
        <v>120157</v>
      </c>
      <c r="D1172" s="25" t="s">
        <v>1589</v>
      </c>
      <c r="E1172" s="25" t="s">
        <v>1582</v>
      </c>
      <c r="F1172" s="26" t="s">
        <v>491</v>
      </c>
      <c r="G1172" s="26" t="s">
        <v>491</v>
      </c>
      <c r="H1172" s="26"/>
      <c r="I1172" s="26"/>
      <c r="J1172" s="26">
        <v>1</v>
      </c>
      <c r="K1172" s="26">
        <v>138</v>
      </c>
      <c r="L1172" s="26" t="s">
        <v>28</v>
      </c>
      <c r="M1172" s="27">
        <v>914</v>
      </c>
      <c r="N1172" s="28"/>
      <c r="O1172" s="26" t="s">
        <v>29</v>
      </c>
      <c r="P1172" s="29"/>
      <c r="Q1172" s="6"/>
      <c r="R1172" s="29"/>
      <c r="S1172" s="10"/>
      <c r="T1172" s="8"/>
    </row>
    <row r="1173" spans="1:20" ht="15.75" customHeight="1" x14ac:dyDescent="0.35">
      <c r="A1173" s="25" t="s">
        <v>1573</v>
      </c>
      <c r="B1173" s="25" t="s">
        <v>1580</v>
      </c>
      <c r="C1173" s="26">
        <v>120158</v>
      </c>
      <c r="D1173" s="25" t="s">
        <v>1590</v>
      </c>
      <c r="E1173" s="25" t="s">
        <v>1582</v>
      </c>
      <c r="F1173" s="26" t="s">
        <v>491</v>
      </c>
      <c r="G1173" s="26" t="s">
        <v>491</v>
      </c>
      <c r="H1173" s="26"/>
      <c r="I1173" s="26"/>
      <c r="J1173" s="26">
        <v>1</v>
      </c>
      <c r="K1173" s="26">
        <v>138</v>
      </c>
      <c r="L1173" s="26" t="s">
        <v>28</v>
      </c>
      <c r="M1173" s="27">
        <v>915</v>
      </c>
      <c r="N1173" s="28"/>
      <c r="O1173" s="26" t="s">
        <v>29</v>
      </c>
      <c r="P1173" s="29"/>
      <c r="Q1173" s="6"/>
      <c r="R1173" s="29"/>
      <c r="S1173" s="10"/>
      <c r="T1173" s="8"/>
    </row>
    <row r="1174" spans="1:20" ht="15.75" customHeight="1" x14ac:dyDescent="0.35">
      <c r="A1174" s="25" t="s">
        <v>1573</v>
      </c>
      <c r="B1174" s="25" t="s">
        <v>1580</v>
      </c>
      <c r="C1174" s="26">
        <v>120159</v>
      </c>
      <c r="D1174" s="25" t="s">
        <v>1591</v>
      </c>
      <c r="E1174" s="25" t="s">
        <v>1582</v>
      </c>
      <c r="F1174" s="26" t="s">
        <v>491</v>
      </c>
      <c r="G1174" s="26" t="s">
        <v>491</v>
      </c>
      <c r="H1174" s="26"/>
      <c r="I1174" s="26"/>
      <c r="J1174" s="26">
        <v>1</v>
      </c>
      <c r="K1174" s="26">
        <v>138</v>
      </c>
      <c r="L1174" s="26" t="s">
        <v>28</v>
      </c>
      <c r="M1174" s="27">
        <v>917</v>
      </c>
      <c r="N1174" s="28"/>
      <c r="O1174" s="26" t="s">
        <v>29</v>
      </c>
      <c r="P1174" s="29"/>
      <c r="Q1174" s="6"/>
      <c r="R1174" s="29"/>
      <c r="S1174" s="10"/>
      <c r="T1174" s="8"/>
    </row>
    <row r="1175" spans="1:20" ht="15.75" customHeight="1" x14ac:dyDescent="0.35">
      <c r="A1175" s="25" t="s">
        <v>1573</v>
      </c>
      <c r="B1175" s="25" t="s">
        <v>1580</v>
      </c>
      <c r="C1175" s="26">
        <v>232003</v>
      </c>
      <c r="D1175" s="25" t="s">
        <v>1592</v>
      </c>
      <c r="E1175" s="25" t="s">
        <v>1582</v>
      </c>
      <c r="F1175" s="26" t="s">
        <v>491</v>
      </c>
      <c r="G1175" s="26" t="s">
        <v>491</v>
      </c>
      <c r="H1175" s="26"/>
      <c r="I1175" s="26"/>
      <c r="J1175" s="26">
        <v>1</v>
      </c>
      <c r="K1175" s="26">
        <v>138</v>
      </c>
      <c r="L1175" s="26" t="s">
        <v>28</v>
      </c>
      <c r="M1175" s="27">
        <v>918</v>
      </c>
      <c r="N1175" s="28"/>
      <c r="O1175" s="26" t="s">
        <v>29</v>
      </c>
      <c r="P1175" s="29"/>
      <c r="Q1175" s="6"/>
      <c r="R1175" s="29"/>
      <c r="S1175" s="10"/>
      <c r="T1175" s="8"/>
    </row>
    <row r="1176" spans="1:20" ht="15.75" customHeight="1" x14ac:dyDescent="0.35">
      <c r="A1176" s="25" t="s">
        <v>1573</v>
      </c>
      <c r="B1176" s="25" t="s">
        <v>1580</v>
      </c>
      <c r="C1176" s="26">
        <v>321910</v>
      </c>
      <c r="D1176" s="25" t="s">
        <v>1593</v>
      </c>
      <c r="E1176" s="25" t="s">
        <v>1582</v>
      </c>
      <c r="F1176" s="26" t="s">
        <v>491</v>
      </c>
      <c r="G1176" s="26" t="s">
        <v>491</v>
      </c>
      <c r="H1176" s="26"/>
      <c r="I1176" s="26"/>
      <c r="J1176" s="26">
        <v>1</v>
      </c>
      <c r="K1176" s="26">
        <v>138</v>
      </c>
      <c r="L1176" s="26" t="s">
        <v>28</v>
      </c>
      <c r="M1176" s="27">
        <v>919</v>
      </c>
      <c r="N1176" s="28"/>
      <c r="O1176" s="26" t="s">
        <v>29</v>
      </c>
      <c r="P1176" s="29"/>
      <c r="Q1176" s="6"/>
      <c r="R1176" s="29"/>
      <c r="S1176" s="10"/>
      <c r="T1176" s="8"/>
    </row>
    <row r="1177" spans="1:20" ht="15.75" customHeight="1" x14ac:dyDescent="0.35">
      <c r="A1177" s="25" t="s">
        <v>1573</v>
      </c>
      <c r="B1177" s="25" t="s">
        <v>1580</v>
      </c>
      <c r="C1177" s="26">
        <v>321912</v>
      </c>
      <c r="D1177" s="25" t="s">
        <v>1594</v>
      </c>
      <c r="E1177" s="25" t="s">
        <v>1582</v>
      </c>
      <c r="F1177" s="26" t="s">
        <v>491</v>
      </c>
      <c r="G1177" s="26" t="s">
        <v>491</v>
      </c>
      <c r="H1177" s="26"/>
      <c r="I1177" s="26"/>
      <c r="J1177" s="26">
        <v>1</v>
      </c>
      <c r="K1177" s="26">
        <v>138</v>
      </c>
      <c r="L1177" s="26" t="s">
        <v>28</v>
      </c>
      <c r="M1177" s="27">
        <v>910</v>
      </c>
      <c r="N1177" s="28"/>
      <c r="O1177" s="26" t="s">
        <v>29</v>
      </c>
      <c r="P1177" s="29"/>
      <c r="Q1177" s="6"/>
      <c r="R1177" s="29"/>
      <c r="S1177" s="10"/>
      <c r="T1177" s="8"/>
    </row>
    <row r="1178" spans="1:20" ht="15.75" customHeight="1" x14ac:dyDescent="0.35">
      <c r="A1178" s="25" t="s">
        <v>1573</v>
      </c>
      <c r="B1178" s="25" t="s">
        <v>1595</v>
      </c>
      <c r="C1178" s="26">
        <v>117971</v>
      </c>
      <c r="D1178" s="25" t="s">
        <v>1596</v>
      </c>
      <c r="E1178" s="25" t="s">
        <v>1597</v>
      </c>
      <c r="F1178" s="26" t="s">
        <v>215</v>
      </c>
      <c r="G1178" s="26" t="s">
        <v>215</v>
      </c>
      <c r="H1178" s="26"/>
      <c r="I1178" s="26"/>
      <c r="J1178" s="26">
        <v>1</v>
      </c>
      <c r="K1178" s="26">
        <v>138</v>
      </c>
      <c r="L1178" s="26" t="s">
        <v>28</v>
      </c>
      <c r="M1178" s="27">
        <v>1845</v>
      </c>
      <c r="N1178" s="28"/>
      <c r="O1178" s="26" t="s">
        <v>29</v>
      </c>
      <c r="P1178" s="29"/>
      <c r="Q1178" s="6"/>
      <c r="R1178" s="29"/>
      <c r="S1178" s="10"/>
      <c r="T1178" s="8"/>
    </row>
    <row r="1179" spans="1:20" ht="15.75" customHeight="1" x14ac:dyDescent="0.35">
      <c r="A1179" s="25" t="s">
        <v>1573</v>
      </c>
      <c r="B1179" s="25" t="s">
        <v>1595</v>
      </c>
      <c r="C1179" s="26">
        <v>117980</v>
      </c>
      <c r="D1179" s="25" t="s">
        <v>1598</v>
      </c>
      <c r="E1179" s="25" t="s">
        <v>1597</v>
      </c>
      <c r="F1179" s="26" t="s">
        <v>215</v>
      </c>
      <c r="G1179" s="26" t="s">
        <v>215</v>
      </c>
      <c r="H1179" s="26"/>
      <c r="I1179" s="26"/>
      <c r="J1179" s="26">
        <v>1</v>
      </c>
      <c r="K1179" s="26">
        <v>138</v>
      </c>
      <c r="L1179" s="26" t="s">
        <v>28</v>
      </c>
      <c r="M1179" s="27">
        <v>1858</v>
      </c>
      <c r="N1179" s="28"/>
      <c r="O1179" s="26" t="s">
        <v>29</v>
      </c>
      <c r="P1179" s="29"/>
      <c r="Q1179" s="6"/>
      <c r="R1179" s="29"/>
      <c r="S1179" s="10"/>
      <c r="T1179" s="8"/>
    </row>
    <row r="1180" spans="1:20" ht="15.75" customHeight="1" x14ac:dyDescent="0.35">
      <c r="A1180" s="25" t="s">
        <v>1573</v>
      </c>
      <c r="B1180" s="25" t="s">
        <v>1595</v>
      </c>
      <c r="C1180" s="26">
        <v>118059</v>
      </c>
      <c r="D1180" s="25" t="s">
        <v>1599</v>
      </c>
      <c r="E1180" s="25" t="s">
        <v>218</v>
      </c>
      <c r="F1180" s="26" t="s">
        <v>90</v>
      </c>
      <c r="G1180" s="26" t="s">
        <v>90</v>
      </c>
      <c r="H1180" s="26">
        <v>1</v>
      </c>
      <c r="I1180" s="26">
        <v>1</v>
      </c>
      <c r="J1180" s="26">
        <v>1</v>
      </c>
      <c r="K1180" s="26">
        <v>138</v>
      </c>
      <c r="L1180" s="26" t="s">
        <v>28</v>
      </c>
      <c r="M1180" s="27">
        <v>1859</v>
      </c>
      <c r="N1180" s="28">
        <v>122092.55</v>
      </c>
      <c r="O1180" s="26" t="s">
        <v>29</v>
      </c>
      <c r="P1180" s="29"/>
      <c r="Q1180" s="6"/>
      <c r="R1180" s="29"/>
      <c r="S1180" s="10"/>
      <c r="T1180" s="8">
        <v>1</v>
      </c>
    </row>
    <row r="1181" spans="1:20" ht="15.75" customHeight="1" x14ac:dyDescent="0.35">
      <c r="A1181" s="25" t="s">
        <v>1573</v>
      </c>
      <c r="B1181" s="25" t="s">
        <v>1595</v>
      </c>
      <c r="C1181" s="26">
        <v>118118</v>
      </c>
      <c r="D1181" s="25" t="s">
        <v>1600</v>
      </c>
      <c r="E1181" s="25" t="s">
        <v>1601</v>
      </c>
      <c r="F1181" s="26" t="s">
        <v>491</v>
      </c>
      <c r="G1181" s="26" t="s">
        <v>491</v>
      </c>
      <c r="H1181" s="26"/>
      <c r="I1181" s="26"/>
      <c r="J1181" s="26">
        <v>1</v>
      </c>
      <c r="K1181" s="26">
        <v>138</v>
      </c>
      <c r="L1181" s="26" t="s">
        <v>28</v>
      </c>
      <c r="M1181" s="27">
        <v>1882</v>
      </c>
      <c r="N1181" s="28"/>
      <c r="O1181" s="26" t="s">
        <v>29</v>
      </c>
      <c r="P1181" s="29"/>
      <c r="Q1181" s="6"/>
      <c r="R1181" s="29"/>
      <c r="S1181" s="10"/>
      <c r="T1181" s="8"/>
    </row>
    <row r="1182" spans="1:20" ht="15.75" customHeight="1" x14ac:dyDescent="0.35">
      <c r="A1182" s="25" t="s">
        <v>1573</v>
      </c>
      <c r="B1182" s="25" t="s">
        <v>1595</v>
      </c>
      <c r="C1182" s="26">
        <v>118176</v>
      </c>
      <c r="D1182" s="25" t="s">
        <v>1602</v>
      </c>
      <c r="E1182" s="25" t="s">
        <v>1603</v>
      </c>
      <c r="F1182" s="26" t="s">
        <v>215</v>
      </c>
      <c r="G1182" s="26" t="s">
        <v>215</v>
      </c>
      <c r="H1182" s="26"/>
      <c r="I1182" s="26"/>
      <c r="J1182" s="26">
        <v>1</v>
      </c>
      <c r="K1182" s="26">
        <v>138</v>
      </c>
      <c r="L1182" s="26" t="s">
        <v>28</v>
      </c>
      <c r="M1182" s="27">
        <v>1851</v>
      </c>
      <c r="N1182" s="28"/>
      <c r="O1182" s="26" t="s">
        <v>29</v>
      </c>
      <c r="P1182" s="29"/>
      <c r="Q1182" s="6"/>
      <c r="R1182" s="29"/>
      <c r="S1182" s="10"/>
      <c r="T1182" s="8"/>
    </row>
    <row r="1183" spans="1:20" ht="15.75" customHeight="1" x14ac:dyDescent="0.35">
      <c r="A1183" s="25" t="s">
        <v>1573</v>
      </c>
      <c r="B1183" s="25" t="s">
        <v>1595</v>
      </c>
      <c r="C1183" s="26">
        <v>118196</v>
      </c>
      <c r="D1183" s="25" t="s">
        <v>1604</v>
      </c>
      <c r="E1183" s="25" t="s">
        <v>1605</v>
      </c>
      <c r="F1183" s="26" t="s">
        <v>90</v>
      </c>
      <c r="G1183" s="26" t="s">
        <v>90</v>
      </c>
      <c r="H1183" s="26"/>
      <c r="I1183" s="26"/>
      <c r="J1183" s="26">
        <v>1</v>
      </c>
      <c r="K1183" s="26">
        <v>138</v>
      </c>
      <c r="L1183" s="26" t="s">
        <v>28</v>
      </c>
      <c r="M1183" s="27">
        <v>1874</v>
      </c>
      <c r="N1183" s="28"/>
      <c r="O1183" s="26" t="s">
        <v>29</v>
      </c>
      <c r="P1183" s="29"/>
      <c r="Q1183" s="6"/>
      <c r="R1183" s="29"/>
      <c r="S1183" s="10"/>
      <c r="T1183" s="8"/>
    </row>
    <row r="1184" spans="1:20" ht="15.75" customHeight="1" x14ac:dyDescent="0.35">
      <c r="A1184" s="25" t="s">
        <v>1573</v>
      </c>
      <c r="B1184" s="25" t="s">
        <v>1595</v>
      </c>
      <c r="C1184" s="26">
        <v>118198</v>
      </c>
      <c r="D1184" s="25" t="s">
        <v>1606</v>
      </c>
      <c r="E1184" s="25" t="s">
        <v>1605</v>
      </c>
      <c r="F1184" s="26" t="s">
        <v>90</v>
      </c>
      <c r="G1184" s="26" t="s">
        <v>90</v>
      </c>
      <c r="H1184" s="26"/>
      <c r="I1184" s="26"/>
      <c r="J1184" s="26">
        <v>1</v>
      </c>
      <c r="K1184" s="26">
        <v>138</v>
      </c>
      <c r="L1184" s="26" t="s">
        <v>28</v>
      </c>
      <c r="M1184" s="27">
        <v>1877</v>
      </c>
      <c r="N1184" s="28"/>
      <c r="O1184" s="26" t="s">
        <v>29</v>
      </c>
      <c r="P1184" s="29"/>
      <c r="Q1184" s="6"/>
      <c r="R1184" s="29"/>
      <c r="S1184" s="10"/>
      <c r="T1184" s="8"/>
    </row>
    <row r="1185" spans="1:20" ht="15.75" customHeight="1" x14ac:dyDescent="0.35">
      <c r="A1185" s="25" t="s">
        <v>1573</v>
      </c>
      <c r="B1185" s="25" t="s">
        <v>1595</v>
      </c>
      <c r="C1185" s="26">
        <v>118222</v>
      </c>
      <c r="D1185" s="25" t="s">
        <v>1607</v>
      </c>
      <c r="E1185" s="25" t="s">
        <v>1608</v>
      </c>
      <c r="F1185" s="26" t="s">
        <v>90</v>
      </c>
      <c r="G1185" s="26" t="s">
        <v>90</v>
      </c>
      <c r="H1185" s="26"/>
      <c r="I1185" s="26"/>
      <c r="J1185" s="26">
        <v>1</v>
      </c>
      <c r="K1185" s="26">
        <v>138</v>
      </c>
      <c r="L1185" s="26" t="s">
        <v>28</v>
      </c>
      <c r="M1185" s="27">
        <v>1865</v>
      </c>
      <c r="N1185" s="28"/>
      <c r="O1185" s="26" t="s">
        <v>29</v>
      </c>
      <c r="P1185" s="29"/>
      <c r="Q1185" s="6"/>
      <c r="R1185" s="29"/>
      <c r="S1185" s="10"/>
      <c r="T1185" s="8"/>
    </row>
    <row r="1186" spans="1:20" ht="15.75" customHeight="1" x14ac:dyDescent="0.35">
      <c r="A1186" s="25" t="s">
        <v>1573</v>
      </c>
      <c r="B1186" s="25" t="s">
        <v>1595</v>
      </c>
      <c r="C1186" s="26">
        <v>118254</v>
      </c>
      <c r="D1186" s="25" t="s">
        <v>1609</v>
      </c>
      <c r="E1186" s="25" t="s">
        <v>1610</v>
      </c>
      <c r="F1186" s="26" t="s">
        <v>90</v>
      </c>
      <c r="G1186" s="26" t="s">
        <v>90</v>
      </c>
      <c r="H1186" s="26"/>
      <c r="I1186" s="26"/>
      <c r="J1186" s="26">
        <v>1</v>
      </c>
      <c r="K1186" s="26">
        <v>138</v>
      </c>
      <c r="L1186" s="26" t="s">
        <v>28</v>
      </c>
      <c r="M1186" s="27">
        <v>1879</v>
      </c>
      <c r="N1186" s="28"/>
      <c r="O1186" s="26" t="s">
        <v>29</v>
      </c>
      <c r="P1186" s="29"/>
      <c r="Q1186" s="6"/>
      <c r="R1186" s="29"/>
      <c r="S1186" s="10"/>
      <c r="T1186" s="8"/>
    </row>
    <row r="1187" spans="1:20" ht="15.75" customHeight="1" x14ac:dyDescent="0.35">
      <c r="A1187" s="25" t="s">
        <v>1573</v>
      </c>
      <c r="B1187" s="25" t="s">
        <v>1595</v>
      </c>
      <c r="C1187" s="26">
        <v>118323</v>
      </c>
      <c r="D1187" s="25" t="s">
        <v>1611</v>
      </c>
      <c r="E1187" s="25" t="s">
        <v>1612</v>
      </c>
      <c r="F1187" s="26" t="s">
        <v>90</v>
      </c>
      <c r="G1187" s="26" t="s">
        <v>90</v>
      </c>
      <c r="H1187" s="26"/>
      <c r="I1187" s="26"/>
      <c r="J1187" s="26">
        <v>1</v>
      </c>
      <c r="K1187" s="26">
        <v>138</v>
      </c>
      <c r="L1187" s="26" t="s">
        <v>28</v>
      </c>
      <c r="M1187" s="27">
        <v>1861</v>
      </c>
      <c r="N1187" s="28"/>
      <c r="O1187" s="26" t="s">
        <v>29</v>
      </c>
      <c r="P1187" s="29"/>
      <c r="Q1187" s="6"/>
      <c r="R1187" s="29"/>
      <c r="S1187" s="10"/>
      <c r="T1187" s="8"/>
    </row>
    <row r="1188" spans="1:20" ht="15.75" customHeight="1" x14ac:dyDescent="0.35">
      <c r="A1188" s="25" t="s">
        <v>1573</v>
      </c>
      <c r="B1188" s="25" t="s">
        <v>1595</v>
      </c>
      <c r="C1188" s="26">
        <v>118325</v>
      </c>
      <c r="D1188" s="25" t="s">
        <v>1613</v>
      </c>
      <c r="E1188" s="25" t="s">
        <v>1612</v>
      </c>
      <c r="F1188" s="26" t="s">
        <v>90</v>
      </c>
      <c r="G1188" s="26" t="s">
        <v>90</v>
      </c>
      <c r="H1188" s="26"/>
      <c r="I1188" s="26"/>
      <c r="J1188" s="26">
        <v>1</v>
      </c>
      <c r="K1188" s="26">
        <v>138</v>
      </c>
      <c r="L1188" s="26" t="s">
        <v>28</v>
      </c>
      <c r="M1188" s="27">
        <v>1862</v>
      </c>
      <c r="N1188" s="28"/>
      <c r="O1188" s="26" t="s">
        <v>29</v>
      </c>
      <c r="P1188" s="29"/>
      <c r="Q1188" s="6"/>
      <c r="R1188" s="29"/>
      <c r="S1188" s="10"/>
      <c r="T1188" s="8"/>
    </row>
    <row r="1189" spans="1:20" ht="15.75" customHeight="1" x14ac:dyDescent="0.35">
      <c r="A1189" s="25" t="s">
        <v>1573</v>
      </c>
      <c r="B1189" s="25" t="s">
        <v>1595</v>
      </c>
      <c r="C1189" s="26">
        <v>118330</v>
      </c>
      <c r="D1189" s="25" t="s">
        <v>1614</v>
      </c>
      <c r="E1189" s="25" t="s">
        <v>1612</v>
      </c>
      <c r="F1189" s="26" t="s">
        <v>90</v>
      </c>
      <c r="G1189" s="26" t="s">
        <v>90</v>
      </c>
      <c r="H1189" s="26">
        <v>1</v>
      </c>
      <c r="I1189" s="26">
        <v>3</v>
      </c>
      <c r="J1189" s="26">
        <v>1</v>
      </c>
      <c r="K1189" s="26">
        <v>138</v>
      </c>
      <c r="L1189" s="26" t="s">
        <v>28</v>
      </c>
      <c r="M1189" s="27">
        <v>1867</v>
      </c>
      <c r="N1189" s="28">
        <v>281657</v>
      </c>
      <c r="O1189" s="26" t="s">
        <v>29</v>
      </c>
      <c r="P1189" s="29"/>
      <c r="Q1189" s="6"/>
      <c r="R1189" s="29"/>
      <c r="S1189" s="10"/>
      <c r="T1189" s="8">
        <v>1</v>
      </c>
    </row>
    <row r="1190" spans="1:20" ht="15.75" customHeight="1" x14ac:dyDescent="0.35">
      <c r="A1190" s="25" t="s">
        <v>1573</v>
      </c>
      <c r="B1190" s="25" t="s">
        <v>1595</v>
      </c>
      <c r="C1190" s="26">
        <v>118371</v>
      </c>
      <c r="D1190" s="25" t="s">
        <v>1615</v>
      </c>
      <c r="E1190" s="25" t="s">
        <v>1616</v>
      </c>
      <c r="F1190" s="26" t="s">
        <v>90</v>
      </c>
      <c r="G1190" s="26" t="s">
        <v>90</v>
      </c>
      <c r="H1190" s="26"/>
      <c r="I1190" s="26"/>
      <c r="J1190" s="26">
        <v>1</v>
      </c>
      <c r="K1190" s="26">
        <v>138</v>
      </c>
      <c r="L1190" s="26" t="s">
        <v>28</v>
      </c>
      <c r="M1190" s="27">
        <v>1866</v>
      </c>
      <c r="N1190" s="28"/>
      <c r="O1190" s="26" t="s">
        <v>29</v>
      </c>
      <c r="P1190" s="29"/>
      <c r="Q1190" s="6"/>
      <c r="R1190" s="29"/>
      <c r="S1190" s="10"/>
      <c r="T1190" s="8"/>
    </row>
    <row r="1191" spans="1:20" ht="15.75" customHeight="1" x14ac:dyDescent="0.35">
      <c r="A1191" s="25" t="s">
        <v>1573</v>
      </c>
      <c r="B1191" s="25" t="s">
        <v>1595</v>
      </c>
      <c r="C1191" s="26">
        <v>118377</v>
      </c>
      <c r="D1191" s="25" t="s">
        <v>1617</v>
      </c>
      <c r="E1191" s="25" t="s">
        <v>1616</v>
      </c>
      <c r="F1191" s="26" t="s">
        <v>90</v>
      </c>
      <c r="G1191" s="26" t="s">
        <v>90</v>
      </c>
      <c r="H1191" s="26"/>
      <c r="I1191" s="26"/>
      <c r="J1191" s="26">
        <v>1</v>
      </c>
      <c r="K1191" s="26">
        <v>138</v>
      </c>
      <c r="L1191" s="26" t="s">
        <v>28</v>
      </c>
      <c r="M1191" s="27">
        <v>1870</v>
      </c>
      <c r="N1191" s="28"/>
      <c r="O1191" s="26" t="s">
        <v>29</v>
      </c>
      <c r="P1191" s="29"/>
      <c r="Q1191" s="6"/>
      <c r="R1191" s="29"/>
      <c r="S1191" s="10"/>
      <c r="T1191" s="8"/>
    </row>
    <row r="1192" spans="1:20" ht="15.75" customHeight="1" x14ac:dyDescent="0.35">
      <c r="A1192" s="25" t="s">
        <v>1573</v>
      </c>
      <c r="B1192" s="25" t="s">
        <v>1595</v>
      </c>
      <c r="C1192" s="26">
        <v>118382</v>
      </c>
      <c r="D1192" s="25" t="s">
        <v>1618</v>
      </c>
      <c r="E1192" s="25" t="s">
        <v>1616</v>
      </c>
      <c r="F1192" s="26" t="s">
        <v>90</v>
      </c>
      <c r="G1192" s="26" t="s">
        <v>90</v>
      </c>
      <c r="H1192" s="26"/>
      <c r="I1192" s="26"/>
      <c r="J1192" s="26">
        <v>1</v>
      </c>
      <c r="K1192" s="26">
        <v>138</v>
      </c>
      <c r="L1192" s="26" t="s">
        <v>28</v>
      </c>
      <c r="M1192" s="27">
        <v>1873</v>
      </c>
      <c r="N1192" s="28"/>
      <c r="O1192" s="26" t="s">
        <v>29</v>
      </c>
      <c r="P1192" s="29"/>
      <c r="Q1192" s="6"/>
      <c r="R1192" s="29"/>
      <c r="S1192" s="10"/>
      <c r="T1192" s="8"/>
    </row>
    <row r="1193" spans="1:20" ht="15.75" customHeight="1" x14ac:dyDescent="0.35">
      <c r="A1193" s="25" t="s">
        <v>1573</v>
      </c>
      <c r="B1193" s="25" t="s">
        <v>1595</v>
      </c>
      <c r="C1193" s="26">
        <v>118386</v>
      </c>
      <c r="D1193" s="25" t="s">
        <v>1507</v>
      </c>
      <c r="E1193" s="25" t="s">
        <v>1616</v>
      </c>
      <c r="F1193" s="26" t="s">
        <v>90</v>
      </c>
      <c r="G1193" s="26" t="s">
        <v>90</v>
      </c>
      <c r="H1193" s="26"/>
      <c r="I1193" s="26"/>
      <c r="J1193" s="26">
        <v>1</v>
      </c>
      <c r="K1193" s="26">
        <v>138</v>
      </c>
      <c r="L1193" s="26" t="s">
        <v>28</v>
      </c>
      <c r="M1193" s="27">
        <v>1876</v>
      </c>
      <c r="N1193" s="28"/>
      <c r="O1193" s="26" t="s">
        <v>29</v>
      </c>
      <c r="P1193" s="29"/>
      <c r="Q1193" s="6"/>
      <c r="R1193" s="29"/>
      <c r="S1193" s="10"/>
      <c r="T1193" s="8"/>
    </row>
    <row r="1194" spans="1:20" ht="15.75" customHeight="1" x14ac:dyDescent="0.35">
      <c r="A1194" s="25" t="s">
        <v>1573</v>
      </c>
      <c r="B1194" s="25" t="s">
        <v>1595</v>
      </c>
      <c r="C1194" s="26">
        <v>118396</v>
      </c>
      <c r="D1194" s="25" t="s">
        <v>1619</v>
      </c>
      <c r="E1194" s="25" t="s">
        <v>1616</v>
      </c>
      <c r="F1194" s="26" t="s">
        <v>90</v>
      </c>
      <c r="G1194" s="26" t="s">
        <v>90</v>
      </c>
      <c r="H1194" s="26"/>
      <c r="I1194" s="26"/>
      <c r="J1194" s="26">
        <v>1</v>
      </c>
      <c r="K1194" s="26">
        <v>138</v>
      </c>
      <c r="L1194" s="26" t="s">
        <v>28</v>
      </c>
      <c r="M1194" s="27">
        <v>1864</v>
      </c>
      <c r="N1194" s="28"/>
      <c r="O1194" s="26" t="s">
        <v>29</v>
      </c>
      <c r="P1194" s="29"/>
      <c r="Q1194" s="6"/>
      <c r="R1194" s="29"/>
      <c r="S1194" s="10"/>
      <c r="T1194" s="8"/>
    </row>
    <row r="1195" spans="1:20" ht="15.75" customHeight="1" x14ac:dyDescent="0.35">
      <c r="A1195" s="25" t="s">
        <v>1573</v>
      </c>
      <c r="B1195" s="25" t="s">
        <v>1595</v>
      </c>
      <c r="C1195" s="26">
        <v>118474</v>
      </c>
      <c r="D1195" s="25" t="s">
        <v>1620</v>
      </c>
      <c r="E1195" s="25" t="s">
        <v>1621</v>
      </c>
      <c r="F1195" s="26" t="s">
        <v>215</v>
      </c>
      <c r="G1195" s="26" t="s">
        <v>215</v>
      </c>
      <c r="H1195" s="26">
        <v>1</v>
      </c>
      <c r="I1195" s="26">
        <v>18</v>
      </c>
      <c r="J1195" s="26">
        <v>1</v>
      </c>
      <c r="K1195" s="26">
        <v>138</v>
      </c>
      <c r="L1195" s="26" t="s">
        <v>28</v>
      </c>
      <c r="M1195" s="27">
        <v>1847</v>
      </c>
      <c r="N1195" s="28">
        <v>1082997.1599999999</v>
      </c>
      <c r="O1195" s="26" t="s">
        <v>29</v>
      </c>
      <c r="P1195" s="29"/>
      <c r="Q1195" s="6"/>
      <c r="R1195" s="29"/>
      <c r="S1195" s="10"/>
      <c r="T1195" s="8">
        <v>1</v>
      </c>
    </row>
    <row r="1196" spans="1:20" ht="15.75" customHeight="1" x14ac:dyDescent="0.35">
      <c r="A1196" s="25" t="s">
        <v>1573</v>
      </c>
      <c r="B1196" s="25" t="s">
        <v>1595</v>
      </c>
      <c r="C1196" s="26">
        <v>118476</v>
      </c>
      <c r="D1196" s="25" t="s">
        <v>1622</v>
      </c>
      <c r="E1196" s="25" t="s">
        <v>1621</v>
      </c>
      <c r="F1196" s="26" t="s">
        <v>215</v>
      </c>
      <c r="G1196" s="26" t="s">
        <v>215</v>
      </c>
      <c r="H1196" s="26">
        <v>1</v>
      </c>
      <c r="I1196" s="26">
        <v>2</v>
      </c>
      <c r="J1196" s="26">
        <v>1</v>
      </c>
      <c r="K1196" s="26">
        <v>138</v>
      </c>
      <c r="L1196" s="26" t="s">
        <v>28</v>
      </c>
      <c r="M1196" s="27">
        <v>1848</v>
      </c>
      <c r="N1196" s="28">
        <v>392980.38</v>
      </c>
      <c r="O1196" s="26" t="s">
        <v>29</v>
      </c>
      <c r="P1196" s="29"/>
      <c r="Q1196" s="6"/>
      <c r="R1196" s="29"/>
      <c r="S1196" s="10"/>
      <c r="T1196" s="8">
        <v>1</v>
      </c>
    </row>
    <row r="1197" spans="1:20" ht="15.75" customHeight="1" x14ac:dyDescent="0.35">
      <c r="A1197" s="25" t="s">
        <v>1573</v>
      </c>
      <c r="B1197" s="25" t="s">
        <v>1595</v>
      </c>
      <c r="C1197" s="26">
        <v>118491</v>
      </c>
      <c r="D1197" s="25" t="s">
        <v>1623</v>
      </c>
      <c r="E1197" s="25" t="s">
        <v>1621</v>
      </c>
      <c r="F1197" s="26" t="s">
        <v>215</v>
      </c>
      <c r="G1197" s="26" t="s">
        <v>215</v>
      </c>
      <c r="H1197" s="26">
        <v>1</v>
      </c>
      <c r="I1197" s="26">
        <v>6</v>
      </c>
      <c r="J1197" s="26">
        <v>1</v>
      </c>
      <c r="K1197" s="26">
        <v>138</v>
      </c>
      <c r="L1197" s="26" t="s">
        <v>28</v>
      </c>
      <c r="M1197" s="27">
        <v>1841</v>
      </c>
      <c r="N1197" s="28">
        <v>347696.8</v>
      </c>
      <c r="O1197" s="26" t="s">
        <v>29</v>
      </c>
      <c r="P1197" s="29"/>
      <c r="Q1197" s="6"/>
      <c r="R1197" s="29"/>
      <c r="S1197" s="10"/>
      <c r="T1197" s="8">
        <v>1</v>
      </c>
    </row>
    <row r="1198" spans="1:20" ht="15.75" customHeight="1" x14ac:dyDescent="0.35">
      <c r="A1198" s="25" t="s">
        <v>1573</v>
      </c>
      <c r="B1198" s="25" t="s">
        <v>1595</v>
      </c>
      <c r="C1198" s="26">
        <v>118499</v>
      </c>
      <c r="D1198" s="25" t="s">
        <v>1624</v>
      </c>
      <c r="E1198" s="25" t="s">
        <v>1621</v>
      </c>
      <c r="F1198" s="26" t="s">
        <v>215</v>
      </c>
      <c r="G1198" s="26" t="s">
        <v>215</v>
      </c>
      <c r="H1198" s="26"/>
      <c r="I1198" s="26"/>
      <c r="J1198" s="26">
        <v>1</v>
      </c>
      <c r="K1198" s="26">
        <v>138</v>
      </c>
      <c r="L1198" s="26" t="s">
        <v>28</v>
      </c>
      <c r="M1198" s="27">
        <v>1852</v>
      </c>
      <c r="N1198" s="28"/>
      <c r="O1198" s="26" t="s">
        <v>29</v>
      </c>
      <c r="P1198" s="29"/>
      <c r="Q1198" s="6"/>
      <c r="R1198" s="29"/>
      <c r="S1198" s="10"/>
      <c r="T1198" s="8"/>
    </row>
    <row r="1199" spans="1:20" ht="15.75" customHeight="1" x14ac:dyDescent="0.35">
      <c r="A1199" s="25" t="s">
        <v>1573</v>
      </c>
      <c r="B1199" s="25" t="s">
        <v>1595</v>
      </c>
      <c r="C1199" s="26">
        <v>118534</v>
      </c>
      <c r="D1199" s="25" t="s">
        <v>1625</v>
      </c>
      <c r="E1199" s="25" t="s">
        <v>1626</v>
      </c>
      <c r="F1199" s="26" t="s">
        <v>215</v>
      </c>
      <c r="G1199" s="26" t="s">
        <v>215</v>
      </c>
      <c r="H1199" s="26"/>
      <c r="I1199" s="26"/>
      <c r="J1199" s="26">
        <v>1</v>
      </c>
      <c r="K1199" s="26">
        <v>138</v>
      </c>
      <c r="L1199" s="26" t="s">
        <v>28</v>
      </c>
      <c r="M1199" s="27">
        <v>1843</v>
      </c>
      <c r="N1199" s="28"/>
      <c r="O1199" s="26" t="s">
        <v>29</v>
      </c>
      <c r="P1199" s="29"/>
      <c r="Q1199" s="6"/>
      <c r="R1199" s="29"/>
      <c r="S1199" s="10"/>
      <c r="T1199" s="8"/>
    </row>
    <row r="1200" spans="1:20" ht="15.75" customHeight="1" x14ac:dyDescent="0.35">
      <c r="A1200" s="25" t="s">
        <v>1573</v>
      </c>
      <c r="B1200" s="25" t="s">
        <v>1595</v>
      </c>
      <c r="C1200" s="26">
        <v>118542</v>
      </c>
      <c r="D1200" s="25" t="s">
        <v>1627</v>
      </c>
      <c r="E1200" s="25" t="s">
        <v>1626</v>
      </c>
      <c r="F1200" s="26" t="s">
        <v>215</v>
      </c>
      <c r="G1200" s="26" t="s">
        <v>215</v>
      </c>
      <c r="H1200" s="26">
        <v>1</v>
      </c>
      <c r="I1200" s="26">
        <v>2</v>
      </c>
      <c r="J1200" s="26">
        <v>1</v>
      </c>
      <c r="K1200" s="26">
        <v>138</v>
      </c>
      <c r="L1200" s="26" t="s">
        <v>28</v>
      </c>
      <c r="M1200" s="27">
        <v>1850</v>
      </c>
      <c r="N1200" s="28">
        <v>154103.28</v>
      </c>
      <c r="O1200" s="26" t="s">
        <v>29</v>
      </c>
      <c r="P1200" s="29"/>
      <c r="Q1200" s="6"/>
      <c r="R1200" s="29"/>
      <c r="S1200" s="10"/>
      <c r="T1200" s="8">
        <v>1</v>
      </c>
    </row>
    <row r="1201" spans="1:20" ht="15.75" customHeight="1" x14ac:dyDescent="0.35">
      <c r="A1201" s="25" t="s">
        <v>1573</v>
      </c>
      <c r="B1201" s="25" t="s">
        <v>1595</v>
      </c>
      <c r="C1201" s="26">
        <v>118552</v>
      </c>
      <c r="D1201" s="25" t="s">
        <v>1628</v>
      </c>
      <c r="E1201" s="25" t="s">
        <v>1626</v>
      </c>
      <c r="F1201" s="26" t="s">
        <v>215</v>
      </c>
      <c r="G1201" s="26" t="s">
        <v>215</v>
      </c>
      <c r="H1201" s="26"/>
      <c r="I1201" s="26"/>
      <c r="J1201" s="26">
        <v>1</v>
      </c>
      <c r="K1201" s="26">
        <v>138</v>
      </c>
      <c r="L1201" s="26" t="s">
        <v>28</v>
      </c>
      <c r="M1201" s="27">
        <v>1857</v>
      </c>
      <c r="N1201" s="28"/>
      <c r="O1201" s="26" t="s">
        <v>29</v>
      </c>
      <c r="P1201" s="29"/>
      <c r="Q1201" s="6"/>
      <c r="R1201" s="29"/>
      <c r="S1201" s="10"/>
      <c r="T1201" s="8"/>
    </row>
    <row r="1202" spans="1:20" ht="15.75" customHeight="1" x14ac:dyDescent="0.35">
      <c r="A1202" s="25" t="s">
        <v>1573</v>
      </c>
      <c r="B1202" s="25" t="s">
        <v>1595</v>
      </c>
      <c r="C1202" s="26">
        <v>118596</v>
      </c>
      <c r="D1202" s="25" t="s">
        <v>1629</v>
      </c>
      <c r="E1202" s="25" t="s">
        <v>1630</v>
      </c>
      <c r="F1202" s="26" t="s">
        <v>90</v>
      </c>
      <c r="G1202" s="26" t="s">
        <v>90</v>
      </c>
      <c r="H1202" s="26"/>
      <c r="I1202" s="26"/>
      <c r="J1202" s="26">
        <v>1</v>
      </c>
      <c r="K1202" s="26">
        <v>138</v>
      </c>
      <c r="L1202" s="26" t="s">
        <v>28</v>
      </c>
      <c r="M1202" s="27">
        <v>1871</v>
      </c>
      <c r="N1202" s="28"/>
      <c r="O1202" s="26" t="s">
        <v>29</v>
      </c>
      <c r="P1202" s="29"/>
      <c r="Q1202" s="6"/>
      <c r="R1202" s="29"/>
      <c r="S1202" s="10"/>
      <c r="T1202" s="8"/>
    </row>
    <row r="1203" spans="1:20" ht="15.75" customHeight="1" x14ac:dyDescent="0.35">
      <c r="A1203" s="25" t="s">
        <v>1573</v>
      </c>
      <c r="B1203" s="25" t="s">
        <v>1595</v>
      </c>
      <c r="C1203" s="26">
        <v>118615</v>
      </c>
      <c r="D1203" s="25" t="s">
        <v>925</v>
      </c>
      <c r="E1203" s="25" t="s">
        <v>1631</v>
      </c>
      <c r="F1203" s="26" t="s">
        <v>90</v>
      </c>
      <c r="G1203" s="26" t="s">
        <v>90</v>
      </c>
      <c r="H1203" s="26"/>
      <c r="I1203" s="26"/>
      <c r="J1203" s="26">
        <v>1</v>
      </c>
      <c r="K1203" s="26">
        <v>138</v>
      </c>
      <c r="L1203" s="26" t="s">
        <v>28</v>
      </c>
      <c r="M1203" s="27">
        <v>1872</v>
      </c>
      <c r="N1203" s="28"/>
      <c r="O1203" s="26" t="s">
        <v>29</v>
      </c>
      <c r="P1203" s="29"/>
      <c r="Q1203" s="6"/>
      <c r="R1203" s="29"/>
      <c r="S1203" s="10"/>
      <c r="T1203" s="8"/>
    </row>
    <row r="1204" spans="1:20" ht="15.75" customHeight="1" x14ac:dyDescent="0.35">
      <c r="A1204" s="25" t="s">
        <v>1573</v>
      </c>
      <c r="B1204" s="25" t="s">
        <v>1595</v>
      </c>
      <c r="C1204" s="26">
        <v>118636</v>
      </c>
      <c r="D1204" s="25" t="s">
        <v>1632</v>
      </c>
      <c r="E1204" s="25" t="s">
        <v>44</v>
      </c>
      <c r="F1204" s="26" t="s">
        <v>90</v>
      </c>
      <c r="G1204" s="26" t="s">
        <v>90</v>
      </c>
      <c r="H1204" s="26"/>
      <c r="I1204" s="26"/>
      <c r="J1204" s="26">
        <v>1</v>
      </c>
      <c r="K1204" s="26">
        <v>138</v>
      </c>
      <c r="L1204" s="26" t="s">
        <v>28</v>
      </c>
      <c r="M1204" s="27">
        <v>1863</v>
      </c>
      <c r="N1204" s="28"/>
      <c r="O1204" s="26" t="s">
        <v>29</v>
      </c>
      <c r="P1204" s="29"/>
      <c r="Q1204" s="6"/>
      <c r="R1204" s="29"/>
      <c r="S1204" s="10"/>
      <c r="T1204" s="8"/>
    </row>
    <row r="1205" spans="1:20" ht="15.75" customHeight="1" x14ac:dyDescent="0.35">
      <c r="A1205" s="25" t="s">
        <v>1573</v>
      </c>
      <c r="B1205" s="25" t="s">
        <v>1595</v>
      </c>
      <c r="C1205" s="26">
        <v>118667</v>
      </c>
      <c r="D1205" s="25" t="s">
        <v>1633</v>
      </c>
      <c r="E1205" s="25" t="s">
        <v>1634</v>
      </c>
      <c r="F1205" s="26" t="s">
        <v>491</v>
      </c>
      <c r="G1205" s="26" t="s">
        <v>491</v>
      </c>
      <c r="H1205" s="26"/>
      <c r="I1205" s="26"/>
      <c r="J1205" s="26">
        <v>1</v>
      </c>
      <c r="K1205" s="26">
        <v>138</v>
      </c>
      <c r="L1205" s="26" t="s">
        <v>28</v>
      </c>
      <c r="M1205" s="27">
        <v>1881</v>
      </c>
      <c r="N1205" s="28"/>
      <c r="O1205" s="26" t="s">
        <v>29</v>
      </c>
      <c r="P1205" s="29"/>
      <c r="Q1205" s="6"/>
      <c r="R1205" s="29"/>
      <c r="S1205" s="10"/>
      <c r="T1205" s="8"/>
    </row>
    <row r="1206" spans="1:20" ht="15.75" customHeight="1" x14ac:dyDescent="0.35">
      <c r="A1206" s="25" t="s">
        <v>1573</v>
      </c>
      <c r="B1206" s="25" t="s">
        <v>1595</v>
      </c>
      <c r="C1206" s="26">
        <v>118773</v>
      </c>
      <c r="D1206" s="25" t="s">
        <v>1635</v>
      </c>
      <c r="E1206" s="25" t="s">
        <v>1636</v>
      </c>
      <c r="F1206" s="26" t="s">
        <v>215</v>
      </c>
      <c r="G1206" s="26" t="s">
        <v>215</v>
      </c>
      <c r="H1206" s="26"/>
      <c r="I1206" s="26"/>
      <c r="J1206" s="26">
        <v>1</v>
      </c>
      <c r="K1206" s="26">
        <v>138</v>
      </c>
      <c r="L1206" s="26" t="s">
        <v>28</v>
      </c>
      <c r="M1206" s="27">
        <v>1842</v>
      </c>
      <c r="N1206" s="28"/>
      <c r="O1206" s="26" t="s">
        <v>29</v>
      </c>
      <c r="P1206" s="29"/>
      <c r="Q1206" s="6"/>
      <c r="R1206" s="29"/>
      <c r="S1206" s="10"/>
      <c r="T1206" s="8"/>
    </row>
    <row r="1207" spans="1:20" ht="15.75" customHeight="1" x14ac:dyDescent="0.35">
      <c r="A1207" s="25" t="s">
        <v>1573</v>
      </c>
      <c r="B1207" s="25" t="s">
        <v>1595</v>
      </c>
      <c r="C1207" s="26">
        <v>118774</v>
      </c>
      <c r="D1207" s="25" t="s">
        <v>1637</v>
      </c>
      <c r="E1207" s="25" t="s">
        <v>1636</v>
      </c>
      <c r="F1207" s="26" t="s">
        <v>215</v>
      </c>
      <c r="G1207" s="26" t="s">
        <v>215</v>
      </c>
      <c r="H1207" s="26"/>
      <c r="I1207" s="26"/>
      <c r="J1207" s="26">
        <v>1</v>
      </c>
      <c r="K1207" s="26">
        <v>138</v>
      </c>
      <c r="L1207" s="26" t="s">
        <v>28</v>
      </c>
      <c r="M1207" s="27">
        <v>1844</v>
      </c>
      <c r="N1207" s="28"/>
      <c r="O1207" s="26" t="s">
        <v>29</v>
      </c>
      <c r="P1207" s="29"/>
      <c r="Q1207" s="6"/>
      <c r="R1207" s="29"/>
      <c r="S1207" s="10"/>
      <c r="T1207" s="8"/>
    </row>
    <row r="1208" spans="1:20" ht="15.75" customHeight="1" x14ac:dyDescent="0.35">
      <c r="A1208" s="25" t="s">
        <v>1573</v>
      </c>
      <c r="B1208" s="25" t="s">
        <v>1595</v>
      </c>
      <c r="C1208" s="26">
        <v>118789</v>
      </c>
      <c r="D1208" s="25" t="s">
        <v>1638</v>
      </c>
      <c r="E1208" s="25" t="s">
        <v>1636</v>
      </c>
      <c r="F1208" s="26" t="s">
        <v>215</v>
      </c>
      <c r="G1208" s="26" t="s">
        <v>215</v>
      </c>
      <c r="H1208" s="26"/>
      <c r="I1208" s="26"/>
      <c r="J1208" s="26">
        <v>1</v>
      </c>
      <c r="K1208" s="26">
        <v>138</v>
      </c>
      <c r="L1208" s="26" t="s">
        <v>28</v>
      </c>
      <c r="M1208" s="27">
        <v>1854</v>
      </c>
      <c r="N1208" s="28"/>
      <c r="O1208" s="26" t="s">
        <v>29</v>
      </c>
      <c r="P1208" s="29"/>
      <c r="Q1208" s="6"/>
      <c r="R1208" s="29"/>
      <c r="S1208" s="10"/>
      <c r="T1208" s="8"/>
    </row>
    <row r="1209" spans="1:20" ht="15.75" customHeight="1" x14ac:dyDescent="0.35">
      <c r="A1209" s="25" t="s">
        <v>1573</v>
      </c>
      <c r="B1209" s="25" t="s">
        <v>1595</v>
      </c>
      <c r="C1209" s="26">
        <v>118791</v>
      </c>
      <c r="D1209" s="25" t="s">
        <v>1639</v>
      </c>
      <c r="E1209" s="25" t="s">
        <v>1636</v>
      </c>
      <c r="F1209" s="26" t="s">
        <v>215</v>
      </c>
      <c r="G1209" s="26" t="s">
        <v>215</v>
      </c>
      <c r="H1209" s="26"/>
      <c r="I1209" s="26"/>
      <c r="J1209" s="26">
        <v>1</v>
      </c>
      <c r="K1209" s="26">
        <v>138</v>
      </c>
      <c r="L1209" s="26" t="s">
        <v>28</v>
      </c>
      <c r="M1209" s="27">
        <v>1856</v>
      </c>
      <c r="N1209" s="28"/>
      <c r="O1209" s="26" t="s">
        <v>29</v>
      </c>
      <c r="P1209" s="29"/>
      <c r="Q1209" s="6"/>
      <c r="R1209" s="29"/>
      <c r="S1209" s="10"/>
      <c r="T1209" s="8"/>
    </row>
    <row r="1210" spans="1:20" ht="15.75" customHeight="1" x14ac:dyDescent="0.35">
      <c r="A1210" s="25" t="s">
        <v>1573</v>
      </c>
      <c r="B1210" s="25" t="s">
        <v>1595</v>
      </c>
      <c r="C1210" s="26">
        <v>118814</v>
      </c>
      <c r="D1210" s="25" t="s">
        <v>1640</v>
      </c>
      <c r="E1210" s="25" t="s">
        <v>1641</v>
      </c>
      <c r="F1210" s="26" t="s">
        <v>90</v>
      </c>
      <c r="G1210" s="26" t="s">
        <v>90</v>
      </c>
      <c r="H1210" s="26">
        <v>1</v>
      </c>
      <c r="I1210" s="26">
        <v>1</v>
      </c>
      <c r="J1210" s="26">
        <v>1</v>
      </c>
      <c r="K1210" s="26">
        <v>138</v>
      </c>
      <c r="L1210" s="26" t="s">
        <v>28</v>
      </c>
      <c r="M1210" s="27">
        <v>1869</v>
      </c>
      <c r="N1210" s="28">
        <v>83692.63</v>
      </c>
      <c r="O1210" s="26" t="s">
        <v>29</v>
      </c>
      <c r="P1210" s="29"/>
      <c r="Q1210" s="6"/>
      <c r="R1210" s="29"/>
      <c r="S1210" s="10"/>
      <c r="T1210" s="8">
        <v>1</v>
      </c>
    </row>
    <row r="1211" spans="1:20" ht="15.75" customHeight="1" x14ac:dyDescent="0.35">
      <c r="A1211" s="25" t="s">
        <v>1573</v>
      </c>
      <c r="B1211" s="25" t="s">
        <v>1595</v>
      </c>
      <c r="C1211" s="26">
        <v>186504</v>
      </c>
      <c r="D1211" s="25" t="s">
        <v>1642</v>
      </c>
      <c r="E1211" s="25" t="s">
        <v>1621</v>
      </c>
      <c r="F1211" s="26" t="s">
        <v>215</v>
      </c>
      <c r="G1211" s="26" t="s">
        <v>215</v>
      </c>
      <c r="H1211" s="26">
        <v>1</v>
      </c>
      <c r="I1211" s="26">
        <v>4</v>
      </c>
      <c r="J1211" s="26">
        <v>1</v>
      </c>
      <c r="K1211" s="26">
        <v>138</v>
      </c>
      <c r="L1211" s="26" t="s">
        <v>28</v>
      </c>
      <c r="M1211" s="27">
        <v>1846</v>
      </c>
      <c r="N1211" s="28">
        <v>291626.73</v>
      </c>
      <c r="O1211" s="26" t="s">
        <v>29</v>
      </c>
      <c r="P1211" s="29"/>
      <c r="Q1211" s="6"/>
      <c r="R1211" s="29"/>
      <c r="S1211" s="10"/>
      <c r="T1211" s="8">
        <v>1</v>
      </c>
    </row>
    <row r="1212" spans="1:20" ht="15.75" customHeight="1" x14ac:dyDescent="0.35">
      <c r="A1212" s="25" t="s">
        <v>1573</v>
      </c>
      <c r="B1212" s="25" t="s">
        <v>1595</v>
      </c>
      <c r="C1212" s="26">
        <v>186505</v>
      </c>
      <c r="D1212" s="25" t="s">
        <v>1643</v>
      </c>
      <c r="E1212" s="25" t="s">
        <v>460</v>
      </c>
      <c r="F1212" s="26" t="s">
        <v>491</v>
      </c>
      <c r="G1212" s="26" t="s">
        <v>491</v>
      </c>
      <c r="H1212" s="26"/>
      <c r="I1212" s="26"/>
      <c r="J1212" s="26">
        <v>1</v>
      </c>
      <c r="K1212" s="26">
        <v>138</v>
      </c>
      <c r="L1212" s="26" t="s">
        <v>28</v>
      </c>
      <c r="M1212" s="27">
        <v>1883</v>
      </c>
      <c r="N1212" s="28"/>
      <c r="O1212" s="26" t="s">
        <v>29</v>
      </c>
      <c r="P1212" s="29"/>
      <c r="Q1212" s="6"/>
      <c r="R1212" s="29"/>
      <c r="S1212" s="10"/>
      <c r="T1212" s="8"/>
    </row>
    <row r="1213" spans="1:20" ht="15.75" customHeight="1" x14ac:dyDescent="0.35">
      <c r="A1213" s="25" t="s">
        <v>1573</v>
      </c>
      <c r="B1213" s="25" t="s">
        <v>1595</v>
      </c>
      <c r="C1213" s="26">
        <v>186506</v>
      </c>
      <c r="D1213" s="25" t="s">
        <v>1644</v>
      </c>
      <c r="E1213" s="25" t="s">
        <v>1645</v>
      </c>
      <c r="F1213" s="26" t="s">
        <v>90</v>
      </c>
      <c r="G1213" s="26" t="s">
        <v>90</v>
      </c>
      <c r="H1213" s="26"/>
      <c r="I1213" s="26"/>
      <c r="J1213" s="26">
        <v>1</v>
      </c>
      <c r="K1213" s="26">
        <v>138</v>
      </c>
      <c r="L1213" s="26" t="s">
        <v>28</v>
      </c>
      <c r="M1213" s="27">
        <v>1878</v>
      </c>
      <c r="N1213" s="28"/>
      <c r="O1213" s="26" t="s">
        <v>29</v>
      </c>
      <c r="P1213" s="29"/>
      <c r="Q1213" s="6"/>
      <c r="R1213" s="29"/>
      <c r="S1213" s="10"/>
      <c r="T1213" s="8"/>
    </row>
    <row r="1214" spans="1:20" ht="15.75" customHeight="1" x14ac:dyDescent="0.35">
      <c r="A1214" s="25" t="s">
        <v>1573</v>
      </c>
      <c r="B1214" s="25" t="s">
        <v>1595</v>
      </c>
      <c r="C1214" s="26">
        <v>186510</v>
      </c>
      <c r="D1214" s="25" t="s">
        <v>1646</v>
      </c>
      <c r="E1214" s="25" t="s">
        <v>1647</v>
      </c>
      <c r="F1214" s="26" t="s">
        <v>215</v>
      </c>
      <c r="G1214" s="26" t="s">
        <v>215</v>
      </c>
      <c r="H1214" s="26"/>
      <c r="I1214" s="26"/>
      <c r="J1214" s="26">
        <v>1</v>
      </c>
      <c r="K1214" s="26">
        <v>138</v>
      </c>
      <c r="L1214" s="26" t="s">
        <v>28</v>
      </c>
      <c r="M1214" s="27">
        <v>1855</v>
      </c>
      <c r="N1214" s="28"/>
      <c r="O1214" s="26" t="s">
        <v>29</v>
      </c>
      <c r="P1214" s="29"/>
      <c r="Q1214" s="6"/>
      <c r="R1214" s="29"/>
      <c r="S1214" s="10"/>
      <c r="T1214" s="8"/>
    </row>
    <row r="1215" spans="1:20" ht="15.75" customHeight="1" x14ac:dyDescent="0.35">
      <c r="A1215" s="25" t="s">
        <v>1573</v>
      </c>
      <c r="B1215" s="25" t="s">
        <v>1595</v>
      </c>
      <c r="C1215" s="26">
        <v>186515</v>
      </c>
      <c r="D1215" s="25" t="s">
        <v>1648</v>
      </c>
      <c r="E1215" s="25" t="s">
        <v>218</v>
      </c>
      <c r="F1215" s="26" t="s">
        <v>90</v>
      </c>
      <c r="G1215" s="26" t="s">
        <v>90</v>
      </c>
      <c r="H1215" s="26"/>
      <c r="I1215" s="26"/>
      <c r="J1215" s="26">
        <v>1</v>
      </c>
      <c r="K1215" s="26">
        <v>138</v>
      </c>
      <c r="L1215" s="26" t="s">
        <v>28</v>
      </c>
      <c r="M1215" s="27">
        <v>1875</v>
      </c>
      <c r="N1215" s="28"/>
      <c r="O1215" s="26" t="s">
        <v>29</v>
      </c>
      <c r="P1215" s="29"/>
      <c r="Q1215" s="6"/>
      <c r="R1215" s="29"/>
      <c r="S1215" s="10"/>
      <c r="T1215" s="8"/>
    </row>
    <row r="1216" spans="1:20" ht="15.75" customHeight="1" x14ac:dyDescent="0.35">
      <c r="A1216" s="25" t="s">
        <v>1573</v>
      </c>
      <c r="B1216" s="25" t="s">
        <v>1595</v>
      </c>
      <c r="C1216" s="26">
        <v>312306</v>
      </c>
      <c r="D1216" s="25" t="s">
        <v>1649</v>
      </c>
      <c r="E1216" s="25" t="s">
        <v>1597</v>
      </c>
      <c r="F1216" s="26" t="s">
        <v>215</v>
      </c>
      <c r="G1216" s="26" t="s">
        <v>215</v>
      </c>
      <c r="H1216" s="26"/>
      <c r="I1216" s="26"/>
      <c r="J1216" s="26">
        <v>1</v>
      </c>
      <c r="K1216" s="26">
        <v>138</v>
      </c>
      <c r="L1216" s="26" t="s">
        <v>28</v>
      </c>
      <c r="M1216" s="27">
        <v>1849</v>
      </c>
      <c r="N1216" s="28"/>
      <c r="O1216" s="26" t="s">
        <v>29</v>
      </c>
      <c r="P1216" s="29"/>
      <c r="Q1216" s="6"/>
      <c r="R1216" s="29"/>
      <c r="S1216" s="10"/>
      <c r="T1216" s="8"/>
    </row>
    <row r="1217" spans="1:20" ht="15.75" customHeight="1" x14ac:dyDescent="0.35">
      <c r="A1217" s="25" t="s">
        <v>1573</v>
      </c>
      <c r="B1217" s="25" t="s">
        <v>1595</v>
      </c>
      <c r="C1217" s="26">
        <v>312326</v>
      </c>
      <c r="D1217" s="25" t="s">
        <v>1650</v>
      </c>
      <c r="E1217" s="25" t="s">
        <v>1616</v>
      </c>
      <c r="F1217" s="26" t="s">
        <v>90</v>
      </c>
      <c r="G1217" s="26" t="s">
        <v>90</v>
      </c>
      <c r="H1217" s="26"/>
      <c r="I1217" s="26"/>
      <c r="J1217" s="26">
        <v>1</v>
      </c>
      <c r="K1217" s="26">
        <v>138</v>
      </c>
      <c r="L1217" s="26" t="s">
        <v>28</v>
      </c>
      <c r="M1217" s="27">
        <v>1868</v>
      </c>
      <c r="N1217" s="28"/>
      <c r="O1217" s="26" t="s">
        <v>29</v>
      </c>
      <c r="P1217" s="29"/>
      <c r="Q1217" s="6"/>
      <c r="R1217" s="29"/>
      <c r="S1217" s="10"/>
      <c r="T1217" s="8"/>
    </row>
    <row r="1218" spans="1:20" ht="15.75" customHeight="1" x14ac:dyDescent="0.35">
      <c r="A1218" s="25" t="s">
        <v>1573</v>
      </c>
      <c r="B1218" s="25" t="s">
        <v>1595</v>
      </c>
      <c r="C1218" s="26">
        <v>312335</v>
      </c>
      <c r="D1218" s="25" t="s">
        <v>1651</v>
      </c>
      <c r="E1218" s="25" t="s">
        <v>1630</v>
      </c>
      <c r="F1218" s="26" t="s">
        <v>90</v>
      </c>
      <c r="G1218" s="26" t="s">
        <v>90</v>
      </c>
      <c r="H1218" s="26"/>
      <c r="I1218" s="26"/>
      <c r="J1218" s="26">
        <v>1</v>
      </c>
      <c r="K1218" s="26">
        <v>138</v>
      </c>
      <c r="L1218" s="26" t="s">
        <v>28</v>
      </c>
      <c r="M1218" s="27">
        <v>1860</v>
      </c>
      <c r="N1218" s="28"/>
      <c r="O1218" s="26" t="s">
        <v>29</v>
      </c>
      <c r="P1218" s="29"/>
      <c r="Q1218" s="6"/>
      <c r="R1218" s="29"/>
      <c r="S1218" s="10"/>
      <c r="T1218" s="8"/>
    </row>
    <row r="1219" spans="1:20" ht="15.75" customHeight="1" x14ac:dyDescent="0.35">
      <c r="A1219" s="25" t="s">
        <v>1573</v>
      </c>
      <c r="B1219" s="25" t="s">
        <v>1595</v>
      </c>
      <c r="C1219" s="26">
        <v>312355</v>
      </c>
      <c r="D1219" s="25" t="s">
        <v>1652</v>
      </c>
      <c r="E1219" s="25" t="s">
        <v>371</v>
      </c>
      <c r="F1219" s="26" t="s">
        <v>215</v>
      </c>
      <c r="G1219" s="26" t="s">
        <v>215</v>
      </c>
      <c r="H1219" s="26"/>
      <c r="I1219" s="26"/>
      <c r="J1219" s="26">
        <v>1</v>
      </c>
      <c r="K1219" s="26">
        <v>138</v>
      </c>
      <c r="L1219" s="26" t="s">
        <v>28</v>
      </c>
      <c r="M1219" s="27">
        <v>1853</v>
      </c>
      <c r="N1219" s="28"/>
      <c r="O1219" s="26" t="s">
        <v>29</v>
      </c>
      <c r="P1219" s="29"/>
      <c r="Q1219" s="6"/>
      <c r="R1219" s="29"/>
      <c r="S1219" s="10"/>
      <c r="T1219" s="8"/>
    </row>
    <row r="1220" spans="1:20" ht="15.75" customHeight="1" x14ac:dyDescent="0.35">
      <c r="A1220" s="25" t="s">
        <v>1573</v>
      </c>
      <c r="B1220" s="25" t="s">
        <v>1595</v>
      </c>
      <c r="C1220" s="26">
        <v>312356</v>
      </c>
      <c r="D1220" s="25" t="s">
        <v>1653</v>
      </c>
      <c r="E1220" s="25" t="s">
        <v>1654</v>
      </c>
      <c r="F1220" s="26" t="s">
        <v>491</v>
      </c>
      <c r="G1220" s="26" t="s">
        <v>491</v>
      </c>
      <c r="H1220" s="26"/>
      <c r="I1220" s="26"/>
      <c r="J1220" s="26">
        <v>1</v>
      </c>
      <c r="K1220" s="26">
        <v>138</v>
      </c>
      <c r="L1220" s="26" t="s">
        <v>28</v>
      </c>
      <c r="M1220" s="27">
        <v>1880</v>
      </c>
      <c r="N1220" s="28"/>
      <c r="O1220" s="26" t="s">
        <v>29</v>
      </c>
      <c r="P1220" s="29"/>
      <c r="Q1220" s="6"/>
      <c r="R1220" s="29"/>
      <c r="S1220" s="10"/>
      <c r="T1220" s="8"/>
    </row>
    <row r="1221" spans="1:20" ht="15.75" customHeight="1" x14ac:dyDescent="0.35">
      <c r="A1221" s="25" t="s">
        <v>1573</v>
      </c>
      <c r="B1221" s="25" t="s">
        <v>1655</v>
      </c>
      <c r="C1221" s="26">
        <v>324905</v>
      </c>
      <c r="D1221" s="25" t="s">
        <v>1656</v>
      </c>
      <c r="E1221" s="25" t="s">
        <v>1657</v>
      </c>
      <c r="F1221" s="26" t="s">
        <v>215</v>
      </c>
      <c r="G1221" s="26" t="s">
        <v>215</v>
      </c>
      <c r="H1221" s="26"/>
      <c r="I1221" s="26"/>
      <c r="J1221" s="26">
        <v>1</v>
      </c>
      <c r="K1221" s="26">
        <v>138</v>
      </c>
      <c r="L1221" s="26" t="s">
        <v>28</v>
      </c>
      <c r="M1221" s="27">
        <v>1884</v>
      </c>
      <c r="N1221" s="28"/>
      <c r="O1221" s="26" t="s">
        <v>29</v>
      </c>
      <c r="P1221" s="29"/>
      <c r="Q1221" s="6"/>
      <c r="R1221" s="29"/>
      <c r="S1221" s="10"/>
      <c r="T1221" s="8"/>
    </row>
    <row r="1222" spans="1:20" ht="15.75" customHeight="1" x14ac:dyDescent="0.35">
      <c r="A1222" s="25" t="s">
        <v>1573</v>
      </c>
      <c r="B1222" s="25" t="s">
        <v>1658</v>
      </c>
      <c r="C1222" s="26">
        <v>118874</v>
      </c>
      <c r="D1222" s="25" t="s">
        <v>1659</v>
      </c>
      <c r="E1222" s="25" t="s">
        <v>1660</v>
      </c>
      <c r="F1222" s="26" t="s">
        <v>90</v>
      </c>
      <c r="G1222" s="26" t="s">
        <v>90</v>
      </c>
      <c r="H1222" s="26"/>
      <c r="I1222" s="26"/>
      <c r="J1222" s="26">
        <v>1</v>
      </c>
      <c r="K1222" s="26">
        <v>138</v>
      </c>
      <c r="L1222" s="26" t="s">
        <v>28</v>
      </c>
      <c r="M1222" s="27">
        <v>1887</v>
      </c>
      <c r="N1222" s="28"/>
      <c r="O1222" s="26" t="s">
        <v>29</v>
      </c>
      <c r="P1222" s="29"/>
      <c r="Q1222" s="6"/>
      <c r="R1222" s="29"/>
      <c r="S1222" s="10"/>
      <c r="T1222" s="8"/>
    </row>
    <row r="1223" spans="1:20" ht="15.75" customHeight="1" x14ac:dyDescent="0.35">
      <c r="A1223" s="25" t="s">
        <v>1573</v>
      </c>
      <c r="B1223" s="25" t="s">
        <v>1658</v>
      </c>
      <c r="C1223" s="26">
        <v>118879</v>
      </c>
      <c r="D1223" s="25" t="s">
        <v>1661</v>
      </c>
      <c r="E1223" s="25" t="s">
        <v>1660</v>
      </c>
      <c r="F1223" s="26" t="s">
        <v>90</v>
      </c>
      <c r="G1223" s="26" t="s">
        <v>90</v>
      </c>
      <c r="H1223" s="26"/>
      <c r="I1223" s="26"/>
      <c r="J1223" s="26">
        <v>1</v>
      </c>
      <c r="K1223" s="26">
        <v>138</v>
      </c>
      <c r="L1223" s="26" t="s">
        <v>28</v>
      </c>
      <c r="M1223" s="27">
        <v>1896</v>
      </c>
      <c r="N1223" s="28"/>
      <c r="O1223" s="26" t="s">
        <v>29</v>
      </c>
      <c r="P1223" s="29"/>
      <c r="Q1223" s="6"/>
      <c r="R1223" s="29"/>
      <c r="S1223" s="10"/>
      <c r="T1223" s="8"/>
    </row>
    <row r="1224" spans="1:20" ht="15.75" customHeight="1" x14ac:dyDescent="0.35">
      <c r="A1224" s="25" t="s">
        <v>1573</v>
      </c>
      <c r="B1224" s="25" t="s">
        <v>1658</v>
      </c>
      <c r="C1224" s="26">
        <v>118882</v>
      </c>
      <c r="D1224" s="25" t="s">
        <v>1662</v>
      </c>
      <c r="E1224" s="25" t="s">
        <v>360</v>
      </c>
      <c r="F1224" s="26" t="s">
        <v>90</v>
      </c>
      <c r="G1224" s="26" t="s">
        <v>90</v>
      </c>
      <c r="H1224" s="26"/>
      <c r="I1224" s="26"/>
      <c r="J1224" s="26">
        <v>1</v>
      </c>
      <c r="K1224" s="26">
        <v>138</v>
      </c>
      <c r="L1224" s="26" t="s">
        <v>28</v>
      </c>
      <c r="M1224" s="27">
        <v>1886</v>
      </c>
      <c r="N1224" s="28"/>
      <c r="O1224" s="26" t="s">
        <v>29</v>
      </c>
      <c r="P1224" s="29"/>
      <c r="Q1224" s="6"/>
      <c r="R1224" s="29"/>
      <c r="S1224" s="10"/>
      <c r="T1224" s="8"/>
    </row>
    <row r="1225" spans="1:20" ht="15.75" customHeight="1" x14ac:dyDescent="0.35">
      <c r="A1225" s="25" t="s">
        <v>1573</v>
      </c>
      <c r="B1225" s="25" t="s">
        <v>1658</v>
      </c>
      <c r="C1225" s="26">
        <v>118886</v>
      </c>
      <c r="D1225" s="25" t="s">
        <v>1663</v>
      </c>
      <c r="E1225" s="25" t="s">
        <v>360</v>
      </c>
      <c r="F1225" s="26" t="s">
        <v>90</v>
      </c>
      <c r="G1225" s="26" t="s">
        <v>90</v>
      </c>
      <c r="H1225" s="26"/>
      <c r="I1225" s="26"/>
      <c r="J1225" s="26">
        <v>1</v>
      </c>
      <c r="K1225" s="26">
        <v>138</v>
      </c>
      <c r="L1225" s="26" t="s">
        <v>28</v>
      </c>
      <c r="M1225" s="27">
        <v>1890</v>
      </c>
      <c r="N1225" s="28"/>
      <c r="O1225" s="26" t="s">
        <v>29</v>
      </c>
      <c r="P1225" s="29"/>
      <c r="Q1225" s="6"/>
      <c r="R1225" s="29"/>
      <c r="S1225" s="10"/>
      <c r="T1225" s="8"/>
    </row>
    <row r="1226" spans="1:20" ht="15.75" customHeight="1" x14ac:dyDescent="0.35">
      <c r="A1226" s="25" t="s">
        <v>1573</v>
      </c>
      <c r="B1226" s="25" t="s">
        <v>1658</v>
      </c>
      <c r="C1226" s="26">
        <v>118887</v>
      </c>
      <c r="D1226" s="25" t="s">
        <v>1664</v>
      </c>
      <c r="E1226" s="25" t="s">
        <v>360</v>
      </c>
      <c r="F1226" s="26" t="s">
        <v>90</v>
      </c>
      <c r="G1226" s="26" t="s">
        <v>90</v>
      </c>
      <c r="H1226" s="26"/>
      <c r="I1226" s="26"/>
      <c r="J1226" s="26">
        <v>1</v>
      </c>
      <c r="K1226" s="26">
        <v>138</v>
      </c>
      <c r="L1226" s="26" t="s">
        <v>28</v>
      </c>
      <c r="M1226" s="27">
        <v>1891</v>
      </c>
      <c r="N1226" s="28"/>
      <c r="O1226" s="26" t="s">
        <v>29</v>
      </c>
      <c r="P1226" s="29"/>
      <c r="Q1226" s="6"/>
      <c r="R1226" s="29"/>
      <c r="S1226" s="10"/>
      <c r="T1226" s="8"/>
    </row>
    <row r="1227" spans="1:20" ht="15.75" customHeight="1" x14ac:dyDescent="0.35">
      <c r="A1227" s="25" t="s">
        <v>1573</v>
      </c>
      <c r="B1227" s="25" t="s">
        <v>1658</v>
      </c>
      <c r="C1227" s="26">
        <v>118894</v>
      </c>
      <c r="D1227" s="25" t="s">
        <v>1665</v>
      </c>
      <c r="E1227" s="25" t="s">
        <v>360</v>
      </c>
      <c r="F1227" s="26" t="s">
        <v>90</v>
      </c>
      <c r="G1227" s="26" t="s">
        <v>90</v>
      </c>
      <c r="H1227" s="26"/>
      <c r="I1227" s="26"/>
      <c r="J1227" s="26">
        <v>1</v>
      </c>
      <c r="K1227" s="26">
        <v>138</v>
      </c>
      <c r="L1227" s="26" t="s">
        <v>28</v>
      </c>
      <c r="M1227" s="27">
        <v>1892</v>
      </c>
      <c r="N1227" s="28"/>
      <c r="O1227" s="26" t="s">
        <v>29</v>
      </c>
      <c r="P1227" s="29"/>
      <c r="Q1227" s="6"/>
      <c r="R1227" s="29"/>
      <c r="S1227" s="10"/>
      <c r="T1227" s="8"/>
    </row>
    <row r="1228" spans="1:20" ht="15.75" customHeight="1" x14ac:dyDescent="0.35">
      <c r="A1228" s="25" t="s">
        <v>1573</v>
      </c>
      <c r="B1228" s="25" t="s">
        <v>1658</v>
      </c>
      <c r="C1228" s="26">
        <v>118896</v>
      </c>
      <c r="D1228" s="25" t="s">
        <v>1666</v>
      </c>
      <c r="E1228" s="25" t="s">
        <v>360</v>
      </c>
      <c r="F1228" s="26" t="s">
        <v>90</v>
      </c>
      <c r="G1228" s="26" t="s">
        <v>90</v>
      </c>
      <c r="H1228" s="26"/>
      <c r="I1228" s="26"/>
      <c r="J1228" s="26">
        <v>1</v>
      </c>
      <c r="K1228" s="26">
        <v>138</v>
      </c>
      <c r="L1228" s="26" t="s">
        <v>28</v>
      </c>
      <c r="M1228" s="27">
        <v>1894</v>
      </c>
      <c r="N1228" s="28"/>
      <c r="O1228" s="26" t="s">
        <v>29</v>
      </c>
      <c r="P1228" s="29"/>
      <c r="Q1228" s="6"/>
      <c r="R1228" s="29"/>
      <c r="S1228" s="10"/>
      <c r="T1228" s="8"/>
    </row>
    <row r="1229" spans="1:20" ht="15.75" customHeight="1" x14ac:dyDescent="0.35">
      <c r="A1229" s="25" t="s">
        <v>1573</v>
      </c>
      <c r="B1229" s="25" t="s">
        <v>1658</v>
      </c>
      <c r="C1229" s="26">
        <v>118924</v>
      </c>
      <c r="D1229" s="25" t="s">
        <v>1667</v>
      </c>
      <c r="E1229" s="25" t="s">
        <v>1668</v>
      </c>
      <c r="F1229" s="26" t="s">
        <v>90</v>
      </c>
      <c r="G1229" s="26" t="s">
        <v>90</v>
      </c>
      <c r="H1229" s="26"/>
      <c r="I1229" s="26"/>
      <c r="J1229" s="26">
        <v>1</v>
      </c>
      <c r="K1229" s="26">
        <v>138</v>
      </c>
      <c r="L1229" s="26" t="s">
        <v>28</v>
      </c>
      <c r="M1229" s="27">
        <v>1889</v>
      </c>
      <c r="N1229" s="28"/>
      <c r="O1229" s="26" t="s">
        <v>29</v>
      </c>
      <c r="P1229" s="29"/>
      <c r="Q1229" s="6"/>
      <c r="R1229" s="29"/>
      <c r="S1229" s="10"/>
      <c r="T1229" s="8"/>
    </row>
    <row r="1230" spans="1:20" ht="15.75" customHeight="1" x14ac:dyDescent="0.35">
      <c r="A1230" s="25" t="s">
        <v>1573</v>
      </c>
      <c r="B1230" s="25" t="s">
        <v>1658</v>
      </c>
      <c r="C1230" s="26">
        <v>118963</v>
      </c>
      <c r="D1230" s="25" t="s">
        <v>1669</v>
      </c>
      <c r="E1230" s="25" t="s">
        <v>1668</v>
      </c>
      <c r="F1230" s="26" t="s">
        <v>90</v>
      </c>
      <c r="G1230" s="26" t="s">
        <v>90</v>
      </c>
      <c r="H1230" s="26"/>
      <c r="I1230" s="26"/>
      <c r="J1230" s="26">
        <v>1</v>
      </c>
      <c r="K1230" s="26">
        <v>138</v>
      </c>
      <c r="L1230" s="26" t="s">
        <v>28</v>
      </c>
      <c r="M1230" s="27">
        <v>1897</v>
      </c>
      <c r="N1230" s="28"/>
      <c r="O1230" s="26" t="s">
        <v>29</v>
      </c>
      <c r="P1230" s="29"/>
      <c r="Q1230" s="6"/>
      <c r="R1230" s="29"/>
      <c r="S1230" s="10"/>
      <c r="T1230" s="8"/>
    </row>
    <row r="1231" spans="1:20" ht="15.75" customHeight="1" x14ac:dyDescent="0.35">
      <c r="A1231" s="25" t="s">
        <v>1573</v>
      </c>
      <c r="B1231" s="25" t="s">
        <v>1658</v>
      </c>
      <c r="C1231" s="26">
        <v>118975</v>
      </c>
      <c r="D1231" s="25" t="s">
        <v>1670</v>
      </c>
      <c r="E1231" s="25" t="s">
        <v>1671</v>
      </c>
      <c r="F1231" s="26" t="s">
        <v>491</v>
      </c>
      <c r="G1231" s="26" t="s">
        <v>491</v>
      </c>
      <c r="H1231" s="26"/>
      <c r="I1231" s="26"/>
      <c r="J1231" s="26">
        <v>1</v>
      </c>
      <c r="K1231" s="26">
        <v>138</v>
      </c>
      <c r="L1231" s="26" t="s">
        <v>28</v>
      </c>
      <c r="M1231" s="27">
        <v>1902</v>
      </c>
      <c r="N1231" s="28"/>
      <c r="O1231" s="26" t="s">
        <v>29</v>
      </c>
      <c r="P1231" s="29"/>
      <c r="Q1231" s="6"/>
      <c r="R1231" s="29"/>
      <c r="S1231" s="10"/>
      <c r="T1231" s="8"/>
    </row>
    <row r="1232" spans="1:20" ht="15.75" customHeight="1" x14ac:dyDescent="0.35">
      <c r="A1232" s="25" t="s">
        <v>1573</v>
      </c>
      <c r="B1232" s="25" t="s">
        <v>1658</v>
      </c>
      <c r="C1232" s="26">
        <v>119043</v>
      </c>
      <c r="D1232" s="25" t="s">
        <v>1672</v>
      </c>
      <c r="E1232" s="25" t="s">
        <v>1673</v>
      </c>
      <c r="F1232" s="26" t="s">
        <v>491</v>
      </c>
      <c r="G1232" s="26" t="s">
        <v>491</v>
      </c>
      <c r="H1232" s="26"/>
      <c r="I1232" s="26"/>
      <c r="J1232" s="26">
        <v>1</v>
      </c>
      <c r="K1232" s="26">
        <v>138</v>
      </c>
      <c r="L1232" s="26" t="s">
        <v>28</v>
      </c>
      <c r="M1232" s="27">
        <v>1901</v>
      </c>
      <c r="N1232" s="28"/>
      <c r="O1232" s="26" t="s">
        <v>29</v>
      </c>
      <c r="P1232" s="29"/>
      <c r="Q1232" s="6"/>
      <c r="R1232" s="29"/>
      <c r="S1232" s="10"/>
      <c r="T1232" s="8"/>
    </row>
    <row r="1233" spans="1:20" ht="15.75" customHeight="1" x14ac:dyDescent="0.35">
      <c r="A1233" s="25" t="s">
        <v>1573</v>
      </c>
      <c r="B1233" s="25" t="s">
        <v>1658</v>
      </c>
      <c r="C1233" s="26">
        <v>119045</v>
      </c>
      <c r="D1233" s="25" t="s">
        <v>1674</v>
      </c>
      <c r="E1233" s="25" t="s">
        <v>1673</v>
      </c>
      <c r="F1233" s="26" t="s">
        <v>491</v>
      </c>
      <c r="G1233" s="26" t="s">
        <v>491</v>
      </c>
      <c r="H1233" s="26"/>
      <c r="I1233" s="26"/>
      <c r="J1233" s="26">
        <v>1</v>
      </c>
      <c r="K1233" s="26">
        <v>138</v>
      </c>
      <c r="L1233" s="26" t="s">
        <v>28</v>
      </c>
      <c r="M1233" s="27">
        <v>1905</v>
      </c>
      <c r="N1233" s="28"/>
      <c r="O1233" s="26" t="s">
        <v>29</v>
      </c>
      <c r="P1233" s="29"/>
      <c r="Q1233" s="6"/>
      <c r="R1233" s="29"/>
      <c r="S1233" s="10"/>
      <c r="T1233" s="8"/>
    </row>
    <row r="1234" spans="1:20" ht="15.75" customHeight="1" x14ac:dyDescent="0.35">
      <c r="A1234" s="25" t="s">
        <v>1573</v>
      </c>
      <c r="B1234" s="25" t="s">
        <v>1658</v>
      </c>
      <c r="C1234" s="26">
        <v>119049</v>
      </c>
      <c r="D1234" s="25" t="s">
        <v>1675</v>
      </c>
      <c r="E1234" s="25" t="s">
        <v>1676</v>
      </c>
      <c r="F1234" s="26" t="s">
        <v>555</v>
      </c>
      <c r="G1234" s="26" t="s">
        <v>555</v>
      </c>
      <c r="H1234" s="26"/>
      <c r="I1234" s="26"/>
      <c r="J1234" s="26">
        <v>1</v>
      </c>
      <c r="K1234" s="26">
        <v>138</v>
      </c>
      <c r="L1234" s="26" t="s">
        <v>28</v>
      </c>
      <c r="M1234" s="27">
        <v>1907</v>
      </c>
      <c r="N1234" s="28"/>
      <c r="O1234" s="26" t="s">
        <v>29</v>
      </c>
      <c r="P1234" s="29"/>
      <c r="Q1234" s="6"/>
      <c r="R1234" s="29"/>
      <c r="S1234" s="10"/>
      <c r="T1234" s="8"/>
    </row>
    <row r="1235" spans="1:20" ht="15.75" customHeight="1" x14ac:dyDescent="0.35">
      <c r="A1235" s="25" t="s">
        <v>1573</v>
      </c>
      <c r="B1235" s="25" t="s">
        <v>1658</v>
      </c>
      <c r="C1235" s="26">
        <v>119051</v>
      </c>
      <c r="D1235" s="25" t="s">
        <v>1677</v>
      </c>
      <c r="E1235" s="25" t="s">
        <v>1676</v>
      </c>
      <c r="F1235" s="26" t="s">
        <v>555</v>
      </c>
      <c r="G1235" s="26" t="s">
        <v>555</v>
      </c>
      <c r="H1235" s="26"/>
      <c r="I1235" s="26"/>
      <c r="J1235" s="26">
        <v>1</v>
      </c>
      <c r="K1235" s="26">
        <v>138</v>
      </c>
      <c r="L1235" s="26" t="s">
        <v>28</v>
      </c>
      <c r="M1235" s="27">
        <v>1910</v>
      </c>
      <c r="N1235" s="28"/>
      <c r="O1235" s="26" t="s">
        <v>29</v>
      </c>
      <c r="P1235" s="29"/>
      <c r="Q1235" s="6"/>
      <c r="R1235" s="29"/>
      <c r="S1235" s="10"/>
      <c r="T1235" s="8"/>
    </row>
    <row r="1236" spans="1:20" ht="15.75" customHeight="1" x14ac:dyDescent="0.35">
      <c r="A1236" s="25" t="s">
        <v>1573</v>
      </c>
      <c r="B1236" s="25" t="s">
        <v>1658</v>
      </c>
      <c r="C1236" s="26">
        <v>119077</v>
      </c>
      <c r="D1236" s="25" t="s">
        <v>1678</v>
      </c>
      <c r="E1236" s="25" t="s">
        <v>1679</v>
      </c>
      <c r="F1236" s="26" t="s">
        <v>491</v>
      </c>
      <c r="G1236" s="26" t="s">
        <v>491</v>
      </c>
      <c r="H1236" s="26"/>
      <c r="I1236" s="26"/>
      <c r="J1236" s="26">
        <v>1</v>
      </c>
      <c r="K1236" s="26">
        <v>138</v>
      </c>
      <c r="L1236" s="26" t="s">
        <v>28</v>
      </c>
      <c r="M1236" s="27">
        <v>1899</v>
      </c>
      <c r="N1236" s="28"/>
      <c r="O1236" s="26" t="s">
        <v>29</v>
      </c>
      <c r="P1236" s="29"/>
      <c r="Q1236" s="6"/>
      <c r="R1236" s="29"/>
      <c r="S1236" s="10"/>
      <c r="T1236" s="8"/>
    </row>
    <row r="1237" spans="1:20" ht="15.75" customHeight="1" x14ac:dyDescent="0.35">
      <c r="A1237" s="25" t="s">
        <v>1573</v>
      </c>
      <c r="B1237" s="25" t="s">
        <v>1658</v>
      </c>
      <c r="C1237" s="26">
        <v>119188</v>
      </c>
      <c r="D1237" s="25" t="s">
        <v>1680</v>
      </c>
      <c r="E1237" s="25" t="s">
        <v>208</v>
      </c>
      <c r="F1237" s="26" t="s">
        <v>466</v>
      </c>
      <c r="G1237" s="26" t="s">
        <v>466</v>
      </c>
      <c r="H1237" s="26"/>
      <c r="I1237" s="26"/>
      <c r="J1237" s="26">
        <v>1</v>
      </c>
      <c r="K1237" s="26">
        <v>138</v>
      </c>
      <c r="L1237" s="26" t="s">
        <v>28</v>
      </c>
      <c r="M1237" s="27">
        <v>1914</v>
      </c>
      <c r="N1237" s="28"/>
      <c r="O1237" s="26" t="s">
        <v>29</v>
      </c>
      <c r="P1237" s="29"/>
      <c r="Q1237" s="6"/>
      <c r="R1237" s="29"/>
      <c r="S1237" s="10"/>
      <c r="T1237" s="8"/>
    </row>
    <row r="1238" spans="1:20" ht="15.75" customHeight="1" x14ac:dyDescent="0.35">
      <c r="A1238" s="25" t="s">
        <v>1573</v>
      </c>
      <c r="B1238" s="25" t="s">
        <v>1658</v>
      </c>
      <c r="C1238" s="26">
        <v>119203</v>
      </c>
      <c r="D1238" s="25" t="s">
        <v>1681</v>
      </c>
      <c r="E1238" s="25" t="s">
        <v>208</v>
      </c>
      <c r="F1238" s="26" t="s">
        <v>466</v>
      </c>
      <c r="G1238" s="26" t="s">
        <v>466</v>
      </c>
      <c r="H1238" s="26"/>
      <c r="I1238" s="26"/>
      <c r="J1238" s="26">
        <v>1</v>
      </c>
      <c r="K1238" s="26">
        <v>138</v>
      </c>
      <c r="L1238" s="26" t="s">
        <v>28</v>
      </c>
      <c r="M1238" s="27">
        <v>1919</v>
      </c>
      <c r="N1238" s="28"/>
      <c r="O1238" s="26" t="s">
        <v>29</v>
      </c>
      <c r="P1238" s="29"/>
      <c r="Q1238" s="6"/>
      <c r="R1238" s="29"/>
      <c r="S1238" s="10"/>
      <c r="T1238" s="8"/>
    </row>
    <row r="1239" spans="1:20" ht="15.75" customHeight="1" x14ac:dyDescent="0.35">
      <c r="A1239" s="25" t="s">
        <v>1573</v>
      </c>
      <c r="B1239" s="25" t="s">
        <v>1658</v>
      </c>
      <c r="C1239" s="26">
        <v>119231</v>
      </c>
      <c r="D1239" s="25" t="s">
        <v>1682</v>
      </c>
      <c r="E1239" s="25" t="s">
        <v>1683</v>
      </c>
      <c r="F1239" s="26" t="s">
        <v>466</v>
      </c>
      <c r="G1239" s="26" t="s">
        <v>466</v>
      </c>
      <c r="H1239" s="26"/>
      <c r="I1239" s="26"/>
      <c r="J1239" s="26">
        <v>1</v>
      </c>
      <c r="K1239" s="26">
        <v>138</v>
      </c>
      <c r="L1239" s="26" t="s">
        <v>28</v>
      </c>
      <c r="M1239" s="27">
        <v>1918</v>
      </c>
      <c r="N1239" s="28"/>
      <c r="O1239" s="26" t="s">
        <v>29</v>
      </c>
      <c r="P1239" s="29"/>
      <c r="Q1239" s="6"/>
      <c r="R1239" s="29"/>
      <c r="S1239" s="10"/>
      <c r="T1239" s="8"/>
    </row>
    <row r="1240" spans="1:20" ht="15.75" customHeight="1" x14ac:dyDescent="0.35">
      <c r="A1240" s="25" t="s">
        <v>1573</v>
      </c>
      <c r="B1240" s="25" t="s">
        <v>1658</v>
      </c>
      <c r="C1240" s="26">
        <v>119439</v>
      </c>
      <c r="D1240" s="25" t="s">
        <v>1684</v>
      </c>
      <c r="E1240" s="25" t="s">
        <v>1685</v>
      </c>
      <c r="F1240" s="26" t="s">
        <v>90</v>
      </c>
      <c r="G1240" s="26" t="s">
        <v>90</v>
      </c>
      <c r="H1240" s="26"/>
      <c r="I1240" s="26"/>
      <c r="J1240" s="26">
        <v>1</v>
      </c>
      <c r="K1240" s="26">
        <v>138</v>
      </c>
      <c r="L1240" s="26" t="s">
        <v>28</v>
      </c>
      <c r="M1240" s="27">
        <v>1888</v>
      </c>
      <c r="N1240" s="28"/>
      <c r="O1240" s="26" t="s">
        <v>29</v>
      </c>
      <c r="P1240" s="29"/>
      <c r="Q1240" s="6"/>
      <c r="R1240" s="29"/>
      <c r="S1240" s="10"/>
      <c r="T1240" s="8"/>
    </row>
    <row r="1241" spans="1:20" ht="15.75" customHeight="1" x14ac:dyDescent="0.35">
      <c r="A1241" s="25" t="s">
        <v>1573</v>
      </c>
      <c r="B1241" s="25" t="s">
        <v>1658</v>
      </c>
      <c r="C1241" s="26">
        <v>119448</v>
      </c>
      <c r="D1241" s="25" t="s">
        <v>1686</v>
      </c>
      <c r="E1241" s="25" t="s">
        <v>1685</v>
      </c>
      <c r="F1241" s="26" t="s">
        <v>90</v>
      </c>
      <c r="G1241" s="26" t="s">
        <v>90</v>
      </c>
      <c r="H1241" s="26"/>
      <c r="I1241" s="26"/>
      <c r="J1241" s="26">
        <v>1</v>
      </c>
      <c r="K1241" s="26">
        <v>138</v>
      </c>
      <c r="L1241" s="26" t="s">
        <v>28</v>
      </c>
      <c r="M1241" s="27">
        <v>1895</v>
      </c>
      <c r="N1241" s="28"/>
      <c r="O1241" s="26" t="s">
        <v>29</v>
      </c>
      <c r="P1241" s="29"/>
      <c r="Q1241" s="6"/>
      <c r="R1241" s="29"/>
      <c r="S1241" s="10"/>
      <c r="T1241" s="8"/>
    </row>
    <row r="1242" spans="1:20" ht="15.75" customHeight="1" x14ac:dyDescent="0.35">
      <c r="A1242" s="25" t="s">
        <v>1573</v>
      </c>
      <c r="B1242" s="25" t="s">
        <v>1658</v>
      </c>
      <c r="C1242" s="26">
        <v>119559</v>
      </c>
      <c r="D1242" s="25" t="s">
        <v>1687</v>
      </c>
      <c r="E1242" s="25" t="s">
        <v>1688</v>
      </c>
      <c r="F1242" s="26" t="s">
        <v>491</v>
      </c>
      <c r="G1242" s="26" t="s">
        <v>491</v>
      </c>
      <c r="H1242" s="26"/>
      <c r="I1242" s="26"/>
      <c r="J1242" s="26">
        <v>1</v>
      </c>
      <c r="K1242" s="26">
        <v>138</v>
      </c>
      <c r="L1242" s="26" t="s">
        <v>28</v>
      </c>
      <c r="M1242" s="27">
        <v>1900</v>
      </c>
      <c r="N1242" s="28"/>
      <c r="O1242" s="26" t="s">
        <v>29</v>
      </c>
      <c r="P1242" s="29"/>
      <c r="Q1242" s="6"/>
      <c r="R1242" s="29"/>
      <c r="S1242" s="10"/>
      <c r="T1242" s="8"/>
    </row>
    <row r="1243" spans="1:20" ht="15.75" customHeight="1" x14ac:dyDescent="0.35">
      <c r="A1243" s="25" t="s">
        <v>1573</v>
      </c>
      <c r="B1243" s="25" t="s">
        <v>1658</v>
      </c>
      <c r="C1243" s="26">
        <v>119688</v>
      </c>
      <c r="D1243" s="25" t="s">
        <v>1689</v>
      </c>
      <c r="E1243" s="25" t="s">
        <v>599</v>
      </c>
      <c r="F1243" s="26" t="s">
        <v>555</v>
      </c>
      <c r="G1243" s="26" t="s">
        <v>555</v>
      </c>
      <c r="H1243" s="26"/>
      <c r="I1243" s="26"/>
      <c r="J1243" s="26">
        <v>1</v>
      </c>
      <c r="K1243" s="26">
        <v>138</v>
      </c>
      <c r="L1243" s="26" t="s">
        <v>28</v>
      </c>
      <c r="M1243" s="27">
        <v>1909</v>
      </c>
      <c r="N1243" s="28"/>
      <c r="O1243" s="26" t="s">
        <v>29</v>
      </c>
      <c r="P1243" s="29"/>
      <c r="Q1243" s="6"/>
      <c r="R1243" s="29"/>
      <c r="S1243" s="10"/>
      <c r="T1243" s="8"/>
    </row>
    <row r="1244" spans="1:20" ht="15.75" customHeight="1" x14ac:dyDescent="0.35">
      <c r="A1244" s="25" t="s">
        <v>1573</v>
      </c>
      <c r="B1244" s="25" t="s">
        <v>1658</v>
      </c>
      <c r="C1244" s="26">
        <v>119689</v>
      </c>
      <c r="D1244" s="25" t="s">
        <v>1690</v>
      </c>
      <c r="E1244" s="25" t="s">
        <v>599</v>
      </c>
      <c r="F1244" s="26" t="s">
        <v>555</v>
      </c>
      <c r="G1244" s="26" t="s">
        <v>555</v>
      </c>
      <c r="H1244" s="26"/>
      <c r="I1244" s="26"/>
      <c r="J1244" s="26">
        <v>1</v>
      </c>
      <c r="K1244" s="26">
        <v>138</v>
      </c>
      <c r="L1244" s="26" t="s">
        <v>28</v>
      </c>
      <c r="M1244" s="27">
        <v>1912</v>
      </c>
      <c r="N1244" s="28"/>
      <c r="O1244" s="26" t="s">
        <v>29</v>
      </c>
      <c r="P1244" s="29"/>
      <c r="Q1244" s="6"/>
      <c r="R1244" s="29"/>
      <c r="S1244" s="10"/>
      <c r="T1244" s="8"/>
    </row>
    <row r="1245" spans="1:20" ht="15.75" customHeight="1" x14ac:dyDescent="0.35">
      <c r="A1245" s="25" t="s">
        <v>1573</v>
      </c>
      <c r="B1245" s="25" t="s">
        <v>1658</v>
      </c>
      <c r="C1245" s="26">
        <v>119712</v>
      </c>
      <c r="D1245" s="25" t="s">
        <v>1691</v>
      </c>
      <c r="E1245" s="25" t="s">
        <v>1692</v>
      </c>
      <c r="F1245" s="26" t="s">
        <v>215</v>
      </c>
      <c r="G1245" s="26" t="s">
        <v>215</v>
      </c>
      <c r="H1245" s="26"/>
      <c r="I1245" s="26"/>
      <c r="J1245" s="26">
        <v>1</v>
      </c>
      <c r="K1245" s="26">
        <v>138</v>
      </c>
      <c r="L1245" s="26" t="s">
        <v>28</v>
      </c>
      <c r="M1245" s="27">
        <v>1885</v>
      </c>
      <c r="N1245" s="28"/>
      <c r="O1245" s="26" t="s">
        <v>29</v>
      </c>
      <c r="P1245" s="29"/>
      <c r="Q1245" s="6"/>
      <c r="R1245" s="29"/>
      <c r="S1245" s="10"/>
      <c r="T1245" s="8"/>
    </row>
    <row r="1246" spans="1:20" ht="15.75" customHeight="1" x14ac:dyDescent="0.35">
      <c r="A1246" s="25" t="s">
        <v>1573</v>
      </c>
      <c r="B1246" s="25" t="s">
        <v>1658</v>
      </c>
      <c r="C1246" s="26">
        <v>119732</v>
      </c>
      <c r="D1246" s="25" t="s">
        <v>1693</v>
      </c>
      <c r="E1246" s="25" t="s">
        <v>1694</v>
      </c>
      <c r="F1246" s="26" t="s">
        <v>466</v>
      </c>
      <c r="G1246" s="26" t="s">
        <v>466</v>
      </c>
      <c r="H1246" s="26"/>
      <c r="I1246" s="26"/>
      <c r="J1246" s="26">
        <v>1</v>
      </c>
      <c r="K1246" s="26">
        <v>138</v>
      </c>
      <c r="L1246" s="26" t="s">
        <v>28</v>
      </c>
      <c r="M1246" s="27">
        <v>1915</v>
      </c>
      <c r="N1246" s="28"/>
      <c r="O1246" s="26" t="s">
        <v>29</v>
      </c>
      <c r="P1246" s="29"/>
      <c r="Q1246" s="6"/>
      <c r="R1246" s="29"/>
      <c r="S1246" s="10"/>
      <c r="T1246" s="8"/>
    </row>
    <row r="1247" spans="1:20" ht="15.75" customHeight="1" x14ac:dyDescent="0.35">
      <c r="A1247" s="25" t="s">
        <v>1573</v>
      </c>
      <c r="B1247" s="25" t="s">
        <v>1658</v>
      </c>
      <c r="C1247" s="26">
        <v>119734</v>
      </c>
      <c r="D1247" s="25" t="s">
        <v>1695</v>
      </c>
      <c r="E1247" s="25" t="s">
        <v>1694</v>
      </c>
      <c r="F1247" s="26" t="s">
        <v>466</v>
      </c>
      <c r="G1247" s="26" t="s">
        <v>466</v>
      </c>
      <c r="H1247" s="26"/>
      <c r="I1247" s="26"/>
      <c r="J1247" s="26">
        <v>1</v>
      </c>
      <c r="K1247" s="26">
        <v>138</v>
      </c>
      <c r="L1247" s="26" t="s">
        <v>28</v>
      </c>
      <c r="M1247" s="27">
        <v>1916</v>
      </c>
      <c r="N1247" s="28"/>
      <c r="O1247" s="26" t="s">
        <v>29</v>
      </c>
      <c r="P1247" s="29"/>
      <c r="Q1247" s="6"/>
      <c r="R1247" s="29"/>
      <c r="S1247" s="10"/>
      <c r="T1247" s="8"/>
    </row>
    <row r="1248" spans="1:20" ht="15.75" customHeight="1" x14ac:dyDescent="0.35">
      <c r="A1248" s="25" t="s">
        <v>1573</v>
      </c>
      <c r="B1248" s="25" t="s">
        <v>1658</v>
      </c>
      <c r="C1248" s="26">
        <v>119737</v>
      </c>
      <c r="D1248" s="25" t="s">
        <v>1696</v>
      </c>
      <c r="E1248" s="25" t="s">
        <v>1694</v>
      </c>
      <c r="F1248" s="26" t="s">
        <v>466</v>
      </c>
      <c r="G1248" s="26" t="s">
        <v>466</v>
      </c>
      <c r="H1248" s="26"/>
      <c r="I1248" s="26"/>
      <c r="J1248" s="26">
        <v>1</v>
      </c>
      <c r="K1248" s="26">
        <v>138</v>
      </c>
      <c r="L1248" s="26" t="s">
        <v>28</v>
      </c>
      <c r="M1248" s="27">
        <v>1917</v>
      </c>
      <c r="N1248" s="28"/>
      <c r="O1248" s="26" t="s">
        <v>29</v>
      </c>
      <c r="P1248" s="29"/>
      <c r="Q1248" s="6"/>
      <c r="R1248" s="29"/>
      <c r="S1248" s="10"/>
      <c r="T1248" s="8"/>
    </row>
    <row r="1249" spans="1:20" ht="15.75" customHeight="1" x14ac:dyDescent="0.35">
      <c r="A1249" s="25" t="s">
        <v>1573</v>
      </c>
      <c r="B1249" s="25" t="s">
        <v>1658</v>
      </c>
      <c r="C1249" s="26">
        <v>119816</v>
      </c>
      <c r="D1249" s="25" t="s">
        <v>1697</v>
      </c>
      <c r="E1249" s="25" t="s">
        <v>1698</v>
      </c>
      <c r="F1249" s="26" t="s">
        <v>491</v>
      </c>
      <c r="G1249" s="26" t="s">
        <v>491</v>
      </c>
      <c r="H1249" s="26"/>
      <c r="I1249" s="26"/>
      <c r="J1249" s="26">
        <v>1</v>
      </c>
      <c r="K1249" s="26">
        <v>138</v>
      </c>
      <c r="L1249" s="26" t="s">
        <v>28</v>
      </c>
      <c r="M1249" s="27">
        <v>1904</v>
      </c>
      <c r="N1249" s="28"/>
      <c r="O1249" s="26" t="s">
        <v>29</v>
      </c>
      <c r="P1249" s="29"/>
      <c r="Q1249" s="6"/>
      <c r="R1249" s="29"/>
      <c r="S1249" s="10"/>
      <c r="T1249" s="8"/>
    </row>
    <row r="1250" spans="1:20" ht="15.75" customHeight="1" x14ac:dyDescent="0.35">
      <c r="A1250" s="25" t="s">
        <v>1573</v>
      </c>
      <c r="B1250" s="25" t="s">
        <v>1658</v>
      </c>
      <c r="C1250" s="26">
        <v>119853</v>
      </c>
      <c r="D1250" s="25" t="s">
        <v>1699</v>
      </c>
      <c r="E1250" s="25" t="s">
        <v>1698</v>
      </c>
      <c r="F1250" s="26" t="s">
        <v>491</v>
      </c>
      <c r="G1250" s="26" t="s">
        <v>491</v>
      </c>
      <c r="H1250" s="26"/>
      <c r="I1250" s="26"/>
      <c r="J1250" s="26">
        <v>1</v>
      </c>
      <c r="K1250" s="26">
        <v>138</v>
      </c>
      <c r="L1250" s="26" t="s">
        <v>28</v>
      </c>
      <c r="M1250" s="27">
        <v>1906</v>
      </c>
      <c r="N1250" s="28"/>
      <c r="O1250" s="26" t="s">
        <v>29</v>
      </c>
      <c r="P1250" s="29"/>
      <c r="Q1250" s="6"/>
      <c r="R1250" s="29"/>
      <c r="S1250" s="10"/>
      <c r="T1250" s="8"/>
    </row>
    <row r="1251" spans="1:20" ht="15.75" customHeight="1" x14ac:dyDescent="0.35">
      <c r="A1251" s="25" t="s">
        <v>1573</v>
      </c>
      <c r="B1251" s="25" t="s">
        <v>1658</v>
      </c>
      <c r="C1251" s="26">
        <v>187017</v>
      </c>
      <c r="D1251" s="25" t="s">
        <v>1700</v>
      </c>
      <c r="E1251" s="25" t="s">
        <v>1676</v>
      </c>
      <c r="F1251" s="26" t="s">
        <v>555</v>
      </c>
      <c r="G1251" s="26" t="s">
        <v>555</v>
      </c>
      <c r="H1251" s="26"/>
      <c r="I1251" s="26"/>
      <c r="J1251" s="26">
        <v>1</v>
      </c>
      <c r="K1251" s="26">
        <v>138</v>
      </c>
      <c r="L1251" s="26" t="s">
        <v>28</v>
      </c>
      <c r="M1251" s="27">
        <v>1913</v>
      </c>
      <c r="N1251" s="28"/>
      <c r="O1251" s="26" t="s">
        <v>29</v>
      </c>
      <c r="P1251" s="29"/>
      <c r="Q1251" s="6"/>
      <c r="R1251" s="29"/>
      <c r="S1251" s="10"/>
      <c r="T1251" s="8"/>
    </row>
    <row r="1252" spans="1:20" ht="15.75" customHeight="1" x14ac:dyDescent="0.35">
      <c r="A1252" s="25" t="s">
        <v>1573</v>
      </c>
      <c r="B1252" s="25" t="s">
        <v>1658</v>
      </c>
      <c r="C1252" s="26">
        <v>187035</v>
      </c>
      <c r="D1252" s="25" t="s">
        <v>1701</v>
      </c>
      <c r="E1252" s="25" t="s">
        <v>1673</v>
      </c>
      <c r="F1252" s="26" t="s">
        <v>491</v>
      </c>
      <c r="G1252" s="26" t="s">
        <v>491</v>
      </c>
      <c r="H1252" s="26"/>
      <c r="I1252" s="26"/>
      <c r="J1252" s="26">
        <v>1</v>
      </c>
      <c r="K1252" s="26">
        <v>138</v>
      </c>
      <c r="L1252" s="26" t="s">
        <v>28</v>
      </c>
      <c r="M1252" s="27">
        <v>1898</v>
      </c>
      <c r="N1252" s="28"/>
      <c r="O1252" s="26" t="s">
        <v>29</v>
      </c>
      <c r="P1252" s="29"/>
      <c r="Q1252" s="6"/>
      <c r="R1252" s="29"/>
      <c r="S1252" s="10"/>
      <c r="T1252" s="8"/>
    </row>
    <row r="1253" spans="1:20" ht="15.75" customHeight="1" x14ac:dyDescent="0.35">
      <c r="A1253" s="25" t="s">
        <v>1573</v>
      </c>
      <c r="B1253" s="25" t="s">
        <v>1658</v>
      </c>
      <c r="C1253" s="26">
        <v>312456</v>
      </c>
      <c r="D1253" s="25" t="s">
        <v>1702</v>
      </c>
      <c r="E1253" s="25" t="s">
        <v>1676</v>
      </c>
      <c r="F1253" s="26" t="s">
        <v>555</v>
      </c>
      <c r="G1253" s="26" t="s">
        <v>555</v>
      </c>
      <c r="H1253" s="26"/>
      <c r="I1253" s="26"/>
      <c r="J1253" s="26">
        <v>1</v>
      </c>
      <c r="K1253" s="26">
        <v>138</v>
      </c>
      <c r="L1253" s="26" t="s">
        <v>28</v>
      </c>
      <c r="M1253" s="27">
        <v>1911</v>
      </c>
      <c r="N1253" s="28"/>
      <c r="O1253" s="26" t="s">
        <v>29</v>
      </c>
      <c r="P1253" s="29"/>
      <c r="Q1253" s="6"/>
      <c r="R1253" s="29"/>
      <c r="S1253" s="10"/>
      <c r="T1253" s="8"/>
    </row>
    <row r="1254" spans="1:20" ht="15.75" customHeight="1" x14ac:dyDescent="0.35">
      <c r="A1254" s="25" t="s">
        <v>1573</v>
      </c>
      <c r="B1254" s="25" t="s">
        <v>1658</v>
      </c>
      <c r="C1254" s="26">
        <v>312462</v>
      </c>
      <c r="D1254" s="25" t="s">
        <v>1703</v>
      </c>
      <c r="E1254" s="25" t="s">
        <v>1685</v>
      </c>
      <c r="F1254" s="26" t="s">
        <v>90</v>
      </c>
      <c r="G1254" s="26" t="s">
        <v>90</v>
      </c>
      <c r="H1254" s="26"/>
      <c r="I1254" s="26"/>
      <c r="J1254" s="26">
        <v>1</v>
      </c>
      <c r="K1254" s="26">
        <v>138</v>
      </c>
      <c r="L1254" s="26" t="s">
        <v>28</v>
      </c>
      <c r="M1254" s="27">
        <v>1893</v>
      </c>
      <c r="N1254" s="28"/>
      <c r="O1254" s="26" t="s">
        <v>29</v>
      </c>
      <c r="P1254" s="29"/>
      <c r="Q1254" s="6"/>
      <c r="R1254" s="29"/>
      <c r="S1254" s="10"/>
      <c r="T1254" s="8"/>
    </row>
    <row r="1255" spans="1:20" ht="15.75" customHeight="1" x14ac:dyDescent="0.35">
      <c r="A1255" s="25" t="s">
        <v>1573</v>
      </c>
      <c r="B1255" s="25" t="s">
        <v>1658</v>
      </c>
      <c r="C1255" s="26">
        <v>312464</v>
      </c>
      <c r="D1255" s="25" t="s">
        <v>1704</v>
      </c>
      <c r="E1255" s="25" t="s">
        <v>1705</v>
      </c>
      <c r="F1255" s="26" t="s">
        <v>555</v>
      </c>
      <c r="G1255" s="26" t="s">
        <v>555</v>
      </c>
      <c r="H1255" s="26"/>
      <c r="I1255" s="26"/>
      <c r="J1255" s="26">
        <v>1</v>
      </c>
      <c r="K1255" s="26">
        <v>138</v>
      </c>
      <c r="L1255" s="26" t="s">
        <v>28</v>
      </c>
      <c r="M1255" s="27">
        <v>1908</v>
      </c>
      <c r="N1255" s="28"/>
      <c r="O1255" s="26" t="s">
        <v>29</v>
      </c>
      <c r="P1255" s="29"/>
      <c r="Q1255" s="6"/>
      <c r="R1255" s="29"/>
      <c r="S1255" s="10"/>
      <c r="T1255" s="8"/>
    </row>
    <row r="1256" spans="1:20" ht="15.75" customHeight="1" x14ac:dyDescent="0.35">
      <c r="A1256" s="25" t="s">
        <v>1573</v>
      </c>
      <c r="B1256" s="25" t="s">
        <v>1658</v>
      </c>
      <c r="C1256" s="26">
        <v>312468</v>
      </c>
      <c r="D1256" s="25" t="s">
        <v>1706</v>
      </c>
      <c r="E1256" s="25" t="s">
        <v>1673</v>
      </c>
      <c r="F1256" s="26" t="s">
        <v>491</v>
      </c>
      <c r="G1256" s="26" t="s">
        <v>491</v>
      </c>
      <c r="H1256" s="26"/>
      <c r="I1256" s="26"/>
      <c r="J1256" s="26">
        <v>1</v>
      </c>
      <c r="K1256" s="26">
        <v>138</v>
      </c>
      <c r="L1256" s="26" t="s">
        <v>28</v>
      </c>
      <c r="M1256" s="27">
        <v>1903</v>
      </c>
      <c r="N1256" s="28"/>
      <c r="O1256" s="26" t="s">
        <v>29</v>
      </c>
      <c r="P1256" s="29"/>
      <c r="Q1256" s="6"/>
      <c r="R1256" s="29"/>
      <c r="S1256" s="10"/>
      <c r="T1256" s="8"/>
    </row>
    <row r="1257" spans="1:20" ht="15.75" customHeight="1" x14ac:dyDescent="0.35">
      <c r="A1257" s="25" t="s">
        <v>1573</v>
      </c>
      <c r="B1257" s="25" t="s">
        <v>1707</v>
      </c>
      <c r="C1257" s="26">
        <v>120233</v>
      </c>
      <c r="D1257" s="25" t="s">
        <v>1708</v>
      </c>
      <c r="E1257" s="25" t="s">
        <v>1709</v>
      </c>
      <c r="F1257" s="26" t="s">
        <v>215</v>
      </c>
      <c r="G1257" s="26" t="s">
        <v>215</v>
      </c>
      <c r="H1257" s="26"/>
      <c r="I1257" s="26"/>
      <c r="J1257" s="26">
        <v>1</v>
      </c>
      <c r="K1257" s="26">
        <v>138</v>
      </c>
      <c r="L1257" s="26" t="s">
        <v>28</v>
      </c>
      <c r="M1257" s="27">
        <v>922</v>
      </c>
      <c r="N1257" s="28"/>
      <c r="O1257" s="26" t="s">
        <v>29</v>
      </c>
      <c r="P1257" s="29"/>
      <c r="Q1257" s="6"/>
      <c r="R1257" s="29"/>
      <c r="S1257" s="10"/>
      <c r="T1257" s="8"/>
    </row>
    <row r="1258" spans="1:20" ht="15.75" customHeight="1" x14ac:dyDescent="0.35">
      <c r="A1258" s="25" t="s">
        <v>1573</v>
      </c>
      <c r="B1258" s="25" t="s">
        <v>1707</v>
      </c>
      <c r="C1258" s="26">
        <v>120239</v>
      </c>
      <c r="D1258" s="25" t="s">
        <v>1710</v>
      </c>
      <c r="E1258" s="25" t="s">
        <v>1709</v>
      </c>
      <c r="F1258" s="26" t="s">
        <v>215</v>
      </c>
      <c r="G1258" s="26" t="s">
        <v>215</v>
      </c>
      <c r="H1258" s="26"/>
      <c r="I1258" s="26"/>
      <c r="J1258" s="26">
        <v>1</v>
      </c>
      <c r="K1258" s="26">
        <v>138</v>
      </c>
      <c r="L1258" s="26" t="s">
        <v>28</v>
      </c>
      <c r="M1258" s="27">
        <v>924</v>
      </c>
      <c r="N1258" s="28"/>
      <c r="O1258" s="26" t="s">
        <v>29</v>
      </c>
      <c r="P1258" s="29"/>
      <c r="Q1258" s="6"/>
      <c r="R1258" s="29"/>
      <c r="S1258" s="10"/>
      <c r="T1258" s="8"/>
    </row>
    <row r="1259" spans="1:20" ht="15.75" customHeight="1" x14ac:dyDescent="0.35">
      <c r="A1259" s="25" t="s">
        <v>1573</v>
      </c>
      <c r="B1259" s="25" t="s">
        <v>1707</v>
      </c>
      <c r="C1259" s="26">
        <v>120249</v>
      </c>
      <c r="D1259" s="25" t="s">
        <v>1711</v>
      </c>
      <c r="E1259" s="25" t="s">
        <v>1709</v>
      </c>
      <c r="F1259" s="26" t="s">
        <v>215</v>
      </c>
      <c r="G1259" s="26" t="s">
        <v>215</v>
      </c>
      <c r="H1259" s="26"/>
      <c r="I1259" s="26"/>
      <c r="J1259" s="26">
        <v>1</v>
      </c>
      <c r="K1259" s="26">
        <v>138</v>
      </c>
      <c r="L1259" s="26" t="s">
        <v>28</v>
      </c>
      <c r="M1259" s="27">
        <v>928</v>
      </c>
      <c r="N1259" s="28"/>
      <c r="O1259" s="26" t="s">
        <v>29</v>
      </c>
      <c r="P1259" s="29"/>
      <c r="Q1259" s="6"/>
      <c r="R1259" s="29"/>
      <c r="S1259" s="10"/>
      <c r="T1259" s="8"/>
    </row>
    <row r="1260" spans="1:20" ht="15.75" customHeight="1" x14ac:dyDescent="0.35">
      <c r="A1260" s="25" t="s">
        <v>1573</v>
      </c>
      <c r="B1260" s="25" t="s">
        <v>1707</v>
      </c>
      <c r="C1260" s="26">
        <v>120252</v>
      </c>
      <c r="D1260" s="25" t="s">
        <v>1712</v>
      </c>
      <c r="E1260" s="25" t="s">
        <v>1709</v>
      </c>
      <c r="F1260" s="26" t="s">
        <v>215</v>
      </c>
      <c r="G1260" s="26" t="s">
        <v>215</v>
      </c>
      <c r="H1260" s="26"/>
      <c r="I1260" s="26"/>
      <c r="J1260" s="26">
        <v>1</v>
      </c>
      <c r="K1260" s="26">
        <v>138</v>
      </c>
      <c r="L1260" s="26" t="s">
        <v>28</v>
      </c>
      <c r="M1260" s="27">
        <v>929</v>
      </c>
      <c r="N1260" s="28"/>
      <c r="O1260" s="26" t="s">
        <v>29</v>
      </c>
      <c r="P1260" s="29"/>
      <c r="Q1260" s="6"/>
      <c r="R1260" s="29"/>
      <c r="S1260" s="10"/>
      <c r="T1260" s="8"/>
    </row>
    <row r="1261" spans="1:20" ht="15.75" customHeight="1" x14ac:dyDescent="0.35">
      <c r="A1261" s="25" t="s">
        <v>1573</v>
      </c>
      <c r="B1261" s="25" t="s">
        <v>1707</v>
      </c>
      <c r="C1261" s="26">
        <v>120255</v>
      </c>
      <c r="D1261" s="25" t="s">
        <v>1713</v>
      </c>
      <c r="E1261" s="25" t="s">
        <v>1709</v>
      </c>
      <c r="F1261" s="26" t="s">
        <v>215</v>
      </c>
      <c r="G1261" s="26" t="s">
        <v>215</v>
      </c>
      <c r="H1261" s="26">
        <v>1</v>
      </c>
      <c r="I1261" s="26">
        <v>2</v>
      </c>
      <c r="J1261" s="26">
        <v>1</v>
      </c>
      <c r="K1261" s="26">
        <v>138</v>
      </c>
      <c r="L1261" s="26" t="s">
        <v>28</v>
      </c>
      <c r="M1261" s="27">
        <v>932</v>
      </c>
      <c r="N1261" s="28">
        <v>1355741.1</v>
      </c>
      <c r="O1261" s="26" t="s">
        <v>29</v>
      </c>
      <c r="P1261" s="29"/>
      <c r="Q1261" s="6"/>
      <c r="R1261" s="29"/>
      <c r="S1261" s="10"/>
      <c r="T1261" s="8">
        <v>1</v>
      </c>
    </row>
    <row r="1262" spans="1:20" ht="15.75" customHeight="1" x14ac:dyDescent="0.35">
      <c r="A1262" s="25" t="s">
        <v>1573</v>
      </c>
      <c r="B1262" s="25" t="s">
        <v>1707</v>
      </c>
      <c r="C1262" s="26">
        <v>120258</v>
      </c>
      <c r="D1262" s="25" t="s">
        <v>1714</v>
      </c>
      <c r="E1262" s="25" t="s">
        <v>1709</v>
      </c>
      <c r="F1262" s="26" t="s">
        <v>215</v>
      </c>
      <c r="G1262" s="26" t="s">
        <v>215</v>
      </c>
      <c r="H1262" s="26"/>
      <c r="I1262" s="26"/>
      <c r="J1262" s="26">
        <v>1</v>
      </c>
      <c r="K1262" s="26">
        <v>138</v>
      </c>
      <c r="L1262" s="26" t="s">
        <v>28</v>
      </c>
      <c r="M1262" s="27">
        <v>935</v>
      </c>
      <c r="N1262" s="28"/>
      <c r="O1262" s="26" t="s">
        <v>29</v>
      </c>
      <c r="P1262" s="29"/>
      <c r="Q1262" s="6"/>
      <c r="R1262" s="29"/>
      <c r="S1262" s="10"/>
      <c r="T1262" s="8"/>
    </row>
    <row r="1263" spans="1:20" ht="15.75" customHeight="1" x14ac:dyDescent="0.35">
      <c r="A1263" s="25" t="s">
        <v>1573</v>
      </c>
      <c r="B1263" s="25" t="s">
        <v>1707</v>
      </c>
      <c r="C1263" s="26">
        <v>120260</v>
      </c>
      <c r="D1263" s="25" t="s">
        <v>1715</v>
      </c>
      <c r="E1263" s="25" t="s">
        <v>1709</v>
      </c>
      <c r="F1263" s="26" t="s">
        <v>215</v>
      </c>
      <c r="G1263" s="26" t="s">
        <v>215</v>
      </c>
      <c r="H1263" s="26"/>
      <c r="I1263" s="26"/>
      <c r="J1263" s="26">
        <v>1</v>
      </c>
      <c r="K1263" s="26">
        <v>138</v>
      </c>
      <c r="L1263" s="26" t="s">
        <v>28</v>
      </c>
      <c r="M1263" s="27">
        <v>921</v>
      </c>
      <c r="N1263" s="28"/>
      <c r="O1263" s="26" t="s">
        <v>29</v>
      </c>
      <c r="P1263" s="29"/>
      <c r="Q1263" s="6"/>
      <c r="R1263" s="29"/>
      <c r="S1263" s="10"/>
      <c r="T1263" s="8"/>
    </row>
    <row r="1264" spans="1:20" ht="15.75" customHeight="1" x14ac:dyDescent="0.35">
      <c r="A1264" s="25" t="s">
        <v>1573</v>
      </c>
      <c r="B1264" s="25" t="s">
        <v>1707</v>
      </c>
      <c r="C1264" s="26">
        <v>120266</v>
      </c>
      <c r="D1264" s="25" t="s">
        <v>1716</v>
      </c>
      <c r="E1264" s="25" t="s">
        <v>1709</v>
      </c>
      <c r="F1264" s="26" t="s">
        <v>215</v>
      </c>
      <c r="G1264" s="26" t="s">
        <v>215</v>
      </c>
      <c r="H1264" s="26">
        <v>1</v>
      </c>
      <c r="I1264" s="26">
        <v>2</v>
      </c>
      <c r="J1264" s="26">
        <v>1</v>
      </c>
      <c r="K1264" s="26">
        <v>138</v>
      </c>
      <c r="L1264" s="26" t="s">
        <v>28</v>
      </c>
      <c r="M1264" s="27">
        <v>925</v>
      </c>
      <c r="N1264" s="28">
        <v>831989.92</v>
      </c>
      <c r="O1264" s="26" t="s">
        <v>29</v>
      </c>
      <c r="P1264" s="29"/>
      <c r="Q1264" s="6"/>
      <c r="R1264" s="29"/>
      <c r="S1264" s="10"/>
      <c r="T1264" s="8">
        <v>1</v>
      </c>
    </row>
    <row r="1265" spans="1:20" ht="15.75" customHeight="1" x14ac:dyDescent="0.35">
      <c r="A1265" s="25" t="s">
        <v>1573</v>
      </c>
      <c r="B1265" s="25" t="s">
        <v>1707</v>
      </c>
      <c r="C1265" s="26">
        <v>120271</v>
      </c>
      <c r="D1265" s="25" t="s">
        <v>1717</v>
      </c>
      <c r="E1265" s="25" t="s">
        <v>1709</v>
      </c>
      <c r="F1265" s="26" t="s">
        <v>215</v>
      </c>
      <c r="G1265" s="26" t="s">
        <v>215</v>
      </c>
      <c r="H1265" s="26">
        <v>1</v>
      </c>
      <c r="I1265" s="26">
        <v>2</v>
      </c>
      <c r="J1265" s="26">
        <v>1</v>
      </c>
      <c r="K1265" s="26">
        <v>138</v>
      </c>
      <c r="L1265" s="26" t="s">
        <v>28</v>
      </c>
      <c r="M1265" s="27">
        <v>927</v>
      </c>
      <c r="N1265" s="28">
        <v>1340772.5900000001</v>
      </c>
      <c r="O1265" s="26" t="s">
        <v>29</v>
      </c>
      <c r="P1265" s="29"/>
      <c r="Q1265" s="6"/>
      <c r="R1265" s="29"/>
      <c r="S1265" s="10"/>
      <c r="T1265" s="8">
        <v>1</v>
      </c>
    </row>
    <row r="1266" spans="1:20" ht="15.75" customHeight="1" x14ac:dyDescent="0.35">
      <c r="A1266" s="25" t="s">
        <v>1573</v>
      </c>
      <c r="B1266" s="25" t="s">
        <v>1707</v>
      </c>
      <c r="C1266" s="26">
        <v>120275</v>
      </c>
      <c r="D1266" s="25" t="s">
        <v>962</v>
      </c>
      <c r="E1266" s="25" t="s">
        <v>1709</v>
      </c>
      <c r="F1266" s="26" t="s">
        <v>215</v>
      </c>
      <c r="G1266" s="26" t="s">
        <v>215</v>
      </c>
      <c r="H1266" s="26"/>
      <c r="I1266" s="26"/>
      <c r="J1266" s="26">
        <v>1</v>
      </c>
      <c r="K1266" s="26">
        <v>138</v>
      </c>
      <c r="L1266" s="26" t="s">
        <v>28</v>
      </c>
      <c r="M1266" s="27">
        <v>930</v>
      </c>
      <c r="N1266" s="28"/>
      <c r="O1266" s="26" t="s">
        <v>29</v>
      </c>
      <c r="P1266" s="29"/>
      <c r="Q1266" s="6"/>
      <c r="R1266" s="29"/>
      <c r="S1266" s="10"/>
      <c r="T1266" s="8"/>
    </row>
    <row r="1267" spans="1:20" ht="15.75" customHeight="1" x14ac:dyDescent="0.35">
      <c r="A1267" s="25" t="s">
        <v>1573</v>
      </c>
      <c r="B1267" s="25" t="s">
        <v>1707</v>
      </c>
      <c r="C1267" s="26">
        <v>120282</v>
      </c>
      <c r="D1267" s="25" t="s">
        <v>1718</v>
      </c>
      <c r="E1267" s="25" t="s">
        <v>1709</v>
      </c>
      <c r="F1267" s="26" t="s">
        <v>215</v>
      </c>
      <c r="G1267" s="26" t="s">
        <v>215</v>
      </c>
      <c r="H1267" s="26"/>
      <c r="I1267" s="26"/>
      <c r="J1267" s="26">
        <v>1</v>
      </c>
      <c r="K1267" s="26">
        <v>138</v>
      </c>
      <c r="L1267" s="26" t="s">
        <v>28</v>
      </c>
      <c r="M1267" s="27">
        <v>933</v>
      </c>
      <c r="N1267" s="28"/>
      <c r="O1267" s="26" t="s">
        <v>29</v>
      </c>
      <c r="P1267" s="29"/>
      <c r="Q1267" s="6"/>
      <c r="R1267" s="29"/>
      <c r="S1267" s="10"/>
      <c r="T1267" s="8"/>
    </row>
    <row r="1268" spans="1:20" ht="15.75" customHeight="1" x14ac:dyDescent="0.35">
      <c r="A1268" s="25" t="s">
        <v>1573</v>
      </c>
      <c r="B1268" s="25" t="s">
        <v>1707</v>
      </c>
      <c r="C1268" s="26">
        <v>120286</v>
      </c>
      <c r="D1268" s="25" t="s">
        <v>1719</v>
      </c>
      <c r="E1268" s="25" t="s">
        <v>1709</v>
      </c>
      <c r="F1268" s="26" t="s">
        <v>215</v>
      </c>
      <c r="G1268" s="26" t="s">
        <v>215</v>
      </c>
      <c r="H1268" s="26">
        <v>1</v>
      </c>
      <c r="I1268" s="26">
        <v>2</v>
      </c>
      <c r="J1268" s="26">
        <v>1</v>
      </c>
      <c r="K1268" s="26">
        <v>138</v>
      </c>
      <c r="L1268" s="26" t="s">
        <v>28</v>
      </c>
      <c r="M1268" s="27">
        <v>934</v>
      </c>
      <c r="N1268" s="28">
        <v>1360645.41</v>
      </c>
      <c r="O1268" s="26" t="s">
        <v>29</v>
      </c>
      <c r="P1268" s="29"/>
      <c r="Q1268" s="6"/>
      <c r="R1268" s="29"/>
      <c r="S1268" s="10"/>
      <c r="T1268" s="8">
        <v>1</v>
      </c>
    </row>
    <row r="1269" spans="1:20" ht="15.75" customHeight="1" x14ac:dyDescent="0.35">
      <c r="A1269" s="25" t="s">
        <v>1573</v>
      </c>
      <c r="B1269" s="25" t="s">
        <v>1707</v>
      </c>
      <c r="C1269" s="26">
        <v>189502</v>
      </c>
      <c r="D1269" s="25" t="s">
        <v>1720</v>
      </c>
      <c r="E1269" s="25" t="s">
        <v>1709</v>
      </c>
      <c r="F1269" s="26" t="s">
        <v>215</v>
      </c>
      <c r="G1269" s="26" t="s">
        <v>215</v>
      </c>
      <c r="H1269" s="26"/>
      <c r="I1269" s="26"/>
      <c r="J1269" s="26">
        <v>1</v>
      </c>
      <c r="K1269" s="26">
        <v>138</v>
      </c>
      <c r="L1269" s="26" t="s">
        <v>28</v>
      </c>
      <c r="M1269" s="27">
        <v>923</v>
      </c>
      <c r="N1269" s="28"/>
      <c r="O1269" s="26" t="s">
        <v>29</v>
      </c>
      <c r="P1269" s="29"/>
      <c r="Q1269" s="6"/>
      <c r="R1269" s="29"/>
      <c r="S1269" s="10"/>
      <c r="T1269" s="8"/>
    </row>
    <row r="1270" spans="1:20" ht="15.75" customHeight="1" x14ac:dyDescent="0.35">
      <c r="A1270" s="25" t="s">
        <v>1573</v>
      </c>
      <c r="B1270" s="25" t="s">
        <v>1707</v>
      </c>
      <c r="C1270" s="26">
        <v>189509</v>
      </c>
      <c r="D1270" s="25" t="s">
        <v>1721</v>
      </c>
      <c r="E1270" s="25" t="s">
        <v>1709</v>
      </c>
      <c r="F1270" s="26" t="s">
        <v>215</v>
      </c>
      <c r="G1270" s="26" t="s">
        <v>215</v>
      </c>
      <c r="H1270" s="26"/>
      <c r="I1270" s="26"/>
      <c r="J1270" s="26">
        <v>1</v>
      </c>
      <c r="K1270" s="26">
        <v>138</v>
      </c>
      <c r="L1270" s="26" t="s">
        <v>28</v>
      </c>
      <c r="M1270" s="27">
        <v>931</v>
      </c>
      <c r="N1270" s="28"/>
      <c r="O1270" s="26" t="s">
        <v>29</v>
      </c>
      <c r="P1270" s="29"/>
      <c r="Q1270" s="6"/>
      <c r="R1270" s="29"/>
      <c r="S1270" s="10"/>
      <c r="T1270" s="8"/>
    </row>
    <row r="1271" spans="1:20" ht="15.75" customHeight="1" x14ac:dyDescent="0.35">
      <c r="A1271" s="25" t="s">
        <v>1573</v>
      </c>
      <c r="B1271" s="25" t="s">
        <v>1707</v>
      </c>
      <c r="C1271" s="26">
        <v>324802</v>
      </c>
      <c r="D1271" s="25" t="s">
        <v>1722</v>
      </c>
      <c r="E1271" s="25" t="s">
        <v>1709</v>
      </c>
      <c r="F1271" s="26" t="s">
        <v>215</v>
      </c>
      <c r="G1271" s="26" t="s">
        <v>215</v>
      </c>
      <c r="H1271" s="26"/>
      <c r="I1271" s="26"/>
      <c r="J1271" s="26">
        <v>1</v>
      </c>
      <c r="K1271" s="26">
        <v>138</v>
      </c>
      <c r="L1271" s="26" t="s">
        <v>28</v>
      </c>
      <c r="M1271" s="27">
        <v>926</v>
      </c>
      <c r="N1271" s="28"/>
      <c r="O1271" s="26" t="s">
        <v>29</v>
      </c>
      <c r="P1271" s="29"/>
      <c r="Q1271" s="6"/>
      <c r="R1271" s="29"/>
      <c r="S1271" s="10"/>
      <c r="T1271" s="8"/>
    </row>
    <row r="1272" spans="1:20" ht="15.75" customHeight="1" x14ac:dyDescent="0.35">
      <c r="A1272" s="25" t="s">
        <v>1573</v>
      </c>
      <c r="B1272" s="25" t="s">
        <v>1723</v>
      </c>
      <c r="C1272" s="26">
        <v>120038</v>
      </c>
      <c r="D1272" s="25" t="s">
        <v>1724</v>
      </c>
      <c r="E1272" s="25" t="s">
        <v>1725</v>
      </c>
      <c r="F1272" s="26" t="s">
        <v>215</v>
      </c>
      <c r="G1272" s="26" t="s">
        <v>215</v>
      </c>
      <c r="H1272" s="26"/>
      <c r="I1272" s="26"/>
      <c r="J1272" s="26">
        <v>1</v>
      </c>
      <c r="K1272" s="26">
        <v>138</v>
      </c>
      <c r="L1272" s="26" t="s">
        <v>28</v>
      </c>
      <c r="M1272" s="27">
        <v>1027</v>
      </c>
      <c r="N1272" s="28"/>
      <c r="O1272" s="26" t="s">
        <v>29</v>
      </c>
      <c r="P1272" s="29"/>
      <c r="Q1272" s="6"/>
      <c r="R1272" s="29"/>
      <c r="S1272" s="10"/>
      <c r="T1272" s="8"/>
    </row>
    <row r="1273" spans="1:20" ht="15.75" customHeight="1" x14ac:dyDescent="0.35">
      <c r="A1273" s="25" t="s">
        <v>1573</v>
      </c>
      <c r="B1273" s="25" t="s">
        <v>1723</v>
      </c>
      <c r="C1273" s="26">
        <v>120047</v>
      </c>
      <c r="D1273" s="25" t="s">
        <v>1726</v>
      </c>
      <c r="E1273" s="25" t="s">
        <v>1725</v>
      </c>
      <c r="F1273" s="26" t="s">
        <v>215</v>
      </c>
      <c r="G1273" s="26" t="s">
        <v>215</v>
      </c>
      <c r="H1273" s="26"/>
      <c r="I1273" s="26"/>
      <c r="J1273" s="26">
        <v>1</v>
      </c>
      <c r="K1273" s="26">
        <v>138</v>
      </c>
      <c r="L1273" s="26" t="s">
        <v>28</v>
      </c>
      <c r="M1273" s="27">
        <v>1032</v>
      </c>
      <c r="N1273" s="28"/>
      <c r="O1273" s="26" t="s">
        <v>29</v>
      </c>
      <c r="P1273" s="29"/>
      <c r="Q1273" s="6"/>
      <c r="R1273" s="29"/>
      <c r="S1273" s="10"/>
      <c r="T1273" s="8"/>
    </row>
    <row r="1274" spans="1:20" ht="15.75" customHeight="1" x14ac:dyDescent="0.35">
      <c r="A1274" s="25" t="s">
        <v>1573</v>
      </c>
      <c r="B1274" s="25" t="s">
        <v>1723</v>
      </c>
      <c r="C1274" s="26">
        <v>120111</v>
      </c>
      <c r="D1274" s="25" t="s">
        <v>1727</v>
      </c>
      <c r="E1274" s="25" t="s">
        <v>1728</v>
      </c>
      <c r="F1274" s="26" t="s">
        <v>491</v>
      </c>
      <c r="G1274" s="26" t="s">
        <v>491</v>
      </c>
      <c r="H1274" s="26"/>
      <c r="I1274" s="26"/>
      <c r="J1274" s="26">
        <v>1</v>
      </c>
      <c r="K1274" s="26">
        <v>138</v>
      </c>
      <c r="L1274" s="26" t="s">
        <v>28</v>
      </c>
      <c r="M1274" s="27">
        <v>1049</v>
      </c>
      <c r="N1274" s="28"/>
      <c r="O1274" s="26" t="s">
        <v>29</v>
      </c>
      <c r="P1274" s="29"/>
      <c r="Q1274" s="6"/>
      <c r="R1274" s="29"/>
      <c r="S1274" s="10"/>
      <c r="T1274" s="8"/>
    </row>
    <row r="1275" spans="1:20" ht="15.75" customHeight="1" x14ac:dyDescent="0.35">
      <c r="A1275" s="25" t="s">
        <v>1573</v>
      </c>
      <c r="B1275" s="25" t="s">
        <v>1723</v>
      </c>
      <c r="C1275" s="26">
        <v>120204</v>
      </c>
      <c r="D1275" s="25" t="s">
        <v>1729</v>
      </c>
      <c r="E1275" s="25" t="s">
        <v>1730</v>
      </c>
      <c r="F1275" s="26" t="s">
        <v>215</v>
      </c>
      <c r="G1275" s="26" t="s">
        <v>215</v>
      </c>
      <c r="H1275" s="26"/>
      <c r="I1275" s="26"/>
      <c r="J1275" s="26">
        <v>1</v>
      </c>
      <c r="K1275" s="26">
        <v>138</v>
      </c>
      <c r="L1275" s="26" t="s">
        <v>28</v>
      </c>
      <c r="M1275" s="27">
        <v>1028</v>
      </c>
      <c r="N1275" s="28"/>
      <c r="O1275" s="26" t="s">
        <v>29</v>
      </c>
      <c r="P1275" s="29"/>
      <c r="Q1275" s="6"/>
      <c r="R1275" s="29"/>
      <c r="S1275" s="10"/>
      <c r="T1275" s="8"/>
    </row>
    <row r="1276" spans="1:20" ht="15.75" customHeight="1" x14ac:dyDescent="0.35">
      <c r="A1276" s="25" t="s">
        <v>1573</v>
      </c>
      <c r="B1276" s="25" t="s">
        <v>1723</v>
      </c>
      <c r="C1276" s="26">
        <v>120205</v>
      </c>
      <c r="D1276" s="25" t="s">
        <v>1731</v>
      </c>
      <c r="E1276" s="25" t="s">
        <v>1730</v>
      </c>
      <c r="F1276" s="26" t="s">
        <v>215</v>
      </c>
      <c r="G1276" s="26" t="s">
        <v>215</v>
      </c>
      <c r="H1276" s="26"/>
      <c r="I1276" s="26"/>
      <c r="J1276" s="26">
        <v>1</v>
      </c>
      <c r="K1276" s="26">
        <v>138</v>
      </c>
      <c r="L1276" s="26" t="s">
        <v>28</v>
      </c>
      <c r="M1276" s="27">
        <v>1031</v>
      </c>
      <c r="N1276" s="28"/>
      <c r="O1276" s="26" t="s">
        <v>29</v>
      </c>
      <c r="P1276" s="29"/>
      <c r="Q1276" s="6"/>
      <c r="R1276" s="29"/>
      <c r="S1276" s="10"/>
      <c r="T1276" s="8"/>
    </row>
    <row r="1277" spans="1:20" ht="15.75" customHeight="1" x14ac:dyDescent="0.35">
      <c r="A1277" s="25" t="s">
        <v>1573</v>
      </c>
      <c r="B1277" s="25" t="s">
        <v>1723</v>
      </c>
      <c r="C1277" s="26">
        <v>120212</v>
      </c>
      <c r="D1277" s="25" t="s">
        <v>1732</v>
      </c>
      <c r="E1277" s="25" t="s">
        <v>1730</v>
      </c>
      <c r="F1277" s="26" t="s">
        <v>215</v>
      </c>
      <c r="G1277" s="26" t="s">
        <v>215</v>
      </c>
      <c r="H1277" s="26"/>
      <c r="I1277" s="26"/>
      <c r="J1277" s="26">
        <v>1</v>
      </c>
      <c r="K1277" s="26">
        <v>138</v>
      </c>
      <c r="L1277" s="26" t="s">
        <v>28</v>
      </c>
      <c r="M1277" s="27">
        <v>1033</v>
      </c>
      <c r="N1277" s="28"/>
      <c r="O1277" s="26" t="s">
        <v>29</v>
      </c>
      <c r="P1277" s="29"/>
      <c r="Q1277" s="6"/>
      <c r="R1277" s="29"/>
      <c r="S1277" s="10"/>
      <c r="T1277" s="8"/>
    </row>
    <row r="1278" spans="1:20" ht="15.75" customHeight="1" x14ac:dyDescent="0.35">
      <c r="A1278" s="25" t="s">
        <v>1573</v>
      </c>
      <c r="B1278" s="25" t="s">
        <v>1723</v>
      </c>
      <c r="C1278" s="26">
        <v>120220</v>
      </c>
      <c r="D1278" s="25" t="s">
        <v>1733</v>
      </c>
      <c r="E1278" s="25" t="s">
        <v>1734</v>
      </c>
      <c r="F1278" s="26" t="s">
        <v>491</v>
      </c>
      <c r="G1278" s="26" t="s">
        <v>491</v>
      </c>
      <c r="H1278" s="26"/>
      <c r="I1278" s="26"/>
      <c r="J1278" s="26">
        <v>1</v>
      </c>
      <c r="K1278" s="26">
        <v>138</v>
      </c>
      <c r="L1278" s="26" t="s">
        <v>28</v>
      </c>
      <c r="M1278" s="27">
        <v>1048</v>
      </c>
      <c r="N1278" s="28"/>
      <c r="O1278" s="26" t="s">
        <v>29</v>
      </c>
      <c r="P1278" s="29"/>
      <c r="Q1278" s="6"/>
      <c r="R1278" s="29"/>
      <c r="S1278" s="10"/>
      <c r="T1278" s="8"/>
    </row>
    <row r="1279" spans="1:20" ht="15.75" customHeight="1" x14ac:dyDescent="0.35">
      <c r="A1279" s="25" t="s">
        <v>1573</v>
      </c>
      <c r="B1279" s="25" t="s">
        <v>1723</v>
      </c>
      <c r="C1279" s="26">
        <v>120297</v>
      </c>
      <c r="D1279" s="25" t="s">
        <v>1735</v>
      </c>
      <c r="E1279" s="25" t="s">
        <v>1736</v>
      </c>
      <c r="F1279" s="26" t="s">
        <v>215</v>
      </c>
      <c r="G1279" s="26" t="s">
        <v>215</v>
      </c>
      <c r="H1279" s="26"/>
      <c r="I1279" s="26"/>
      <c r="J1279" s="26">
        <v>1</v>
      </c>
      <c r="K1279" s="26">
        <v>138</v>
      </c>
      <c r="L1279" s="26" t="s">
        <v>28</v>
      </c>
      <c r="M1279" s="27">
        <v>1029</v>
      </c>
      <c r="N1279" s="28"/>
      <c r="O1279" s="26" t="s">
        <v>29</v>
      </c>
      <c r="P1279" s="29"/>
      <c r="Q1279" s="6"/>
      <c r="R1279" s="29"/>
      <c r="S1279" s="10"/>
      <c r="T1279" s="8"/>
    </row>
    <row r="1280" spans="1:20" ht="15.75" customHeight="1" x14ac:dyDescent="0.35">
      <c r="A1280" s="25" t="s">
        <v>1573</v>
      </c>
      <c r="B1280" s="25" t="s">
        <v>1723</v>
      </c>
      <c r="C1280" s="26">
        <v>120303</v>
      </c>
      <c r="D1280" s="25" t="s">
        <v>1737</v>
      </c>
      <c r="E1280" s="25" t="s">
        <v>1736</v>
      </c>
      <c r="F1280" s="26" t="s">
        <v>215</v>
      </c>
      <c r="G1280" s="26" t="s">
        <v>215</v>
      </c>
      <c r="H1280" s="26"/>
      <c r="I1280" s="26"/>
      <c r="J1280" s="26">
        <v>1</v>
      </c>
      <c r="K1280" s="26">
        <v>138</v>
      </c>
      <c r="L1280" s="26" t="s">
        <v>28</v>
      </c>
      <c r="M1280" s="27">
        <v>1034</v>
      </c>
      <c r="N1280" s="28"/>
      <c r="O1280" s="26" t="s">
        <v>29</v>
      </c>
      <c r="P1280" s="29"/>
      <c r="Q1280" s="6"/>
      <c r="R1280" s="29"/>
      <c r="S1280" s="10"/>
      <c r="T1280" s="8"/>
    </row>
    <row r="1281" spans="1:20" ht="15.75" customHeight="1" x14ac:dyDescent="0.35">
      <c r="A1281" s="25" t="s">
        <v>1573</v>
      </c>
      <c r="B1281" s="25" t="s">
        <v>1723</v>
      </c>
      <c r="C1281" s="26">
        <v>120342</v>
      </c>
      <c r="D1281" s="25" t="s">
        <v>1738</v>
      </c>
      <c r="E1281" s="25" t="s">
        <v>1739</v>
      </c>
      <c r="F1281" s="26" t="s">
        <v>90</v>
      </c>
      <c r="G1281" s="26" t="s">
        <v>90</v>
      </c>
      <c r="H1281" s="26">
        <v>1</v>
      </c>
      <c r="I1281" s="26">
        <v>1</v>
      </c>
      <c r="J1281" s="26">
        <v>1</v>
      </c>
      <c r="K1281" s="26">
        <v>138</v>
      </c>
      <c r="L1281" s="26" t="s">
        <v>28</v>
      </c>
      <c r="M1281" s="27">
        <v>1038</v>
      </c>
      <c r="N1281" s="28">
        <v>41069.35</v>
      </c>
      <c r="O1281" s="26" t="s">
        <v>29</v>
      </c>
      <c r="P1281" s="29"/>
      <c r="Q1281" s="6"/>
      <c r="R1281" s="29"/>
      <c r="S1281" s="10"/>
      <c r="T1281" s="8">
        <v>1</v>
      </c>
    </row>
    <row r="1282" spans="1:20" ht="15.75" customHeight="1" x14ac:dyDescent="0.35">
      <c r="A1282" s="25" t="s">
        <v>1573</v>
      </c>
      <c r="B1282" s="25" t="s">
        <v>1723</v>
      </c>
      <c r="C1282" s="26">
        <v>120344</v>
      </c>
      <c r="D1282" s="25" t="s">
        <v>1740</v>
      </c>
      <c r="E1282" s="25" t="s">
        <v>1739</v>
      </c>
      <c r="F1282" s="26" t="s">
        <v>90</v>
      </c>
      <c r="G1282" s="26" t="s">
        <v>90</v>
      </c>
      <c r="H1282" s="26"/>
      <c r="I1282" s="26"/>
      <c r="J1282" s="26">
        <v>1</v>
      </c>
      <c r="K1282" s="26">
        <v>138</v>
      </c>
      <c r="L1282" s="26" t="s">
        <v>28</v>
      </c>
      <c r="M1282" s="27">
        <v>1039</v>
      </c>
      <c r="N1282" s="28"/>
      <c r="O1282" s="26" t="s">
        <v>29</v>
      </c>
      <c r="P1282" s="29"/>
      <c r="Q1282" s="6"/>
      <c r="R1282" s="29"/>
      <c r="S1282" s="10"/>
      <c r="T1282" s="8"/>
    </row>
    <row r="1283" spans="1:20" ht="15.75" customHeight="1" x14ac:dyDescent="0.35">
      <c r="A1283" s="25" t="s">
        <v>1573</v>
      </c>
      <c r="B1283" s="25" t="s">
        <v>1723</v>
      </c>
      <c r="C1283" s="26">
        <v>120346</v>
      </c>
      <c r="D1283" s="25" t="s">
        <v>1741</v>
      </c>
      <c r="E1283" s="25" t="s">
        <v>1739</v>
      </c>
      <c r="F1283" s="26" t="s">
        <v>90</v>
      </c>
      <c r="G1283" s="26" t="s">
        <v>90</v>
      </c>
      <c r="H1283" s="26"/>
      <c r="I1283" s="26"/>
      <c r="J1283" s="26">
        <v>1</v>
      </c>
      <c r="K1283" s="26">
        <v>138</v>
      </c>
      <c r="L1283" s="26" t="s">
        <v>28</v>
      </c>
      <c r="M1283" s="27">
        <v>1040</v>
      </c>
      <c r="N1283" s="28"/>
      <c r="O1283" s="26" t="s">
        <v>29</v>
      </c>
      <c r="P1283" s="29"/>
      <c r="Q1283" s="6"/>
      <c r="R1283" s="29"/>
      <c r="S1283" s="10"/>
      <c r="T1283" s="8"/>
    </row>
    <row r="1284" spans="1:20" ht="15.75" customHeight="1" x14ac:dyDescent="0.35">
      <c r="A1284" s="25" t="s">
        <v>1573</v>
      </c>
      <c r="B1284" s="25" t="s">
        <v>1723</v>
      </c>
      <c r="C1284" s="26">
        <v>120350</v>
      </c>
      <c r="D1284" s="25" t="s">
        <v>1742</v>
      </c>
      <c r="E1284" s="25" t="s">
        <v>1739</v>
      </c>
      <c r="F1284" s="26" t="s">
        <v>90</v>
      </c>
      <c r="G1284" s="26" t="s">
        <v>90</v>
      </c>
      <c r="H1284" s="26">
        <v>1</v>
      </c>
      <c r="I1284" s="26">
        <v>5</v>
      </c>
      <c r="J1284" s="26">
        <v>1</v>
      </c>
      <c r="K1284" s="26">
        <v>138</v>
      </c>
      <c r="L1284" s="26" t="s">
        <v>28</v>
      </c>
      <c r="M1284" s="27">
        <v>1041</v>
      </c>
      <c r="N1284" s="28">
        <v>184157.53</v>
      </c>
      <c r="O1284" s="26" t="s">
        <v>29</v>
      </c>
      <c r="P1284" s="29"/>
      <c r="Q1284" s="6"/>
      <c r="R1284" s="29"/>
      <c r="S1284" s="10"/>
      <c r="T1284" s="8">
        <v>1</v>
      </c>
    </row>
    <row r="1285" spans="1:20" ht="15.75" customHeight="1" x14ac:dyDescent="0.35">
      <c r="A1285" s="25" t="s">
        <v>1573</v>
      </c>
      <c r="B1285" s="25" t="s">
        <v>1723</v>
      </c>
      <c r="C1285" s="26">
        <v>120367</v>
      </c>
      <c r="D1285" s="25" t="s">
        <v>1743</v>
      </c>
      <c r="E1285" s="25" t="s">
        <v>1739</v>
      </c>
      <c r="F1285" s="26" t="s">
        <v>90</v>
      </c>
      <c r="G1285" s="26" t="s">
        <v>90</v>
      </c>
      <c r="H1285" s="26"/>
      <c r="I1285" s="26"/>
      <c r="J1285" s="26">
        <v>1</v>
      </c>
      <c r="K1285" s="26">
        <v>138</v>
      </c>
      <c r="L1285" s="26" t="s">
        <v>28</v>
      </c>
      <c r="M1285" s="27">
        <v>1044</v>
      </c>
      <c r="N1285" s="28"/>
      <c r="O1285" s="26" t="s">
        <v>29</v>
      </c>
      <c r="P1285" s="29"/>
      <c r="Q1285" s="6"/>
      <c r="R1285" s="29"/>
      <c r="S1285" s="10"/>
      <c r="T1285" s="8"/>
    </row>
    <row r="1286" spans="1:20" ht="15.75" customHeight="1" x14ac:dyDescent="0.35">
      <c r="A1286" s="25" t="s">
        <v>1573</v>
      </c>
      <c r="B1286" s="25" t="s">
        <v>1723</v>
      </c>
      <c r="C1286" s="26">
        <v>120369</v>
      </c>
      <c r="D1286" s="25" t="s">
        <v>1744</v>
      </c>
      <c r="E1286" s="25" t="s">
        <v>1739</v>
      </c>
      <c r="F1286" s="26" t="s">
        <v>90</v>
      </c>
      <c r="G1286" s="26" t="s">
        <v>90</v>
      </c>
      <c r="H1286" s="26"/>
      <c r="I1286" s="26"/>
      <c r="J1286" s="26">
        <v>1</v>
      </c>
      <c r="K1286" s="26">
        <v>138</v>
      </c>
      <c r="L1286" s="26" t="s">
        <v>28</v>
      </c>
      <c r="M1286" s="27">
        <v>1045</v>
      </c>
      <c r="N1286" s="28"/>
      <c r="O1286" s="26" t="s">
        <v>29</v>
      </c>
      <c r="P1286" s="29"/>
      <c r="Q1286" s="6"/>
      <c r="R1286" s="29"/>
      <c r="S1286" s="10"/>
      <c r="T1286" s="8"/>
    </row>
    <row r="1287" spans="1:20" ht="15.75" customHeight="1" x14ac:dyDescent="0.35">
      <c r="A1287" s="25" t="s">
        <v>1573</v>
      </c>
      <c r="B1287" s="25" t="s">
        <v>1723</v>
      </c>
      <c r="C1287" s="26">
        <v>120397</v>
      </c>
      <c r="D1287" s="25" t="s">
        <v>1745</v>
      </c>
      <c r="E1287" s="25" t="s">
        <v>1746</v>
      </c>
      <c r="F1287" s="26" t="s">
        <v>215</v>
      </c>
      <c r="G1287" s="26" t="s">
        <v>215</v>
      </c>
      <c r="H1287" s="26"/>
      <c r="I1287" s="26"/>
      <c r="J1287" s="26">
        <v>1</v>
      </c>
      <c r="K1287" s="26">
        <v>138</v>
      </c>
      <c r="L1287" s="26" t="s">
        <v>28</v>
      </c>
      <c r="M1287" s="27">
        <v>1035</v>
      </c>
      <c r="N1287" s="28"/>
      <c r="O1287" s="26" t="s">
        <v>29</v>
      </c>
      <c r="P1287" s="29"/>
      <c r="Q1287" s="6"/>
      <c r="R1287" s="29"/>
      <c r="S1287" s="10"/>
      <c r="T1287" s="8"/>
    </row>
    <row r="1288" spans="1:20" ht="15.75" customHeight="1" x14ac:dyDescent="0.35">
      <c r="A1288" s="25" t="s">
        <v>1573</v>
      </c>
      <c r="B1288" s="25" t="s">
        <v>1723</v>
      </c>
      <c r="C1288" s="26">
        <v>120411</v>
      </c>
      <c r="D1288" s="25" t="s">
        <v>1747</v>
      </c>
      <c r="E1288" s="25" t="s">
        <v>1748</v>
      </c>
      <c r="F1288" s="26" t="s">
        <v>90</v>
      </c>
      <c r="G1288" s="26" t="s">
        <v>90</v>
      </c>
      <c r="H1288" s="26"/>
      <c r="I1288" s="26"/>
      <c r="J1288" s="26">
        <v>1</v>
      </c>
      <c r="K1288" s="26">
        <v>138</v>
      </c>
      <c r="L1288" s="26" t="s">
        <v>28</v>
      </c>
      <c r="M1288" s="27">
        <v>1042</v>
      </c>
      <c r="N1288" s="28"/>
      <c r="O1288" s="26" t="s">
        <v>29</v>
      </c>
      <c r="P1288" s="29"/>
      <c r="Q1288" s="6"/>
      <c r="R1288" s="29"/>
      <c r="S1288" s="10"/>
      <c r="T1288" s="8"/>
    </row>
    <row r="1289" spans="1:20" ht="15.75" customHeight="1" x14ac:dyDescent="0.35">
      <c r="A1289" s="25" t="s">
        <v>1573</v>
      </c>
      <c r="B1289" s="25" t="s">
        <v>1723</v>
      </c>
      <c r="C1289" s="26">
        <v>120428</v>
      </c>
      <c r="D1289" s="25" t="s">
        <v>1749</v>
      </c>
      <c r="E1289" s="25" t="s">
        <v>1748</v>
      </c>
      <c r="F1289" s="26" t="s">
        <v>90</v>
      </c>
      <c r="G1289" s="26" t="s">
        <v>90</v>
      </c>
      <c r="H1289" s="26"/>
      <c r="I1289" s="26"/>
      <c r="J1289" s="26">
        <v>1</v>
      </c>
      <c r="K1289" s="26">
        <v>138</v>
      </c>
      <c r="L1289" s="26" t="s">
        <v>28</v>
      </c>
      <c r="M1289" s="27">
        <v>1047</v>
      </c>
      <c r="N1289" s="28"/>
      <c r="O1289" s="26" t="s">
        <v>29</v>
      </c>
      <c r="P1289" s="29"/>
      <c r="Q1289" s="6"/>
      <c r="R1289" s="29"/>
      <c r="S1289" s="10"/>
      <c r="T1289" s="8"/>
    </row>
    <row r="1290" spans="1:20" ht="15.75" customHeight="1" x14ac:dyDescent="0.35">
      <c r="A1290" s="25" t="s">
        <v>1573</v>
      </c>
      <c r="B1290" s="25" t="s">
        <v>1723</v>
      </c>
      <c r="C1290" s="26">
        <v>120449</v>
      </c>
      <c r="D1290" s="25" t="s">
        <v>1750</v>
      </c>
      <c r="E1290" s="25" t="s">
        <v>1751</v>
      </c>
      <c r="F1290" s="26" t="s">
        <v>491</v>
      </c>
      <c r="G1290" s="26" t="s">
        <v>491</v>
      </c>
      <c r="H1290" s="26"/>
      <c r="I1290" s="26"/>
      <c r="J1290" s="26">
        <v>1</v>
      </c>
      <c r="K1290" s="26">
        <v>138</v>
      </c>
      <c r="L1290" s="26" t="s">
        <v>28</v>
      </c>
      <c r="M1290" s="27">
        <v>1050</v>
      </c>
      <c r="N1290" s="28"/>
      <c r="O1290" s="26" t="s">
        <v>29</v>
      </c>
      <c r="P1290" s="29"/>
      <c r="Q1290" s="6"/>
      <c r="R1290" s="29"/>
      <c r="S1290" s="10"/>
      <c r="T1290" s="8"/>
    </row>
    <row r="1291" spans="1:20" ht="15.75" customHeight="1" x14ac:dyDescent="0.35">
      <c r="A1291" s="25" t="s">
        <v>1573</v>
      </c>
      <c r="B1291" s="25" t="s">
        <v>1723</v>
      </c>
      <c r="C1291" s="26">
        <v>120457</v>
      </c>
      <c r="D1291" s="25" t="s">
        <v>1752</v>
      </c>
      <c r="E1291" s="25" t="s">
        <v>1751</v>
      </c>
      <c r="F1291" s="26" t="s">
        <v>491</v>
      </c>
      <c r="G1291" s="26" t="s">
        <v>491</v>
      </c>
      <c r="H1291" s="26"/>
      <c r="I1291" s="26"/>
      <c r="J1291" s="26">
        <v>1</v>
      </c>
      <c r="K1291" s="26">
        <v>138</v>
      </c>
      <c r="L1291" s="26" t="s">
        <v>28</v>
      </c>
      <c r="M1291" s="27">
        <v>1052</v>
      </c>
      <c r="N1291" s="28"/>
      <c r="O1291" s="26" t="s">
        <v>29</v>
      </c>
      <c r="P1291" s="29"/>
      <c r="Q1291" s="6"/>
      <c r="R1291" s="29"/>
      <c r="S1291" s="10"/>
      <c r="T1291" s="8"/>
    </row>
    <row r="1292" spans="1:20" ht="15.75" customHeight="1" x14ac:dyDescent="0.35">
      <c r="A1292" s="25" t="s">
        <v>1573</v>
      </c>
      <c r="B1292" s="25" t="s">
        <v>1723</v>
      </c>
      <c r="C1292" s="26">
        <v>120471</v>
      </c>
      <c r="D1292" s="25" t="s">
        <v>1753</v>
      </c>
      <c r="E1292" s="25" t="s">
        <v>1751</v>
      </c>
      <c r="F1292" s="26" t="s">
        <v>491</v>
      </c>
      <c r="G1292" s="26" t="s">
        <v>491</v>
      </c>
      <c r="H1292" s="26"/>
      <c r="I1292" s="26"/>
      <c r="J1292" s="26">
        <v>1</v>
      </c>
      <c r="K1292" s="26">
        <v>138</v>
      </c>
      <c r="L1292" s="26" t="s">
        <v>28</v>
      </c>
      <c r="M1292" s="27">
        <v>1056</v>
      </c>
      <c r="N1292" s="28"/>
      <c r="O1292" s="26" t="s">
        <v>29</v>
      </c>
      <c r="P1292" s="29"/>
      <c r="Q1292" s="6"/>
      <c r="R1292" s="29"/>
      <c r="S1292" s="10"/>
      <c r="T1292" s="8"/>
    </row>
    <row r="1293" spans="1:20" ht="15.75" customHeight="1" x14ac:dyDescent="0.35">
      <c r="A1293" s="25" t="s">
        <v>1573</v>
      </c>
      <c r="B1293" s="25" t="s">
        <v>1723</v>
      </c>
      <c r="C1293" s="26">
        <v>120473</v>
      </c>
      <c r="D1293" s="25" t="s">
        <v>1754</v>
      </c>
      <c r="E1293" s="25" t="s">
        <v>1751</v>
      </c>
      <c r="F1293" s="26" t="s">
        <v>491</v>
      </c>
      <c r="G1293" s="26" t="s">
        <v>491</v>
      </c>
      <c r="H1293" s="26"/>
      <c r="I1293" s="26"/>
      <c r="J1293" s="26">
        <v>1</v>
      </c>
      <c r="K1293" s="26">
        <v>138</v>
      </c>
      <c r="L1293" s="26" t="s">
        <v>28</v>
      </c>
      <c r="M1293" s="27">
        <v>1057</v>
      </c>
      <c r="N1293" s="28"/>
      <c r="O1293" s="26" t="s">
        <v>29</v>
      </c>
      <c r="P1293" s="29"/>
      <c r="Q1293" s="6"/>
      <c r="R1293" s="29"/>
      <c r="S1293" s="10"/>
      <c r="T1293" s="8"/>
    </row>
    <row r="1294" spans="1:20" ht="15.75" customHeight="1" x14ac:dyDescent="0.35">
      <c r="A1294" s="25" t="s">
        <v>1573</v>
      </c>
      <c r="B1294" s="25" t="s">
        <v>1723</v>
      </c>
      <c r="C1294" s="26">
        <v>120479</v>
      </c>
      <c r="D1294" s="25" t="s">
        <v>1755</v>
      </c>
      <c r="E1294" s="25" t="s">
        <v>1751</v>
      </c>
      <c r="F1294" s="26" t="s">
        <v>491</v>
      </c>
      <c r="G1294" s="26" t="s">
        <v>491</v>
      </c>
      <c r="H1294" s="26"/>
      <c r="I1294" s="26"/>
      <c r="J1294" s="26">
        <v>1</v>
      </c>
      <c r="K1294" s="26">
        <v>138</v>
      </c>
      <c r="L1294" s="26" t="s">
        <v>28</v>
      </c>
      <c r="M1294" s="27">
        <v>1060</v>
      </c>
      <c r="N1294" s="28"/>
      <c r="O1294" s="26" t="s">
        <v>29</v>
      </c>
      <c r="P1294" s="29"/>
      <c r="Q1294" s="6"/>
      <c r="R1294" s="29"/>
      <c r="S1294" s="10"/>
      <c r="T1294" s="8"/>
    </row>
    <row r="1295" spans="1:20" ht="15.75" customHeight="1" x14ac:dyDescent="0.35">
      <c r="A1295" s="25" t="s">
        <v>1573</v>
      </c>
      <c r="B1295" s="25" t="s">
        <v>1723</v>
      </c>
      <c r="C1295" s="26">
        <v>120498</v>
      </c>
      <c r="D1295" s="25" t="s">
        <v>1756</v>
      </c>
      <c r="E1295" s="25" t="s">
        <v>1757</v>
      </c>
      <c r="F1295" s="26" t="s">
        <v>90</v>
      </c>
      <c r="G1295" s="26" t="s">
        <v>90</v>
      </c>
      <c r="H1295" s="26"/>
      <c r="I1295" s="26"/>
      <c r="J1295" s="26">
        <v>1</v>
      </c>
      <c r="K1295" s="26">
        <v>138</v>
      </c>
      <c r="L1295" s="26" t="s">
        <v>28</v>
      </c>
      <c r="M1295" s="27">
        <v>1037</v>
      </c>
      <c r="N1295" s="28"/>
      <c r="O1295" s="26" t="s">
        <v>29</v>
      </c>
      <c r="P1295" s="29"/>
      <c r="Q1295" s="6"/>
      <c r="R1295" s="29"/>
      <c r="S1295" s="10"/>
      <c r="T1295" s="8"/>
    </row>
    <row r="1296" spans="1:20" ht="15.75" customHeight="1" x14ac:dyDescent="0.35">
      <c r="A1296" s="25" t="s">
        <v>1573</v>
      </c>
      <c r="B1296" s="25" t="s">
        <v>1723</v>
      </c>
      <c r="C1296" s="26">
        <v>120508</v>
      </c>
      <c r="D1296" s="25" t="s">
        <v>1264</v>
      </c>
      <c r="E1296" s="25" t="s">
        <v>1758</v>
      </c>
      <c r="F1296" s="26" t="s">
        <v>491</v>
      </c>
      <c r="G1296" s="26" t="s">
        <v>491</v>
      </c>
      <c r="H1296" s="26"/>
      <c r="I1296" s="26"/>
      <c r="J1296" s="26">
        <v>1</v>
      </c>
      <c r="K1296" s="26">
        <v>138</v>
      </c>
      <c r="L1296" s="26" t="s">
        <v>28</v>
      </c>
      <c r="M1296" s="27">
        <v>1053</v>
      </c>
      <c r="N1296" s="28"/>
      <c r="O1296" s="26" t="s">
        <v>29</v>
      </c>
      <c r="P1296" s="29"/>
      <c r="Q1296" s="6"/>
      <c r="R1296" s="29"/>
      <c r="S1296" s="10"/>
      <c r="T1296" s="8"/>
    </row>
    <row r="1297" spans="1:20" ht="15.75" customHeight="1" x14ac:dyDescent="0.35">
      <c r="A1297" s="25" t="s">
        <v>1573</v>
      </c>
      <c r="B1297" s="25" t="s">
        <v>1723</v>
      </c>
      <c r="C1297" s="26">
        <v>120511</v>
      </c>
      <c r="D1297" s="25" t="s">
        <v>1759</v>
      </c>
      <c r="E1297" s="25" t="s">
        <v>1758</v>
      </c>
      <c r="F1297" s="26" t="s">
        <v>491</v>
      </c>
      <c r="G1297" s="26" t="s">
        <v>491</v>
      </c>
      <c r="H1297" s="26"/>
      <c r="I1297" s="26"/>
      <c r="J1297" s="26">
        <v>1</v>
      </c>
      <c r="K1297" s="26">
        <v>138</v>
      </c>
      <c r="L1297" s="26" t="s">
        <v>28</v>
      </c>
      <c r="M1297" s="27">
        <v>1054</v>
      </c>
      <c r="N1297" s="28"/>
      <c r="O1297" s="26" t="s">
        <v>29</v>
      </c>
      <c r="P1297" s="29"/>
      <c r="Q1297" s="6"/>
      <c r="R1297" s="29"/>
      <c r="S1297" s="10"/>
      <c r="T1297" s="8"/>
    </row>
    <row r="1298" spans="1:20" ht="15.75" customHeight="1" x14ac:dyDescent="0.35">
      <c r="A1298" s="25" t="s">
        <v>1573</v>
      </c>
      <c r="B1298" s="25" t="s">
        <v>1723</v>
      </c>
      <c r="C1298" s="26">
        <v>120523</v>
      </c>
      <c r="D1298" s="25" t="s">
        <v>1760</v>
      </c>
      <c r="E1298" s="25" t="s">
        <v>1758</v>
      </c>
      <c r="F1298" s="26" t="s">
        <v>491</v>
      </c>
      <c r="G1298" s="26" t="s">
        <v>491</v>
      </c>
      <c r="H1298" s="26">
        <v>1</v>
      </c>
      <c r="I1298" s="26">
        <v>5</v>
      </c>
      <c r="J1298" s="26">
        <v>1</v>
      </c>
      <c r="K1298" s="26">
        <v>138</v>
      </c>
      <c r="L1298" s="26" t="s">
        <v>28</v>
      </c>
      <c r="M1298" s="27">
        <v>1059</v>
      </c>
      <c r="N1298" s="28">
        <v>71674.73</v>
      </c>
      <c r="O1298" s="26" t="s">
        <v>29</v>
      </c>
      <c r="P1298" s="29"/>
      <c r="Q1298" s="6"/>
      <c r="R1298" s="29"/>
      <c r="S1298" s="10"/>
      <c r="T1298" s="8">
        <v>1</v>
      </c>
    </row>
    <row r="1299" spans="1:20" ht="15.75" customHeight="1" x14ac:dyDescent="0.35">
      <c r="A1299" s="25" t="s">
        <v>1573</v>
      </c>
      <c r="B1299" s="25" t="s">
        <v>1723</v>
      </c>
      <c r="C1299" s="26">
        <v>120528</v>
      </c>
      <c r="D1299" s="25" t="s">
        <v>1761</v>
      </c>
      <c r="E1299" s="25" t="s">
        <v>1758</v>
      </c>
      <c r="F1299" s="26" t="s">
        <v>215</v>
      </c>
      <c r="G1299" s="26" t="s">
        <v>215</v>
      </c>
      <c r="H1299" s="26"/>
      <c r="I1299" s="26"/>
      <c r="J1299" s="26">
        <v>1</v>
      </c>
      <c r="K1299" s="26">
        <v>138</v>
      </c>
      <c r="L1299" s="26" t="s">
        <v>28</v>
      </c>
      <c r="M1299" s="27">
        <v>1026</v>
      </c>
      <c r="N1299" s="28"/>
      <c r="O1299" s="26" t="s">
        <v>29</v>
      </c>
      <c r="P1299" s="29"/>
      <c r="Q1299" s="6"/>
      <c r="R1299" s="29"/>
      <c r="S1299" s="10"/>
      <c r="T1299" s="8"/>
    </row>
    <row r="1300" spans="1:20" ht="15.75" customHeight="1" x14ac:dyDescent="0.35">
      <c r="A1300" s="25" t="s">
        <v>1573</v>
      </c>
      <c r="B1300" s="25" t="s">
        <v>1723</v>
      </c>
      <c r="C1300" s="26">
        <v>120529</v>
      </c>
      <c r="D1300" s="25" t="s">
        <v>1762</v>
      </c>
      <c r="E1300" s="25" t="s">
        <v>1758</v>
      </c>
      <c r="F1300" s="26" t="s">
        <v>491</v>
      </c>
      <c r="G1300" s="26" t="s">
        <v>491</v>
      </c>
      <c r="H1300" s="26"/>
      <c r="I1300" s="26"/>
      <c r="J1300" s="26">
        <v>1</v>
      </c>
      <c r="K1300" s="26">
        <v>138</v>
      </c>
      <c r="L1300" s="26" t="s">
        <v>28</v>
      </c>
      <c r="M1300" s="27">
        <v>1055</v>
      </c>
      <c r="N1300" s="28"/>
      <c r="O1300" s="26" t="s">
        <v>29</v>
      </c>
      <c r="P1300" s="29"/>
      <c r="Q1300" s="6"/>
      <c r="R1300" s="29"/>
      <c r="S1300" s="10"/>
      <c r="T1300" s="8"/>
    </row>
    <row r="1301" spans="1:20" ht="15.75" customHeight="1" x14ac:dyDescent="0.35">
      <c r="A1301" s="25" t="s">
        <v>1573</v>
      </c>
      <c r="B1301" s="25" t="s">
        <v>1723</v>
      </c>
      <c r="C1301" s="26">
        <v>189518</v>
      </c>
      <c r="D1301" s="25" t="s">
        <v>1763</v>
      </c>
      <c r="E1301" s="25" t="s">
        <v>1739</v>
      </c>
      <c r="F1301" s="26" t="s">
        <v>90</v>
      </c>
      <c r="G1301" s="26" t="s">
        <v>90</v>
      </c>
      <c r="H1301" s="26"/>
      <c r="I1301" s="26"/>
      <c r="J1301" s="26">
        <v>1</v>
      </c>
      <c r="K1301" s="26">
        <v>138</v>
      </c>
      <c r="L1301" s="26" t="s">
        <v>28</v>
      </c>
      <c r="M1301" s="27">
        <v>1046</v>
      </c>
      <c r="N1301" s="28"/>
      <c r="O1301" s="26" t="s">
        <v>29</v>
      </c>
      <c r="P1301" s="29"/>
      <c r="Q1301" s="6"/>
      <c r="R1301" s="29"/>
      <c r="S1301" s="10"/>
      <c r="T1301" s="8"/>
    </row>
    <row r="1302" spans="1:20" ht="15.75" customHeight="1" x14ac:dyDescent="0.35">
      <c r="A1302" s="25" t="s">
        <v>1573</v>
      </c>
      <c r="B1302" s="25" t="s">
        <v>1723</v>
      </c>
      <c r="C1302" s="26">
        <v>189521</v>
      </c>
      <c r="D1302" s="25" t="s">
        <v>1764</v>
      </c>
      <c r="E1302" s="25" t="s">
        <v>1758</v>
      </c>
      <c r="F1302" s="26" t="s">
        <v>491</v>
      </c>
      <c r="G1302" s="26" t="s">
        <v>491</v>
      </c>
      <c r="H1302" s="26">
        <v>1</v>
      </c>
      <c r="I1302" s="26">
        <v>3</v>
      </c>
      <c r="J1302" s="26">
        <v>1</v>
      </c>
      <c r="K1302" s="26">
        <v>138</v>
      </c>
      <c r="L1302" s="26" t="s">
        <v>28</v>
      </c>
      <c r="M1302" s="27">
        <v>1061</v>
      </c>
      <c r="N1302" s="28">
        <v>52592.75</v>
      </c>
      <c r="O1302" s="26" t="s">
        <v>29</v>
      </c>
      <c r="P1302" s="29"/>
      <c r="Q1302" s="6"/>
      <c r="R1302" s="29"/>
      <c r="S1302" s="10"/>
      <c r="T1302" s="8">
        <v>1</v>
      </c>
    </row>
    <row r="1303" spans="1:20" ht="15.75" customHeight="1" x14ac:dyDescent="0.35">
      <c r="A1303" s="25" t="s">
        <v>1573</v>
      </c>
      <c r="B1303" s="25" t="s">
        <v>1723</v>
      </c>
      <c r="C1303" s="26">
        <v>189530</v>
      </c>
      <c r="D1303" s="25" t="s">
        <v>1765</v>
      </c>
      <c r="E1303" s="25" t="s">
        <v>1739</v>
      </c>
      <c r="F1303" s="26" t="s">
        <v>90</v>
      </c>
      <c r="G1303" s="26" t="s">
        <v>90</v>
      </c>
      <c r="H1303" s="26">
        <v>1</v>
      </c>
      <c r="I1303" s="26">
        <v>2</v>
      </c>
      <c r="J1303" s="26">
        <v>1</v>
      </c>
      <c r="K1303" s="26">
        <v>138</v>
      </c>
      <c r="L1303" s="26" t="s">
        <v>28</v>
      </c>
      <c r="M1303" s="27">
        <v>1036</v>
      </c>
      <c r="N1303" s="28">
        <v>39782.199999999997</v>
      </c>
      <c r="O1303" s="26" t="s">
        <v>29</v>
      </c>
      <c r="P1303" s="29"/>
      <c r="Q1303" s="6"/>
      <c r="R1303" s="29"/>
      <c r="S1303" s="10"/>
      <c r="T1303" s="8">
        <v>1</v>
      </c>
    </row>
    <row r="1304" spans="1:20" ht="15.75" customHeight="1" x14ac:dyDescent="0.35">
      <c r="A1304" s="25" t="s">
        <v>1573</v>
      </c>
      <c r="B1304" s="25" t="s">
        <v>1723</v>
      </c>
      <c r="C1304" s="26">
        <v>312965</v>
      </c>
      <c r="D1304" s="25" t="s">
        <v>1766</v>
      </c>
      <c r="E1304" s="25" t="s">
        <v>1730</v>
      </c>
      <c r="F1304" s="26" t="s">
        <v>215</v>
      </c>
      <c r="G1304" s="26" t="s">
        <v>215</v>
      </c>
      <c r="H1304" s="26"/>
      <c r="I1304" s="26"/>
      <c r="J1304" s="26">
        <v>1</v>
      </c>
      <c r="K1304" s="26">
        <v>138</v>
      </c>
      <c r="L1304" s="26" t="s">
        <v>28</v>
      </c>
      <c r="M1304" s="27">
        <v>1030</v>
      </c>
      <c r="N1304" s="28"/>
      <c r="O1304" s="26" t="s">
        <v>29</v>
      </c>
      <c r="P1304" s="29"/>
      <c r="Q1304" s="6"/>
      <c r="R1304" s="29"/>
      <c r="S1304" s="10"/>
      <c r="T1304" s="8"/>
    </row>
    <row r="1305" spans="1:20" ht="15.75" customHeight="1" x14ac:dyDescent="0.35">
      <c r="A1305" s="25" t="s">
        <v>1573</v>
      </c>
      <c r="B1305" s="25" t="s">
        <v>1723</v>
      </c>
      <c r="C1305" s="26">
        <v>312967</v>
      </c>
      <c r="D1305" s="25" t="s">
        <v>1767</v>
      </c>
      <c r="E1305" s="25" t="s">
        <v>1739</v>
      </c>
      <c r="F1305" s="26" t="s">
        <v>90</v>
      </c>
      <c r="G1305" s="26" t="s">
        <v>90</v>
      </c>
      <c r="H1305" s="26"/>
      <c r="I1305" s="26"/>
      <c r="J1305" s="26">
        <v>1</v>
      </c>
      <c r="K1305" s="26">
        <v>138</v>
      </c>
      <c r="L1305" s="26" t="s">
        <v>28</v>
      </c>
      <c r="M1305" s="27">
        <v>1043</v>
      </c>
      <c r="N1305" s="28"/>
      <c r="O1305" s="26" t="s">
        <v>29</v>
      </c>
      <c r="P1305" s="29"/>
      <c r="Q1305" s="6"/>
      <c r="R1305" s="29"/>
      <c r="S1305" s="10"/>
      <c r="T1305" s="8"/>
    </row>
    <row r="1306" spans="1:20" ht="15.75" customHeight="1" x14ac:dyDescent="0.35">
      <c r="A1306" s="25" t="s">
        <v>1573</v>
      </c>
      <c r="B1306" s="25" t="s">
        <v>1723</v>
      </c>
      <c r="C1306" s="26">
        <v>312968</v>
      </c>
      <c r="D1306" s="25" t="s">
        <v>1768</v>
      </c>
      <c r="E1306" s="25" t="s">
        <v>1751</v>
      </c>
      <c r="F1306" s="26" t="s">
        <v>491</v>
      </c>
      <c r="G1306" s="26" t="s">
        <v>491</v>
      </c>
      <c r="H1306" s="26"/>
      <c r="I1306" s="26"/>
      <c r="J1306" s="26">
        <v>1</v>
      </c>
      <c r="K1306" s="26">
        <v>138</v>
      </c>
      <c r="L1306" s="26" t="s">
        <v>28</v>
      </c>
      <c r="M1306" s="27">
        <v>1058</v>
      </c>
      <c r="N1306" s="28"/>
      <c r="O1306" s="26" t="s">
        <v>29</v>
      </c>
      <c r="P1306" s="29"/>
      <c r="Q1306" s="6"/>
      <c r="R1306" s="29"/>
      <c r="S1306" s="10"/>
      <c r="T1306" s="8"/>
    </row>
    <row r="1307" spans="1:20" ht="15.75" customHeight="1" x14ac:dyDescent="0.35">
      <c r="A1307" s="25" t="s">
        <v>1573</v>
      </c>
      <c r="B1307" s="25" t="s">
        <v>1723</v>
      </c>
      <c r="C1307" s="26">
        <v>312970</v>
      </c>
      <c r="D1307" s="25" t="s">
        <v>1769</v>
      </c>
      <c r="E1307" s="25" t="s">
        <v>1751</v>
      </c>
      <c r="F1307" s="26" t="s">
        <v>491</v>
      </c>
      <c r="G1307" s="26" t="s">
        <v>491</v>
      </c>
      <c r="H1307" s="26"/>
      <c r="I1307" s="26"/>
      <c r="J1307" s="26">
        <v>1</v>
      </c>
      <c r="K1307" s="26">
        <v>138</v>
      </c>
      <c r="L1307" s="26" t="s">
        <v>28</v>
      </c>
      <c r="M1307" s="27">
        <v>1051</v>
      </c>
      <c r="N1307" s="28"/>
      <c r="O1307" s="26" t="s">
        <v>29</v>
      </c>
      <c r="P1307" s="29"/>
      <c r="Q1307" s="6"/>
      <c r="R1307" s="29"/>
      <c r="S1307" s="10"/>
      <c r="T1307" s="8"/>
    </row>
    <row r="1308" spans="1:20" ht="15.75" customHeight="1" x14ac:dyDescent="0.35">
      <c r="A1308" s="25" t="s">
        <v>1573</v>
      </c>
      <c r="B1308" s="25" t="s">
        <v>1770</v>
      </c>
      <c r="C1308" s="26">
        <v>190008</v>
      </c>
      <c r="D1308" s="25" t="s">
        <v>1771</v>
      </c>
      <c r="E1308" s="25" t="s">
        <v>1772</v>
      </c>
      <c r="F1308" s="26" t="s">
        <v>27</v>
      </c>
      <c r="G1308" s="26" t="s">
        <v>27</v>
      </c>
      <c r="H1308" s="26">
        <v>1</v>
      </c>
      <c r="I1308" s="26">
        <v>4</v>
      </c>
      <c r="J1308" s="26">
        <v>1</v>
      </c>
      <c r="K1308" s="26">
        <v>138</v>
      </c>
      <c r="L1308" s="26" t="s">
        <v>28</v>
      </c>
      <c r="M1308" s="27">
        <v>1921</v>
      </c>
      <c r="N1308" s="28">
        <v>75845.97</v>
      </c>
      <c r="O1308" s="26" t="s">
        <v>29</v>
      </c>
      <c r="P1308" s="29"/>
      <c r="Q1308" s="6"/>
      <c r="R1308" s="29"/>
      <c r="S1308" s="10"/>
      <c r="T1308" s="8">
        <v>1</v>
      </c>
    </row>
    <row r="1309" spans="1:20" ht="15.75" customHeight="1" x14ac:dyDescent="0.35">
      <c r="A1309" s="25" t="s">
        <v>1573</v>
      </c>
      <c r="B1309" s="25" t="s">
        <v>1770</v>
      </c>
      <c r="C1309" s="26">
        <v>313001</v>
      </c>
      <c r="D1309" s="25" t="s">
        <v>1773</v>
      </c>
      <c r="E1309" s="25" t="s">
        <v>1774</v>
      </c>
      <c r="F1309" s="26" t="s">
        <v>27</v>
      </c>
      <c r="G1309" s="26" t="s">
        <v>27</v>
      </c>
      <c r="H1309" s="26"/>
      <c r="I1309" s="26"/>
      <c r="J1309" s="26">
        <v>1</v>
      </c>
      <c r="K1309" s="26">
        <v>138</v>
      </c>
      <c r="L1309" s="26" t="s">
        <v>28</v>
      </c>
      <c r="M1309" s="27">
        <v>1920</v>
      </c>
      <c r="N1309" s="28"/>
      <c r="O1309" s="26" t="s">
        <v>29</v>
      </c>
      <c r="P1309" s="29"/>
      <c r="Q1309" s="6"/>
      <c r="R1309" s="29"/>
      <c r="S1309" s="10"/>
      <c r="T1309" s="8"/>
    </row>
    <row r="1310" spans="1:20" ht="15.75" customHeight="1" x14ac:dyDescent="0.35">
      <c r="A1310" s="25" t="s">
        <v>1573</v>
      </c>
      <c r="B1310" s="25" t="s">
        <v>1775</v>
      </c>
      <c r="C1310" s="26">
        <v>233505</v>
      </c>
      <c r="D1310" s="25" t="s">
        <v>1776</v>
      </c>
      <c r="E1310" s="25" t="s">
        <v>1777</v>
      </c>
      <c r="F1310" s="26" t="s">
        <v>215</v>
      </c>
      <c r="G1310" s="26" t="s">
        <v>215</v>
      </c>
      <c r="H1310" s="26"/>
      <c r="I1310" s="26"/>
      <c r="J1310" s="26">
        <v>1</v>
      </c>
      <c r="K1310" s="26">
        <v>138</v>
      </c>
      <c r="L1310" s="26" t="s">
        <v>28</v>
      </c>
      <c r="M1310" s="27">
        <v>1922</v>
      </c>
      <c r="N1310" s="28"/>
      <c r="O1310" s="26" t="s">
        <v>29</v>
      </c>
      <c r="P1310" s="29"/>
      <c r="Q1310" s="6"/>
      <c r="R1310" s="29"/>
      <c r="S1310" s="10"/>
      <c r="T1310" s="8"/>
    </row>
    <row r="1311" spans="1:20" ht="15.75" customHeight="1" x14ac:dyDescent="0.35">
      <c r="A1311" s="25" t="s">
        <v>1573</v>
      </c>
      <c r="B1311" s="25" t="s">
        <v>1778</v>
      </c>
      <c r="C1311" s="26">
        <v>120543</v>
      </c>
      <c r="D1311" s="25" t="s">
        <v>1779</v>
      </c>
      <c r="E1311" s="25" t="s">
        <v>1780</v>
      </c>
      <c r="F1311" s="26" t="s">
        <v>90</v>
      </c>
      <c r="G1311" s="26" t="s">
        <v>90</v>
      </c>
      <c r="H1311" s="26"/>
      <c r="I1311" s="26"/>
      <c r="J1311" s="26">
        <v>1</v>
      </c>
      <c r="K1311" s="26">
        <v>138</v>
      </c>
      <c r="L1311" s="26" t="s">
        <v>28</v>
      </c>
      <c r="M1311" s="27">
        <v>1086</v>
      </c>
      <c r="N1311" s="28"/>
      <c r="O1311" s="26" t="s">
        <v>29</v>
      </c>
      <c r="P1311" s="29"/>
      <c r="Q1311" s="6"/>
      <c r="R1311" s="29"/>
      <c r="S1311" s="10"/>
      <c r="T1311" s="8"/>
    </row>
    <row r="1312" spans="1:20" ht="15.75" customHeight="1" x14ac:dyDescent="0.35">
      <c r="A1312" s="25" t="s">
        <v>1573</v>
      </c>
      <c r="B1312" s="25" t="s">
        <v>1778</v>
      </c>
      <c r="C1312" s="26">
        <v>120545</v>
      </c>
      <c r="D1312" s="25" t="s">
        <v>1781</v>
      </c>
      <c r="E1312" s="25" t="s">
        <v>1780</v>
      </c>
      <c r="F1312" s="26" t="s">
        <v>90</v>
      </c>
      <c r="G1312" s="26" t="s">
        <v>90</v>
      </c>
      <c r="H1312" s="26">
        <v>1</v>
      </c>
      <c r="I1312" s="26">
        <v>5</v>
      </c>
      <c r="J1312" s="26">
        <v>1</v>
      </c>
      <c r="K1312" s="26">
        <v>138</v>
      </c>
      <c r="L1312" s="26" t="s">
        <v>28</v>
      </c>
      <c r="M1312" s="27">
        <v>1088</v>
      </c>
      <c r="N1312" s="28">
        <v>481609.38</v>
      </c>
      <c r="O1312" s="26" t="s">
        <v>29</v>
      </c>
      <c r="P1312" s="29"/>
      <c r="Q1312" s="6"/>
      <c r="R1312" s="29"/>
      <c r="S1312" s="10"/>
      <c r="T1312" s="8">
        <v>1</v>
      </c>
    </row>
    <row r="1313" spans="1:20" ht="15.75" customHeight="1" x14ac:dyDescent="0.35">
      <c r="A1313" s="25" t="s">
        <v>1573</v>
      </c>
      <c r="B1313" s="25" t="s">
        <v>1778</v>
      </c>
      <c r="C1313" s="26">
        <v>120546</v>
      </c>
      <c r="D1313" s="25" t="s">
        <v>1782</v>
      </c>
      <c r="E1313" s="25" t="s">
        <v>1780</v>
      </c>
      <c r="F1313" s="26" t="s">
        <v>90</v>
      </c>
      <c r="G1313" s="26" t="s">
        <v>90</v>
      </c>
      <c r="H1313" s="26">
        <v>1</v>
      </c>
      <c r="I1313" s="26">
        <v>9</v>
      </c>
      <c r="J1313" s="26">
        <v>1</v>
      </c>
      <c r="K1313" s="26">
        <v>138</v>
      </c>
      <c r="L1313" s="26" t="s">
        <v>28</v>
      </c>
      <c r="M1313" s="27">
        <v>1089</v>
      </c>
      <c r="N1313" s="28">
        <v>349670.02</v>
      </c>
      <c r="O1313" s="26" t="s">
        <v>29</v>
      </c>
      <c r="P1313" s="29"/>
      <c r="Q1313" s="6"/>
      <c r="R1313" s="29"/>
      <c r="S1313" s="10"/>
      <c r="T1313" s="8">
        <v>1</v>
      </c>
    </row>
    <row r="1314" spans="1:20" ht="15.75" customHeight="1" x14ac:dyDescent="0.35">
      <c r="A1314" s="25" t="s">
        <v>1573</v>
      </c>
      <c r="B1314" s="25" t="s">
        <v>1778</v>
      </c>
      <c r="C1314" s="26">
        <v>120555</v>
      </c>
      <c r="D1314" s="25" t="s">
        <v>1783</v>
      </c>
      <c r="E1314" s="25" t="s">
        <v>1780</v>
      </c>
      <c r="F1314" s="26" t="s">
        <v>90</v>
      </c>
      <c r="G1314" s="26" t="s">
        <v>90</v>
      </c>
      <c r="H1314" s="26"/>
      <c r="I1314" s="26"/>
      <c r="J1314" s="26">
        <v>1</v>
      </c>
      <c r="K1314" s="26">
        <v>138</v>
      </c>
      <c r="L1314" s="26" t="s">
        <v>28</v>
      </c>
      <c r="M1314" s="27">
        <v>1090</v>
      </c>
      <c r="N1314" s="28"/>
      <c r="O1314" s="26" t="s">
        <v>29</v>
      </c>
      <c r="P1314" s="29"/>
      <c r="Q1314" s="6"/>
      <c r="R1314" s="29"/>
      <c r="S1314" s="10"/>
      <c r="T1314" s="8"/>
    </row>
    <row r="1315" spans="1:20" ht="15.75" customHeight="1" x14ac:dyDescent="0.35">
      <c r="A1315" s="25" t="s">
        <v>1573</v>
      </c>
      <c r="B1315" s="25" t="s">
        <v>1778</v>
      </c>
      <c r="C1315" s="26">
        <v>120558</v>
      </c>
      <c r="D1315" s="25" t="s">
        <v>1784</v>
      </c>
      <c r="E1315" s="25" t="s">
        <v>1780</v>
      </c>
      <c r="F1315" s="26" t="s">
        <v>90</v>
      </c>
      <c r="G1315" s="26" t="s">
        <v>90</v>
      </c>
      <c r="H1315" s="26">
        <v>1</v>
      </c>
      <c r="I1315" s="26">
        <v>4</v>
      </c>
      <c r="J1315" s="26">
        <v>1</v>
      </c>
      <c r="K1315" s="26">
        <v>138</v>
      </c>
      <c r="L1315" s="26" t="s">
        <v>28</v>
      </c>
      <c r="M1315" s="27">
        <v>1092</v>
      </c>
      <c r="N1315" s="28">
        <v>447814.41</v>
      </c>
      <c r="O1315" s="26" t="s">
        <v>29</v>
      </c>
      <c r="P1315" s="29"/>
      <c r="Q1315" s="6"/>
      <c r="R1315" s="29"/>
      <c r="S1315" s="10"/>
      <c r="T1315" s="8">
        <v>1</v>
      </c>
    </row>
    <row r="1316" spans="1:20" ht="15.75" customHeight="1" x14ac:dyDescent="0.35">
      <c r="A1316" s="25" t="s">
        <v>1573</v>
      </c>
      <c r="B1316" s="25" t="s">
        <v>1778</v>
      </c>
      <c r="C1316" s="26">
        <v>120561</v>
      </c>
      <c r="D1316" s="25" t="s">
        <v>1785</v>
      </c>
      <c r="E1316" s="25" t="s">
        <v>1780</v>
      </c>
      <c r="F1316" s="26" t="s">
        <v>90</v>
      </c>
      <c r="G1316" s="26" t="s">
        <v>90</v>
      </c>
      <c r="H1316" s="26"/>
      <c r="I1316" s="26"/>
      <c r="J1316" s="26">
        <v>1</v>
      </c>
      <c r="K1316" s="26">
        <v>138</v>
      </c>
      <c r="L1316" s="26" t="s">
        <v>28</v>
      </c>
      <c r="M1316" s="27">
        <v>1094</v>
      </c>
      <c r="N1316" s="28"/>
      <c r="O1316" s="26" t="s">
        <v>29</v>
      </c>
      <c r="P1316" s="29"/>
      <c r="Q1316" s="6"/>
      <c r="R1316" s="29"/>
      <c r="S1316" s="10"/>
      <c r="T1316" s="8"/>
    </row>
    <row r="1317" spans="1:20" ht="15.75" customHeight="1" x14ac:dyDescent="0.35">
      <c r="A1317" s="25" t="s">
        <v>1573</v>
      </c>
      <c r="B1317" s="25" t="s">
        <v>1778</v>
      </c>
      <c r="C1317" s="26">
        <v>120565</v>
      </c>
      <c r="D1317" s="25" t="s">
        <v>1786</v>
      </c>
      <c r="E1317" s="25" t="s">
        <v>1780</v>
      </c>
      <c r="F1317" s="26" t="s">
        <v>90</v>
      </c>
      <c r="G1317" s="26" t="s">
        <v>90</v>
      </c>
      <c r="H1317" s="26"/>
      <c r="I1317" s="26"/>
      <c r="J1317" s="26">
        <v>1</v>
      </c>
      <c r="K1317" s="26">
        <v>138</v>
      </c>
      <c r="L1317" s="26" t="s">
        <v>28</v>
      </c>
      <c r="M1317" s="27">
        <v>1095</v>
      </c>
      <c r="N1317" s="28"/>
      <c r="O1317" s="26" t="s">
        <v>29</v>
      </c>
      <c r="P1317" s="29"/>
      <c r="Q1317" s="6"/>
      <c r="R1317" s="29"/>
      <c r="S1317" s="10"/>
      <c r="T1317" s="8"/>
    </row>
    <row r="1318" spans="1:20" ht="15.75" customHeight="1" x14ac:dyDescent="0.35">
      <c r="A1318" s="25" t="s">
        <v>1573</v>
      </c>
      <c r="B1318" s="25" t="s">
        <v>1778</v>
      </c>
      <c r="C1318" s="26">
        <v>234004</v>
      </c>
      <c r="D1318" s="25" t="s">
        <v>1787</v>
      </c>
      <c r="E1318" s="25" t="s">
        <v>1780</v>
      </c>
      <c r="F1318" s="26" t="s">
        <v>90</v>
      </c>
      <c r="G1318" s="26" t="s">
        <v>90</v>
      </c>
      <c r="H1318" s="26"/>
      <c r="I1318" s="26"/>
      <c r="J1318" s="26">
        <v>1</v>
      </c>
      <c r="K1318" s="26">
        <v>138</v>
      </c>
      <c r="L1318" s="26" t="s">
        <v>28</v>
      </c>
      <c r="M1318" s="27">
        <v>1091</v>
      </c>
      <c r="N1318" s="28"/>
      <c r="O1318" s="26" t="s">
        <v>29</v>
      </c>
      <c r="P1318" s="29"/>
      <c r="Q1318" s="6"/>
      <c r="R1318" s="29"/>
      <c r="S1318" s="10"/>
      <c r="T1318" s="8"/>
    </row>
    <row r="1319" spans="1:20" ht="15.75" customHeight="1" x14ac:dyDescent="0.35">
      <c r="A1319" s="25" t="s">
        <v>1573</v>
      </c>
      <c r="B1319" s="25" t="s">
        <v>1778</v>
      </c>
      <c r="C1319" s="26">
        <v>234005</v>
      </c>
      <c r="D1319" s="25" t="s">
        <v>1788</v>
      </c>
      <c r="E1319" s="25" t="s">
        <v>1780</v>
      </c>
      <c r="F1319" s="26" t="s">
        <v>90</v>
      </c>
      <c r="G1319" s="26" t="s">
        <v>90</v>
      </c>
      <c r="H1319" s="26">
        <v>1</v>
      </c>
      <c r="I1319" s="26">
        <v>6</v>
      </c>
      <c r="J1319" s="26">
        <v>1</v>
      </c>
      <c r="K1319" s="26">
        <v>138</v>
      </c>
      <c r="L1319" s="26" t="s">
        <v>28</v>
      </c>
      <c r="M1319" s="27">
        <v>1087</v>
      </c>
      <c r="N1319" s="28">
        <v>532231.31999999995</v>
      </c>
      <c r="O1319" s="26" t="s">
        <v>29</v>
      </c>
      <c r="P1319" s="29"/>
      <c r="Q1319" s="6"/>
      <c r="R1319" s="29"/>
      <c r="S1319" s="10"/>
      <c r="T1319" s="8">
        <v>1</v>
      </c>
    </row>
    <row r="1320" spans="1:20" ht="15.75" customHeight="1" x14ac:dyDescent="0.35">
      <c r="A1320" s="25" t="s">
        <v>1573</v>
      </c>
      <c r="B1320" s="25" t="s">
        <v>1778</v>
      </c>
      <c r="C1320" s="26">
        <v>322306</v>
      </c>
      <c r="D1320" s="25" t="s">
        <v>1789</v>
      </c>
      <c r="E1320" s="25" t="s">
        <v>1780</v>
      </c>
      <c r="F1320" s="26" t="s">
        <v>90</v>
      </c>
      <c r="G1320" s="26" t="s">
        <v>90</v>
      </c>
      <c r="H1320" s="26">
        <v>1</v>
      </c>
      <c r="I1320" s="26">
        <v>4</v>
      </c>
      <c r="J1320" s="26">
        <v>1</v>
      </c>
      <c r="K1320" s="26">
        <v>138</v>
      </c>
      <c r="L1320" s="26" t="s">
        <v>28</v>
      </c>
      <c r="M1320" s="27">
        <v>1093</v>
      </c>
      <c r="N1320" s="28">
        <v>597036.67000000004</v>
      </c>
      <c r="O1320" s="26" t="s">
        <v>29</v>
      </c>
      <c r="P1320" s="29"/>
      <c r="Q1320" s="6"/>
      <c r="R1320" s="29"/>
      <c r="S1320" s="10"/>
      <c r="T1320" s="8">
        <v>1</v>
      </c>
    </row>
    <row r="1321" spans="1:20" ht="15.75" customHeight="1" x14ac:dyDescent="0.35">
      <c r="A1321" s="25" t="s">
        <v>1573</v>
      </c>
      <c r="B1321" s="25" t="s">
        <v>1790</v>
      </c>
      <c r="C1321" s="26">
        <v>120718</v>
      </c>
      <c r="D1321" s="25" t="s">
        <v>1791</v>
      </c>
      <c r="E1321" s="25" t="s">
        <v>1792</v>
      </c>
      <c r="F1321" s="26" t="s">
        <v>491</v>
      </c>
      <c r="G1321" s="26" t="s">
        <v>491</v>
      </c>
      <c r="H1321" s="26"/>
      <c r="I1321" s="26"/>
      <c r="J1321" s="26">
        <v>1</v>
      </c>
      <c r="K1321" s="26">
        <v>138</v>
      </c>
      <c r="L1321" s="26" t="s">
        <v>28</v>
      </c>
      <c r="M1321" s="27">
        <v>1923</v>
      </c>
      <c r="N1321" s="28"/>
      <c r="O1321" s="26" t="s">
        <v>29</v>
      </c>
      <c r="P1321" s="29"/>
      <c r="Q1321" s="6"/>
      <c r="R1321" s="29"/>
      <c r="S1321" s="10"/>
      <c r="T1321" s="8"/>
    </row>
    <row r="1322" spans="1:20" ht="15.75" customHeight="1" x14ac:dyDescent="0.35">
      <c r="A1322" s="25" t="s">
        <v>1573</v>
      </c>
      <c r="B1322" s="25" t="s">
        <v>1790</v>
      </c>
      <c r="C1322" s="26">
        <v>120736</v>
      </c>
      <c r="D1322" s="25" t="s">
        <v>1793</v>
      </c>
      <c r="E1322" s="25" t="s">
        <v>1792</v>
      </c>
      <c r="F1322" s="26" t="s">
        <v>491</v>
      </c>
      <c r="G1322" s="26" t="s">
        <v>491</v>
      </c>
      <c r="H1322" s="26"/>
      <c r="I1322" s="26"/>
      <c r="J1322" s="26">
        <v>1</v>
      </c>
      <c r="K1322" s="26">
        <v>138</v>
      </c>
      <c r="L1322" s="26" t="s">
        <v>28</v>
      </c>
      <c r="M1322" s="27">
        <v>1924</v>
      </c>
      <c r="N1322" s="28"/>
      <c r="O1322" s="26" t="s">
        <v>29</v>
      </c>
      <c r="P1322" s="29"/>
      <c r="Q1322" s="6"/>
      <c r="R1322" s="29"/>
      <c r="S1322" s="10"/>
      <c r="T1322" s="8"/>
    </row>
    <row r="1323" spans="1:20" ht="15.75" customHeight="1" x14ac:dyDescent="0.35">
      <c r="A1323" s="25" t="s">
        <v>1794</v>
      </c>
      <c r="B1323" s="25" t="s">
        <v>1795</v>
      </c>
      <c r="C1323" s="26">
        <v>122400</v>
      </c>
      <c r="D1323" s="25" t="s">
        <v>1796</v>
      </c>
      <c r="E1323" s="25" t="s">
        <v>1797</v>
      </c>
      <c r="F1323" s="26" t="s">
        <v>27</v>
      </c>
      <c r="G1323" s="26" t="s">
        <v>27</v>
      </c>
      <c r="H1323" s="26">
        <v>1</v>
      </c>
      <c r="I1323" s="26">
        <v>2</v>
      </c>
      <c r="J1323" s="26">
        <v>1</v>
      </c>
      <c r="K1323" s="26">
        <v>138</v>
      </c>
      <c r="L1323" s="26" t="s">
        <v>28</v>
      </c>
      <c r="M1323" s="27">
        <v>1925</v>
      </c>
      <c r="N1323" s="30">
        <v>245013.26</v>
      </c>
      <c r="O1323" s="26" t="s">
        <v>29</v>
      </c>
      <c r="P1323" s="29"/>
      <c r="Q1323" s="6"/>
      <c r="R1323" s="29"/>
      <c r="S1323" s="10"/>
      <c r="T1323" s="8">
        <v>1</v>
      </c>
    </row>
    <row r="1324" spans="1:20" ht="15.75" customHeight="1" x14ac:dyDescent="0.35">
      <c r="A1324" s="25" t="s">
        <v>1794</v>
      </c>
      <c r="B1324" s="25" t="s">
        <v>1798</v>
      </c>
      <c r="C1324" s="26">
        <v>122324</v>
      </c>
      <c r="D1324" s="25" t="s">
        <v>888</v>
      </c>
      <c r="E1324" s="25" t="s">
        <v>1799</v>
      </c>
      <c r="F1324" s="26" t="s">
        <v>27</v>
      </c>
      <c r="G1324" s="26" t="s">
        <v>27</v>
      </c>
      <c r="H1324" s="26">
        <v>1</v>
      </c>
      <c r="I1324" s="26">
        <v>1</v>
      </c>
      <c r="J1324" s="26">
        <v>1</v>
      </c>
      <c r="K1324" s="26">
        <v>138</v>
      </c>
      <c r="L1324" s="26" t="s">
        <v>28</v>
      </c>
      <c r="M1324" s="27">
        <v>1927</v>
      </c>
      <c r="N1324" s="30">
        <v>190242.77</v>
      </c>
      <c r="O1324" s="26" t="s">
        <v>29</v>
      </c>
      <c r="P1324" s="29"/>
      <c r="Q1324" s="6"/>
      <c r="R1324" s="29"/>
      <c r="S1324" s="10"/>
      <c r="T1324" s="8">
        <v>1</v>
      </c>
    </row>
    <row r="1325" spans="1:20" ht="15.75" customHeight="1" x14ac:dyDescent="0.35">
      <c r="A1325" s="25" t="s">
        <v>1794</v>
      </c>
      <c r="B1325" s="25" t="s">
        <v>1798</v>
      </c>
      <c r="C1325" s="26">
        <v>122328</v>
      </c>
      <c r="D1325" s="25" t="s">
        <v>1800</v>
      </c>
      <c r="E1325" s="25" t="s">
        <v>1799</v>
      </c>
      <c r="F1325" s="26" t="s">
        <v>27</v>
      </c>
      <c r="G1325" s="26" t="s">
        <v>27</v>
      </c>
      <c r="H1325" s="26"/>
      <c r="I1325" s="26"/>
      <c r="J1325" s="26">
        <v>1</v>
      </c>
      <c r="K1325" s="26">
        <v>138</v>
      </c>
      <c r="L1325" s="26" t="s">
        <v>28</v>
      </c>
      <c r="M1325" s="27">
        <v>1936</v>
      </c>
      <c r="N1325" s="28"/>
      <c r="O1325" s="26" t="s">
        <v>29</v>
      </c>
      <c r="P1325" s="29"/>
      <c r="Q1325" s="6"/>
      <c r="R1325" s="29"/>
      <c r="S1325" s="10"/>
      <c r="T1325" s="8"/>
    </row>
    <row r="1326" spans="1:20" ht="15.75" customHeight="1" x14ac:dyDescent="0.35">
      <c r="A1326" s="25" t="s">
        <v>1794</v>
      </c>
      <c r="B1326" s="25" t="s">
        <v>1798</v>
      </c>
      <c r="C1326" s="26">
        <v>122330</v>
      </c>
      <c r="D1326" s="25" t="s">
        <v>1801</v>
      </c>
      <c r="E1326" s="25" t="s">
        <v>1799</v>
      </c>
      <c r="F1326" s="26" t="s">
        <v>27</v>
      </c>
      <c r="G1326" s="26" t="s">
        <v>27</v>
      </c>
      <c r="H1326" s="26">
        <v>1</v>
      </c>
      <c r="I1326" s="26">
        <v>2</v>
      </c>
      <c r="J1326" s="26">
        <v>1</v>
      </c>
      <c r="K1326" s="26">
        <v>138</v>
      </c>
      <c r="L1326" s="26" t="s">
        <v>28</v>
      </c>
      <c r="M1326" s="27">
        <v>1943</v>
      </c>
      <c r="N1326" s="30">
        <v>228038.08</v>
      </c>
      <c r="O1326" s="26" t="s">
        <v>29</v>
      </c>
      <c r="P1326" s="29"/>
      <c r="Q1326" s="6"/>
      <c r="R1326" s="29"/>
      <c r="S1326" s="10"/>
      <c r="T1326" s="8">
        <v>1</v>
      </c>
    </row>
    <row r="1327" spans="1:20" ht="15.75" customHeight="1" x14ac:dyDescent="0.35">
      <c r="A1327" s="25" t="s">
        <v>1794</v>
      </c>
      <c r="B1327" s="25" t="s">
        <v>1798</v>
      </c>
      <c r="C1327" s="26">
        <v>122331</v>
      </c>
      <c r="D1327" s="25" t="s">
        <v>1802</v>
      </c>
      <c r="E1327" s="25" t="s">
        <v>1799</v>
      </c>
      <c r="F1327" s="26" t="s">
        <v>27</v>
      </c>
      <c r="G1327" s="26" t="s">
        <v>27</v>
      </c>
      <c r="H1327" s="26">
        <v>1</v>
      </c>
      <c r="I1327" s="26">
        <v>1</v>
      </c>
      <c r="J1327" s="26">
        <v>1</v>
      </c>
      <c r="K1327" s="26">
        <v>138</v>
      </c>
      <c r="L1327" s="26" t="s">
        <v>28</v>
      </c>
      <c r="M1327" s="27">
        <v>1948</v>
      </c>
      <c r="N1327" s="30">
        <v>171252.93</v>
      </c>
      <c r="O1327" s="26" t="s">
        <v>29</v>
      </c>
      <c r="P1327" s="29"/>
      <c r="Q1327" s="6"/>
      <c r="R1327" s="29"/>
      <c r="S1327" s="10"/>
      <c r="T1327" s="8">
        <v>1</v>
      </c>
    </row>
    <row r="1328" spans="1:20" ht="15.75" customHeight="1" x14ac:dyDescent="0.35">
      <c r="A1328" s="25" t="s">
        <v>1794</v>
      </c>
      <c r="B1328" s="25" t="s">
        <v>1798</v>
      </c>
      <c r="C1328" s="26">
        <v>122333</v>
      </c>
      <c r="D1328" s="25" t="s">
        <v>1803</v>
      </c>
      <c r="E1328" s="25" t="s">
        <v>1799</v>
      </c>
      <c r="F1328" s="26" t="s">
        <v>27</v>
      </c>
      <c r="G1328" s="26" t="s">
        <v>27</v>
      </c>
      <c r="H1328" s="26">
        <v>1</v>
      </c>
      <c r="I1328" s="26">
        <v>1</v>
      </c>
      <c r="J1328" s="26">
        <v>1</v>
      </c>
      <c r="K1328" s="26">
        <v>138</v>
      </c>
      <c r="L1328" s="26" t="s">
        <v>28</v>
      </c>
      <c r="M1328" s="27">
        <v>1951</v>
      </c>
      <c r="N1328" s="30">
        <v>189411.34</v>
      </c>
      <c r="O1328" s="26" t="s">
        <v>29</v>
      </c>
      <c r="P1328" s="29"/>
      <c r="Q1328" s="6"/>
      <c r="R1328" s="29"/>
      <c r="S1328" s="10"/>
      <c r="T1328" s="8">
        <v>1</v>
      </c>
    </row>
    <row r="1329" spans="1:20" ht="15.75" customHeight="1" x14ac:dyDescent="0.35">
      <c r="A1329" s="25" t="s">
        <v>1794</v>
      </c>
      <c r="B1329" s="25" t="s">
        <v>1798</v>
      </c>
      <c r="C1329" s="26">
        <v>122336</v>
      </c>
      <c r="D1329" s="25" t="s">
        <v>1804</v>
      </c>
      <c r="E1329" s="25" t="s">
        <v>1799</v>
      </c>
      <c r="F1329" s="26" t="s">
        <v>27</v>
      </c>
      <c r="G1329" s="26" t="s">
        <v>27</v>
      </c>
      <c r="H1329" s="26">
        <v>1</v>
      </c>
      <c r="I1329" s="26">
        <v>2</v>
      </c>
      <c r="J1329" s="26">
        <v>1</v>
      </c>
      <c r="K1329" s="26">
        <v>138</v>
      </c>
      <c r="L1329" s="26" t="s">
        <v>28</v>
      </c>
      <c r="M1329" s="27">
        <v>1967</v>
      </c>
      <c r="N1329" s="30">
        <v>245013.26</v>
      </c>
      <c r="O1329" s="26" t="s">
        <v>29</v>
      </c>
      <c r="P1329" s="29"/>
      <c r="Q1329" s="6"/>
      <c r="R1329" s="29"/>
      <c r="S1329" s="10"/>
      <c r="T1329" s="8">
        <v>1</v>
      </c>
    </row>
    <row r="1330" spans="1:20" ht="15.75" customHeight="1" x14ac:dyDescent="0.35">
      <c r="A1330" s="25" t="s">
        <v>1794</v>
      </c>
      <c r="B1330" s="25" t="s">
        <v>1798</v>
      </c>
      <c r="C1330" s="26">
        <v>122339</v>
      </c>
      <c r="D1330" s="25" t="s">
        <v>1805</v>
      </c>
      <c r="E1330" s="25" t="s">
        <v>1799</v>
      </c>
      <c r="F1330" s="26" t="s">
        <v>27</v>
      </c>
      <c r="G1330" s="26" t="s">
        <v>27</v>
      </c>
      <c r="H1330" s="26">
        <v>1</v>
      </c>
      <c r="I1330" s="26">
        <v>1</v>
      </c>
      <c r="J1330" s="26">
        <v>1</v>
      </c>
      <c r="K1330" s="26">
        <v>138</v>
      </c>
      <c r="L1330" s="26" t="s">
        <v>28</v>
      </c>
      <c r="M1330" s="27">
        <v>2000</v>
      </c>
      <c r="N1330" s="28">
        <v>186392.77</v>
      </c>
      <c r="O1330" s="26" t="s">
        <v>29</v>
      </c>
      <c r="P1330" s="29"/>
      <c r="Q1330" s="6"/>
      <c r="R1330" s="29"/>
      <c r="S1330" s="10"/>
      <c r="T1330" s="8">
        <v>1</v>
      </c>
    </row>
    <row r="1331" spans="1:20" ht="15.75" customHeight="1" x14ac:dyDescent="0.35">
      <c r="A1331" s="25" t="s">
        <v>1794</v>
      </c>
      <c r="B1331" s="25" t="s">
        <v>1798</v>
      </c>
      <c r="C1331" s="26">
        <v>122352</v>
      </c>
      <c r="D1331" s="25" t="s">
        <v>299</v>
      </c>
      <c r="E1331" s="25" t="s">
        <v>1806</v>
      </c>
      <c r="F1331" s="26" t="s">
        <v>27</v>
      </c>
      <c r="G1331" s="26" t="s">
        <v>27</v>
      </c>
      <c r="H1331" s="26">
        <v>1</v>
      </c>
      <c r="I1331" s="26">
        <v>1</v>
      </c>
      <c r="J1331" s="26">
        <v>1</v>
      </c>
      <c r="K1331" s="26">
        <v>138</v>
      </c>
      <c r="L1331" s="26" t="s">
        <v>28</v>
      </c>
      <c r="M1331" s="27">
        <v>1984</v>
      </c>
      <c r="N1331" s="30">
        <v>195849.99</v>
      </c>
      <c r="O1331" s="26" t="s">
        <v>29</v>
      </c>
      <c r="P1331" s="29"/>
      <c r="Q1331" s="6"/>
      <c r="R1331" s="29"/>
      <c r="S1331" s="10"/>
      <c r="T1331" s="8">
        <v>1</v>
      </c>
    </row>
    <row r="1332" spans="1:20" ht="15.75" customHeight="1" x14ac:dyDescent="0.35">
      <c r="A1332" s="25" t="s">
        <v>1794</v>
      </c>
      <c r="B1332" s="25" t="s">
        <v>1798</v>
      </c>
      <c r="C1332" s="26">
        <v>122409</v>
      </c>
      <c r="D1332" s="25" t="s">
        <v>1807</v>
      </c>
      <c r="E1332" s="25" t="s">
        <v>1808</v>
      </c>
      <c r="F1332" s="26" t="s">
        <v>27</v>
      </c>
      <c r="G1332" s="26" t="s">
        <v>27</v>
      </c>
      <c r="H1332" s="26">
        <v>1</v>
      </c>
      <c r="I1332" s="26">
        <v>6</v>
      </c>
      <c r="J1332" s="26">
        <v>1</v>
      </c>
      <c r="K1332" s="26">
        <v>138</v>
      </c>
      <c r="L1332" s="26" t="s">
        <v>28</v>
      </c>
      <c r="M1332" s="27">
        <v>1934</v>
      </c>
      <c r="N1332" s="28">
        <v>544518.25</v>
      </c>
      <c r="O1332" s="26" t="s">
        <v>29</v>
      </c>
      <c r="P1332" s="29"/>
      <c r="Q1332" s="6"/>
      <c r="R1332" s="29"/>
      <c r="S1332" s="10"/>
      <c r="T1332" s="8">
        <v>1</v>
      </c>
    </row>
    <row r="1333" spans="1:20" ht="15.75" customHeight="1" x14ac:dyDescent="0.35">
      <c r="A1333" s="25" t="s">
        <v>1794</v>
      </c>
      <c r="B1333" s="25" t="s">
        <v>1798</v>
      </c>
      <c r="C1333" s="26">
        <v>122411</v>
      </c>
      <c r="D1333" s="25" t="s">
        <v>1809</v>
      </c>
      <c r="E1333" s="25" t="s">
        <v>1808</v>
      </c>
      <c r="F1333" s="26" t="s">
        <v>27</v>
      </c>
      <c r="G1333" s="26" t="s">
        <v>27</v>
      </c>
      <c r="H1333" s="26">
        <v>1</v>
      </c>
      <c r="I1333" s="26">
        <v>2</v>
      </c>
      <c r="J1333" s="26">
        <v>1</v>
      </c>
      <c r="K1333" s="26">
        <v>138</v>
      </c>
      <c r="L1333" s="26" t="s">
        <v>28</v>
      </c>
      <c r="M1333" s="27">
        <v>1942</v>
      </c>
      <c r="N1333" s="30">
        <v>232283.83</v>
      </c>
      <c r="O1333" s="26" t="s">
        <v>29</v>
      </c>
      <c r="P1333" s="29"/>
      <c r="Q1333" s="6"/>
      <c r="R1333" s="29"/>
      <c r="S1333" s="10"/>
      <c r="T1333" s="8">
        <v>1</v>
      </c>
    </row>
    <row r="1334" spans="1:20" ht="15.75" customHeight="1" x14ac:dyDescent="0.35">
      <c r="A1334" s="25" t="s">
        <v>1794</v>
      </c>
      <c r="B1334" s="25" t="s">
        <v>1798</v>
      </c>
      <c r="C1334" s="26">
        <v>122422</v>
      </c>
      <c r="D1334" s="25" t="s">
        <v>1810</v>
      </c>
      <c r="E1334" s="25" t="s">
        <v>1808</v>
      </c>
      <c r="F1334" s="26" t="s">
        <v>27</v>
      </c>
      <c r="G1334" s="26" t="s">
        <v>27</v>
      </c>
      <c r="H1334" s="26">
        <v>1</v>
      </c>
      <c r="I1334" s="26">
        <v>1</v>
      </c>
      <c r="J1334" s="26">
        <v>1</v>
      </c>
      <c r="K1334" s="26">
        <v>138</v>
      </c>
      <c r="L1334" s="26" t="s">
        <v>28</v>
      </c>
      <c r="M1334" s="27">
        <v>1970</v>
      </c>
      <c r="N1334" s="30">
        <v>190108.9</v>
      </c>
      <c r="O1334" s="26" t="s">
        <v>29</v>
      </c>
      <c r="P1334" s="29"/>
      <c r="Q1334" s="6"/>
      <c r="R1334" s="29"/>
      <c r="S1334" s="10"/>
      <c r="T1334" s="8">
        <v>1</v>
      </c>
    </row>
    <row r="1335" spans="1:20" ht="15.75" customHeight="1" x14ac:dyDescent="0.35">
      <c r="A1335" s="25" t="s">
        <v>1794</v>
      </c>
      <c r="B1335" s="25" t="s">
        <v>1798</v>
      </c>
      <c r="C1335" s="26">
        <v>122431</v>
      </c>
      <c r="D1335" s="25" t="s">
        <v>1811</v>
      </c>
      <c r="E1335" s="25" t="s">
        <v>1812</v>
      </c>
      <c r="F1335" s="26" t="s">
        <v>27</v>
      </c>
      <c r="G1335" s="26" t="s">
        <v>27</v>
      </c>
      <c r="H1335" s="26">
        <v>1</v>
      </c>
      <c r="I1335" s="26">
        <v>2</v>
      </c>
      <c r="J1335" s="26">
        <v>1</v>
      </c>
      <c r="K1335" s="26">
        <v>138</v>
      </c>
      <c r="L1335" s="26" t="s">
        <v>28</v>
      </c>
      <c r="M1335" s="27">
        <v>1953</v>
      </c>
      <c r="N1335" s="30">
        <v>220455.4</v>
      </c>
      <c r="O1335" s="26" t="s">
        <v>29</v>
      </c>
      <c r="P1335" s="29"/>
      <c r="Q1335" s="6"/>
      <c r="R1335" s="29"/>
      <c r="S1335" s="10"/>
      <c r="T1335" s="8">
        <v>1</v>
      </c>
    </row>
    <row r="1336" spans="1:20" ht="15.75" customHeight="1" x14ac:dyDescent="0.35">
      <c r="A1336" s="25" t="s">
        <v>1794</v>
      </c>
      <c r="B1336" s="25" t="s">
        <v>1798</v>
      </c>
      <c r="C1336" s="26">
        <v>122437</v>
      </c>
      <c r="D1336" s="25" t="s">
        <v>239</v>
      </c>
      <c r="E1336" s="25" t="s">
        <v>1812</v>
      </c>
      <c r="F1336" s="26" t="s">
        <v>27</v>
      </c>
      <c r="G1336" s="26" t="s">
        <v>27</v>
      </c>
      <c r="H1336" s="26">
        <v>1</v>
      </c>
      <c r="I1336" s="26">
        <v>4</v>
      </c>
      <c r="J1336" s="26">
        <v>1</v>
      </c>
      <c r="K1336" s="26">
        <v>138</v>
      </c>
      <c r="L1336" s="26" t="s">
        <v>28</v>
      </c>
      <c r="M1336" s="27">
        <v>1983</v>
      </c>
      <c r="N1336" s="28">
        <v>392961.69</v>
      </c>
      <c r="O1336" s="26" t="s">
        <v>29</v>
      </c>
      <c r="P1336" s="29"/>
      <c r="Q1336" s="6"/>
      <c r="R1336" s="29"/>
      <c r="S1336" s="10"/>
      <c r="T1336" s="8">
        <v>1</v>
      </c>
    </row>
    <row r="1337" spans="1:20" ht="15.75" customHeight="1" x14ac:dyDescent="0.35">
      <c r="A1337" s="25" t="s">
        <v>1794</v>
      </c>
      <c r="B1337" s="25" t="s">
        <v>1798</v>
      </c>
      <c r="C1337" s="26">
        <v>122440</v>
      </c>
      <c r="D1337" s="25" t="s">
        <v>1273</v>
      </c>
      <c r="E1337" s="25" t="s">
        <v>1812</v>
      </c>
      <c r="F1337" s="26" t="s">
        <v>27</v>
      </c>
      <c r="G1337" s="26" t="s">
        <v>27</v>
      </c>
      <c r="H1337" s="26">
        <v>1</v>
      </c>
      <c r="I1337" s="26">
        <v>3</v>
      </c>
      <c r="J1337" s="26">
        <v>1</v>
      </c>
      <c r="K1337" s="26">
        <v>138</v>
      </c>
      <c r="L1337" s="26" t="s">
        <v>28</v>
      </c>
      <c r="M1337" s="27">
        <v>1992</v>
      </c>
      <c r="N1337" s="28">
        <v>306873.58</v>
      </c>
      <c r="O1337" s="26" t="s">
        <v>29</v>
      </c>
      <c r="P1337" s="29"/>
      <c r="Q1337" s="6"/>
      <c r="R1337" s="29"/>
      <c r="S1337" s="10"/>
      <c r="T1337" s="8">
        <v>1</v>
      </c>
    </row>
    <row r="1338" spans="1:20" ht="15.75" customHeight="1" x14ac:dyDescent="0.35">
      <c r="A1338" s="25" t="s">
        <v>1794</v>
      </c>
      <c r="B1338" s="25" t="s">
        <v>1798</v>
      </c>
      <c r="C1338" s="26">
        <v>122443</v>
      </c>
      <c r="D1338" s="25" t="s">
        <v>1813</v>
      </c>
      <c r="E1338" s="25" t="s">
        <v>1812</v>
      </c>
      <c r="F1338" s="26" t="s">
        <v>27</v>
      </c>
      <c r="G1338" s="26" t="s">
        <v>27</v>
      </c>
      <c r="H1338" s="26">
        <v>1</v>
      </c>
      <c r="I1338" s="26">
        <v>1</v>
      </c>
      <c r="J1338" s="26">
        <v>1</v>
      </c>
      <c r="K1338" s="26">
        <v>138</v>
      </c>
      <c r="L1338" s="26" t="s">
        <v>28</v>
      </c>
      <c r="M1338" s="27">
        <v>1997</v>
      </c>
      <c r="N1338" s="28">
        <v>170447.81</v>
      </c>
      <c r="O1338" s="26" t="s">
        <v>29</v>
      </c>
      <c r="P1338" s="29"/>
      <c r="Q1338" s="6"/>
      <c r="R1338" s="29"/>
      <c r="S1338" s="10"/>
      <c r="T1338" s="8">
        <v>1</v>
      </c>
    </row>
    <row r="1339" spans="1:20" ht="15.75" customHeight="1" x14ac:dyDescent="0.35">
      <c r="A1339" s="25" t="s">
        <v>1794</v>
      </c>
      <c r="B1339" s="25" t="s">
        <v>1798</v>
      </c>
      <c r="C1339" s="26">
        <v>122447</v>
      </c>
      <c r="D1339" s="25" t="s">
        <v>1814</v>
      </c>
      <c r="E1339" s="25" t="s">
        <v>1812</v>
      </c>
      <c r="F1339" s="26" t="s">
        <v>27</v>
      </c>
      <c r="G1339" s="26" t="s">
        <v>27</v>
      </c>
      <c r="H1339" s="26">
        <v>1</v>
      </c>
      <c r="I1339" s="26">
        <v>5</v>
      </c>
      <c r="J1339" s="26">
        <v>1</v>
      </c>
      <c r="K1339" s="26">
        <v>138</v>
      </c>
      <c r="L1339" s="26" t="s">
        <v>28</v>
      </c>
      <c r="M1339" s="27">
        <v>1938</v>
      </c>
      <c r="N1339" s="28">
        <v>470006.38</v>
      </c>
      <c r="O1339" s="26" t="s">
        <v>29</v>
      </c>
      <c r="P1339" s="29"/>
      <c r="Q1339" s="6"/>
      <c r="R1339" s="29"/>
      <c r="S1339" s="10"/>
      <c r="T1339" s="8">
        <v>1</v>
      </c>
    </row>
    <row r="1340" spans="1:20" ht="15.75" customHeight="1" x14ac:dyDescent="0.35">
      <c r="A1340" s="25" t="s">
        <v>1794</v>
      </c>
      <c r="B1340" s="25" t="s">
        <v>1798</v>
      </c>
      <c r="C1340" s="26">
        <v>122448</v>
      </c>
      <c r="D1340" s="25" t="s">
        <v>1815</v>
      </c>
      <c r="E1340" s="25" t="s">
        <v>1812</v>
      </c>
      <c r="F1340" s="26" t="s">
        <v>27</v>
      </c>
      <c r="G1340" s="26" t="s">
        <v>27</v>
      </c>
      <c r="H1340" s="26">
        <v>1</v>
      </c>
      <c r="I1340" s="26">
        <v>1</v>
      </c>
      <c r="J1340" s="26">
        <v>1</v>
      </c>
      <c r="K1340" s="26">
        <v>138</v>
      </c>
      <c r="L1340" s="26" t="s">
        <v>28</v>
      </c>
      <c r="M1340" s="27">
        <v>1944</v>
      </c>
      <c r="N1340" s="30">
        <v>168114.82</v>
      </c>
      <c r="O1340" s="26" t="s">
        <v>29</v>
      </c>
      <c r="P1340" s="29"/>
      <c r="Q1340" s="6"/>
      <c r="R1340" s="29"/>
      <c r="S1340" s="10"/>
      <c r="T1340" s="8">
        <v>1</v>
      </c>
    </row>
    <row r="1341" spans="1:20" ht="15.75" customHeight="1" x14ac:dyDescent="0.35">
      <c r="A1341" s="25" t="s">
        <v>1794</v>
      </c>
      <c r="B1341" s="25" t="s">
        <v>1798</v>
      </c>
      <c r="C1341" s="26">
        <v>122452</v>
      </c>
      <c r="D1341" s="25" t="s">
        <v>1816</v>
      </c>
      <c r="E1341" s="25" t="s">
        <v>1812</v>
      </c>
      <c r="F1341" s="26" t="s">
        <v>27</v>
      </c>
      <c r="G1341" s="26" t="s">
        <v>27</v>
      </c>
      <c r="H1341" s="26">
        <v>1</v>
      </c>
      <c r="I1341" s="26">
        <v>5</v>
      </c>
      <c r="J1341" s="26">
        <v>1</v>
      </c>
      <c r="K1341" s="26">
        <v>138</v>
      </c>
      <c r="L1341" s="26" t="s">
        <v>28</v>
      </c>
      <c r="M1341" s="27">
        <v>1957</v>
      </c>
      <c r="N1341" s="28">
        <v>451823.73</v>
      </c>
      <c r="O1341" s="26" t="s">
        <v>29</v>
      </c>
      <c r="P1341" s="29"/>
      <c r="Q1341" s="6"/>
      <c r="R1341" s="29"/>
      <c r="S1341" s="10"/>
      <c r="T1341" s="8">
        <v>1</v>
      </c>
    </row>
    <row r="1342" spans="1:20" ht="15.75" customHeight="1" x14ac:dyDescent="0.35">
      <c r="A1342" s="25" t="s">
        <v>1794</v>
      </c>
      <c r="B1342" s="25" t="s">
        <v>1798</v>
      </c>
      <c r="C1342" s="26">
        <v>122464</v>
      </c>
      <c r="D1342" s="25" t="s">
        <v>1817</v>
      </c>
      <c r="E1342" s="25" t="s">
        <v>1812</v>
      </c>
      <c r="F1342" s="26" t="s">
        <v>27</v>
      </c>
      <c r="G1342" s="26" t="s">
        <v>27</v>
      </c>
      <c r="H1342" s="26">
        <v>1</v>
      </c>
      <c r="I1342" s="26">
        <v>3</v>
      </c>
      <c r="J1342" s="26">
        <v>1</v>
      </c>
      <c r="K1342" s="26">
        <v>138</v>
      </c>
      <c r="L1342" s="26" t="s">
        <v>28</v>
      </c>
      <c r="M1342" s="27">
        <v>1971</v>
      </c>
      <c r="N1342" s="28">
        <v>380236.45</v>
      </c>
      <c r="O1342" s="26" t="s">
        <v>29</v>
      </c>
      <c r="P1342" s="29"/>
      <c r="Q1342" s="6"/>
      <c r="R1342" s="29"/>
      <c r="S1342" s="10"/>
      <c r="T1342" s="8">
        <v>1</v>
      </c>
    </row>
    <row r="1343" spans="1:20" ht="15.75" customHeight="1" x14ac:dyDescent="0.35">
      <c r="A1343" s="25" t="s">
        <v>1794</v>
      </c>
      <c r="B1343" s="25" t="s">
        <v>1798</v>
      </c>
      <c r="C1343" s="26">
        <v>122465</v>
      </c>
      <c r="D1343" s="25" t="s">
        <v>1818</v>
      </c>
      <c r="E1343" s="25" t="s">
        <v>1812</v>
      </c>
      <c r="F1343" s="26" t="s">
        <v>27</v>
      </c>
      <c r="G1343" s="26" t="s">
        <v>27</v>
      </c>
      <c r="H1343" s="26">
        <v>1</v>
      </c>
      <c r="I1343" s="26">
        <v>3</v>
      </c>
      <c r="J1343" s="26">
        <v>1</v>
      </c>
      <c r="K1343" s="26">
        <v>138</v>
      </c>
      <c r="L1343" s="26" t="s">
        <v>28</v>
      </c>
      <c r="M1343" s="27">
        <v>1973</v>
      </c>
      <c r="N1343" s="28">
        <v>303437.3</v>
      </c>
      <c r="O1343" s="26" t="s">
        <v>29</v>
      </c>
      <c r="P1343" s="29"/>
      <c r="Q1343" s="6"/>
      <c r="R1343" s="29"/>
      <c r="S1343" s="10"/>
      <c r="T1343" s="8">
        <v>1</v>
      </c>
    </row>
    <row r="1344" spans="1:20" ht="15.75" customHeight="1" x14ac:dyDescent="0.35">
      <c r="A1344" s="25" t="s">
        <v>1794</v>
      </c>
      <c r="B1344" s="25" t="s">
        <v>1798</v>
      </c>
      <c r="C1344" s="26">
        <v>122466</v>
      </c>
      <c r="D1344" s="25" t="s">
        <v>1819</v>
      </c>
      <c r="E1344" s="25" t="s">
        <v>1820</v>
      </c>
      <c r="F1344" s="26" t="s">
        <v>27</v>
      </c>
      <c r="G1344" s="26" t="s">
        <v>27</v>
      </c>
      <c r="H1344" s="26">
        <v>1</v>
      </c>
      <c r="I1344" s="26">
        <v>4</v>
      </c>
      <c r="J1344" s="26">
        <v>1</v>
      </c>
      <c r="K1344" s="26">
        <v>138</v>
      </c>
      <c r="L1344" s="26" t="s">
        <v>28</v>
      </c>
      <c r="M1344" s="27">
        <v>1986</v>
      </c>
      <c r="N1344" s="30">
        <v>408495.62</v>
      </c>
      <c r="O1344" s="26" t="s">
        <v>29</v>
      </c>
      <c r="P1344" s="29"/>
      <c r="Q1344" s="6"/>
      <c r="R1344" s="29"/>
      <c r="S1344" s="10"/>
      <c r="T1344" s="8">
        <v>1</v>
      </c>
    </row>
    <row r="1345" spans="1:20" ht="15.75" customHeight="1" x14ac:dyDescent="0.35">
      <c r="A1345" s="25" t="s">
        <v>1794</v>
      </c>
      <c r="B1345" s="25" t="s">
        <v>1798</v>
      </c>
      <c r="C1345" s="26">
        <v>122468</v>
      </c>
      <c r="D1345" s="25" t="s">
        <v>1821</v>
      </c>
      <c r="E1345" s="25" t="s">
        <v>1812</v>
      </c>
      <c r="F1345" s="26" t="s">
        <v>27</v>
      </c>
      <c r="G1345" s="26" t="s">
        <v>27</v>
      </c>
      <c r="H1345" s="26">
        <v>1</v>
      </c>
      <c r="I1345" s="26">
        <v>1</v>
      </c>
      <c r="J1345" s="26">
        <v>1</v>
      </c>
      <c r="K1345" s="26">
        <v>138</v>
      </c>
      <c r="L1345" s="26" t="s">
        <v>28</v>
      </c>
      <c r="M1345" s="27">
        <v>1993</v>
      </c>
      <c r="N1345" s="28">
        <v>195849.99</v>
      </c>
      <c r="O1345" s="26" t="s">
        <v>29</v>
      </c>
      <c r="P1345" s="29"/>
      <c r="Q1345" s="6"/>
      <c r="R1345" s="29"/>
      <c r="S1345" s="10"/>
      <c r="T1345" s="8">
        <v>1</v>
      </c>
    </row>
    <row r="1346" spans="1:20" ht="15.75" customHeight="1" x14ac:dyDescent="0.35">
      <c r="A1346" s="25" t="s">
        <v>1794</v>
      </c>
      <c r="B1346" s="25" t="s">
        <v>1798</v>
      </c>
      <c r="C1346" s="26">
        <v>122469</v>
      </c>
      <c r="D1346" s="25" t="s">
        <v>1822</v>
      </c>
      <c r="E1346" s="25" t="s">
        <v>1812</v>
      </c>
      <c r="F1346" s="26" t="s">
        <v>27</v>
      </c>
      <c r="G1346" s="26" t="s">
        <v>27</v>
      </c>
      <c r="H1346" s="26">
        <v>1</v>
      </c>
      <c r="I1346" s="26">
        <v>4</v>
      </c>
      <c r="J1346" s="26">
        <v>1</v>
      </c>
      <c r="K1346" s="26">
        <v>138</v>
      </c>
      <c r="L1346" s="26" t="s">
        <v>28</v>
      </c>
      <c r="M1346" s="27">
        <v>1998</v>
      </c>
      <c r="N1346" s="28">
        <v>401627.55</v>
      </c>
      <c r="O1346" s="26" t="s">
        <v>29</v>
      </c>
      <c r="P1346" s="29"/>
      <c r="Q1346" s="6"/>
      <c r="R1346" s="29"/>
      <c r="S1346" s="10"/>
      <c r="T1346" s="8">
        <v>1</v>
      </c>
    </row>
    <row r="1347" spans="1:20" ht="15.75" customHeight="1" x14ac:dyDescent="0.35">
      <c r="A1347" s="25" t="s">
        <v>1794</v>
      </c>
      <c r="B1347" s="25" t="s">
        <v>1798</v>
      </c>
      <c r="C1347" s="26">
        <v>122472</v>
      </c>
      <c r="D1347" s="25" t="s">
        <v>1823</v>
      </c>
      <c r="E1347" s="25" t="s">
        <v>1812</v>
      </c>
      <c r="F1347" s="26" t="s">
        <v>27</v>
      </c>
      <c r="G1347" s="26" t="s">
        <v>27</v>
      </c>
      <c r="H1347" s="26">
        <v>1</v>
      </c>
      <c r="I1347" s="26">
        <v>5</v>
      </c>
      <c r="J1347" s="26">
        <v>1</v>
      </c>
      <c r="K1347" s="26">
        <v>138</v>
      </c>
      <c r="L1347" s="26" t="s">
        <v>28</v>
      </c>
      <c r="M1347" s="27">
        <v>2003</v>
      </c>
      <c r="N1347" s="28">
        <v>477742.36</v>
      </c>
      <c r="O1347" s="26" t="s">
        <v>29</v>
      </c>
      <c r="P1347" s="29"/>
      <c r="Q1347" s="6"/>
      <c r="R1347" s="29"/>
      <c r="S1347" s="10"/>
      <c r="T1347" s="8">
        <v>1</v>
      </c>
    </row>
    <row r="1348" spans="1:20" ht="15.75" customHeight="1" x14ac:dyDescent="0.35">
      <c r="A1348" s="25" t="s">
        <v>1794</v>
      </c>
      <c r="B1348" s="25" t="s">
        <v>1798</v>
      </c>
      <c r="C1348" s="26">
        <v>122474</v>
      </c>
      <c r="D1348" s="25" t="s">
        <v>1824</v>
      </c>
      <c r="E1348" s="25" t="s">
        <v>1825</v>
      </c>
      <c r="F1348" s="26" t="s">
        <v>27</v>
      </c>
      <c r="G1348" s="26" t="s">
        <v>27</v>
      </c>
      <c r="H1348" s="26">
        <v>1</v>
      </c>
      <c r="I1348" s="26">
        <v>1</v>
      </c>
      <c r="J1348" s="26">
        <v>1</v>
      </c>
      <c r="K1348" s="26">
        <v>138</v>
      </c>
      <c r="L1348" s="26" t="s">
        <v>28</v>
      </c>
      <c r="M1348" s="27">
        <v>1928</v>
      </c>
      <c r="N1348" s="30">
        <v>178353.68</v>
      </c>
      <c r="O1348" s="26" t="s">
        <v>29</v>
      </c>
      <c r="P1348" s="29"/>
      <c r="Q1348" s="6"/>
      <c r="R1348" s="29"/>
      <c r="S1348" s="10"/>
      <c r="T1348" s="8">
        <v>1</v>
      </c>
    </row>
    <row r="1349" spans="1:20" ht="15.75" customHeight="1" x14ac:dyDescent="0.35">
      <c r="A1349" s="25" t="s">
        <v>1794</v>
      </c>
      <c r="B1349" s="25" t="s">
        <v>1798</v>
      </c>
      <c r="C1349" s="26">
        <v>122477</v>
      </c>
      <c r="D1349" s="25" t="s">
        <v>1826</v>
      </c>
      <c r="E1349" s="25" t="s">
        <v>1827</v>
      </c>
      <c r="F1349" s="26" t="s">
        <v>27</v>
      </c>
      <c r="G1349" s="26" t="s">
        <v>27</v>
      </c>
      <c r="H1349" s="26">
        <v>1</v>
      </c>
      <c r="I1349" s="26">
        <v>1</v>
      </c>
      <c r="J1349" s="26">
        <v>1</v>
      </c>
      <c r="K1349" s="26">
        <v>138</v>
      </c>
      <c r="L1349" s="26" t="s">
        <v>28</v>
      </c>
      <c r="M1349" s="27">
        <v>1940</v>
      </c>
      <c r="N1349" s="30">
        <v>169583.63</v>
      </c>
      <c r="O1349" s="26" t="s">
        <v>29</v>
      </c>
      <c r="P1349" s="29"/>
      <c r="Q1349" s="6"/>
      <c r="R1349" s="29"/>
      <c r="S1349" s="10"/>
      <c r="T1349" s="8">
        <v>1</v>
      </c>
    </row>
    <row r="1350" spans="1:20" ht="15.75" customHeight="1" x14ac:dyDescent="0.35">
      <c r="A1350" s="25" t="s">
        <v>1794</v>
      </c>
      <c r="B1350" s="25" t="s">
        <v>1798</v>
      </c>
      <c r="C1350" s="26">
        <v>122478</v>
      </c>
      <c r="D1350" s="25" t="s">
        <v>1828</v>
      </c>
      <c r="E1350" s="25" t="s">
        <v>1825</v>
      </c>
      <c r="F1350" s="26" t="s">
        <v>27</v>
      </c>
      <c r="G1350" s="26" t="s">
        <v>27</v>
      </c>
      <c r="H1350" s="26">
        <v>1</v>
      </c>
      <c r="I1350" s="26">
        <v>1</v>
      </c>
      <c r="J1350" s="26">
        <v>1</v>
      </c>
      <c r="K1350" s="26">
        <v>138</v>
      </c>
      <c r="L1350" s="26" t="s">
        <v>28</v>
      </c>
      <c r="M1350" s="27">
        <v>1945</v>
      </c>
      <c r="N1350" s="30">
        <v>187667.44</v>
      </c>
      <c r="O1350" s="26" t="s">
        <v>29</v>
      </c>
      <c r="P1350" s="29"/>
      <c r="Q1350" s="6"/>
      <c r="R1350" s="29"/>
      <c r="S1350" s="10"/>
      <c r="T1350" s="8">
        <v>1</v>
      </c>
    </row>
    <row r="1351" spans="1:20" ht="15.75" customHeight="1" x14ac:dyDescent="0.35">
      <c r="A1351" s="25" t="s">
        <v>1794</v>
      </c>
      <c r="B1351" s="25" t="s">
        <v>1798</v>
      </c>
      <c r="C1351" s="26">
        <v>122487</v>
      </c>
      <c r="D1351" s="25" t="s">
        <v>1829</v>
      </c>
      <c r="E1351" s="25" t="s">
        <v>1825</v>
      </c>
      <c r="F1351" s="26" t="s">
        <v>27</v>
      </c>
      <c r="G1351" s="26" t="s">
        <v>27</v>
      </c>
      <c r="H1351" s="26">
        <v>1</v>
      </c>
      <c r="I1351" s="26">
        <v>1</v>
      </c>
      <c r="J1351" s="26">
        <v>1</v>
      </c>
      <c r="K1351" s="26">
        <v>138</v>
      </c>
      <c r="L1351" s="26" t="s">
        <v>28</v>
      </c>
      <c r="M1351" s="27">
        <v>1964</v>
      </c>
      <c r="N1351" s="30">
        <v>180596.25</v>
      </c>
      <c r="O1351" s="26" t="s">
        <v>29</v>
      </c>
      <c r="P1351" s="29"/>
      <c r="Q1351" s="6"/>
      <c r="R1351" s="29"/>
      <c r="S1351" s="10"/>
      <c r="T1351" s="8">
        <v>1</v>
      </c>
    </row>
    <row r="1352" spans="1:20" ht="15.75" customHeight="1" x14ac:dyDescent="0.35">
      <c r="A1352" s="25" t="s">
        <v>1794</v>
      </c>
      <c r="B1352" s="25" t="s">
        <v>1798</v>
      </c>
      <c r="C1352" s="26">
        <v>122495</v>
      </c>
      <c r="D1352" s="25" t="s">
        <v>1830</v>
      </c>
      <c r="E1352" s="25" t="s">
        <v>1825</v>
      </c>
      <c r="F1352" s="26" t="s">
        <v>27</v>
      </c>
      <c r="G1352" s="26" t="s">
        <v>27</v>
      </c>
      <c r="H1352" s="26">
        <v>1</v>
      </c>
      <c r="I1352" s="26">
        <v>1</v>
      </c>
      <c r="J1352" s="26">
        <v>1</v>
      </c>
      <c r="K1352" s="26">
        <v>138</v>
      </c>
      <c r="L1352" s="26" t="s">
        <v>28</v>
      </c>
      <c r="M1352" s="27">
        <v>1976</v>
      </c>
      <c r="N1352" s="30">
        <v>189824.69</v>
      </c>
      <c r="O1352" s="26" t="s">
        <v>29</v>
      </c>
      <c r="P1352" s="29"/>
      <c r="Q1352" s="6"/>
      <c r="R1352" s="29"/>
      <c r="S1352" s="10"/>
      <c r="T1352" s="8">
        <v>1</v>
      </c>
    </row>
    <row r="1353" spans="1:20" ht="15.75" customHeight="1" x14ac:dyDescent="0.35">
      <c r="A1353" s="25" t="s">
        <v>1794</v>
      </c>
      <c r="B1353" s="25" t="s">
        <v>1798</v>
      </c>
      <c r="C1353" s="26">
        <v>122496</v>
      </c>
      <c r="D1353" s="25" t="s">
        <v>1831</v>
      </c>
      <c r="E1353" s="25" t="s">
        <v>1825</v>
      </c>
      <c r="F1353" s="26" t="s">
        <v>27</v>
      </c>
      <c r="G1353" s="26" t="s">
        <v>27</v>
      </c>
      <c r="H1353" s="26">
        <v>1</v>
      </c>
      <c r="I1353" s="26">
        <v>1</v>
      </c>
      <c r="J1353" s="26">
        <v>1</v>
      </c>
      <c r="K1353" s="26">
        <v>138</v>
      </c>
      <c r="L1353" s="26" t="s">
        <v>28</v>
      </c>
      <c r="M1353" s="27">
        <v>1980</v>
      </c>
      <c r="N1353" s="30">
        <v>178540.55</v>
      </c>
      <c r="O1353" s="26" t="s">
        <v>29</v>
      </c>
      <c r="P1353" s="29"/>
      <c r="Q1353" s="6"/>
      <c r="R1353" s="29"/>
      <c r="S1353" s="10"/>
      <c r="T1353" s="8">
        <v>1</v>
      </c>
    </row>
    <row r="1354" spans="1:20" ht="15.75" customHeight="1" x14ac:dyDescent="0.35">
      <c r="A1354" s="25" t="s">
        <v>1794</v>
      </c>
      <c r="B1354" s="25" t="s">
        <v>1798</v>
      </c>
      <c r="C1354" s="26">
        <v>122500</v>
      </c>
      <c r="D1354" s="25" t="s">
        <v>300</v>
      </c>
      <c r="E1354" s="25" t="s">
        <v>1825</v>
      </c>
      <c r="F1354" s="26" t="s">
        <v>27</v>
      </c>
      <c r="G1354" s="26" t="s">
        <v>27</v>
      </c>
      <c r="H1354" s="26">
        <v>1</v>
      </c>
      <c r="I1354" s="26">
        <v>1</v>
      </c>
      <c r="J1354" s="26">
        <v>1</v>
      </c>
      <c r="K1354" s="26">
        <v>138</v>
      </c>
      <c r="L1354" s="26" t="s">
        <v>28</v>
      </c>
      <c r="M1354" s="27">
        <v>1990</v>
      </c>
      <c r="N1354" s="28">
        <v>195849.99</v>
      </c>
      <c r="O1354" s="26" t="s">
        <v>29</v>
      </c>
      <c r="P1354" s="29"/>
      <c r="Q1354" s="6"/>
      <c r="R1354" s="29"/>
      <c r="S1354" s="10"/>
      <c r="T1354" s="8">
        <v>1</v>
      </c>
    </row>
    <row r="1355" spans="1:20" ht="15.75" customHeight="1" x14ac:dyDescent="0.35">
      <c r="A1355" s="25" t="s">
        <v>1794</v>
      </c>
      <c r="B1355" s="25" t="s">
        <v>1798</v>
      </c>
      <c r="C1355" s="26">
        <v>122504</v>
      </c>
      <c r="D1355" s="25" t="s">
        <v>1832</v>
      </c>
      <c r="E1355" s="25" t="s">
        <v>1825</v>
      </c>
      <c r="F1355" s="26" t="s">
        <v>27</v>
      </c>
      <c r="G1355" s="26" t="s">
        <v>27</v>
      </c>
      <c r="H1355" s="26"/>
      <c r="I1355" s="26"/>
      <c r="J1355" s="26">
        <v>1</v>
      </c>
      <c r="K1355" s="26">
        <v>138</v>
      </c>
      <c r="L1355" s="26" t="s">
        <v>28</v>
      </c>
      <c r="M1355" s="27">
        <v>2002</v>
      </c>
      <c r="N1355" s="28"/>
      <c r="O1355" s="26" t="s">
        <v>29</v>
      </c>
      <c r="P1355" s="29"/>
      <c r="Q1355" s="6"/>
      <c r="R1355" s="29"/>
      <c r="S1355" s="10"/>
      <c r="T1355" s="8"/>
    </row>
    <row r="1356" spans="1:20" ht="15.75" customHeight="1" x14ac:dyDescent="0.35">
      <c r="A1356" s="25" t="s">
        <v>1794</v>
      </c>
      <c r="B1356" s="25" t="s">
        <v>1798</v>
      </c>
      <c r="C1356" s="26">
        <v>122515</v>
      </c>
      <c r="D1356" s="25" t="s">
        <v>1833</v>
      </c>
      <c r="E1356" s="25" t="s">
        <v>1834</v>
      </c>
      <c r="F1356" s="26" t="s">
        <v>27</v>
      </c>
      <c r="G1356" s="26" t="s">
        <v>27</v>
      </c>
      <c r="H1356" s="26">
        <v>1</v>
      </c>
      <c r="I1356" s="26">
        <v>3</v>
      </c>
      <c r="J1356" s="26">
        <v>1</v>
      </c>
      <c r="K1356" s="26">
        <v>138</v>
      </c>
      <c r="L1356" s="26" t="s">
        <v>28</v>
      </c>
      <c r="M1356" s="27">
        <v>1974</v>
      </c>
      <c r="N1356" s="28">
        <v>323898.08</v>
      </c>
      <c r="O1356" s="26" t="s">
        <v>29</v>
      </c>
      <c r="P1356" s="29"/>
      <c r="Q1356" s="6"/>
      <c r="R1356" s="29"/>
      <c r="S1356" s="10"/>
      <c r="T1356" s="8">
        <v>1</v>
      </c>
    </row>
    <row r="1357" spans="1:20" ht="15.75" customHeight="1" x14ac:dyDescent="0.35">
      <c r="A1357" s="25" t="s">
        <v>1794</v>
      </c>
      <c r="B1357" s="25" t="s">
        <v>1798</v>
      </c>
      <c r="C1357" s="26">
        <v>122517</v>
      </c>
      <c r="D1357" s="25" t="s">
        <v>437</v>
      </c>
      <c r="E1357" s="25" t="s">
        <v>1834</v>
      </c>
      <c r="F1357" s="26" t="s">
        <v>27</v>
      </c>
      <c r="G1357" s="26" t="s">
        <v>27</v>
      </c>
      <c r="H1357" s="26">
        <v>1</v>
      </c>
      <c r="I1357" s="26">
        <v>2</v>
      </c>
      <c r="J1357" s="37">
        <v>224354.54</v>
      </c>
      <c r="K1357" s="26">
        <v>138</v>
      </c>
      <c r="L1357" s="26" t="s">
        <v>28</v>
      </c>
      <c r="M1357" s="27">
        <v>1987</v>
      </c>
      <c r="N1357" s="30">
        <v>224354.54</v>
      </c>
      <c r="O1357" s="26" t="s">
        <v>29</v>
      </c>
      <c r="P1357" s="29"/>
      <c r="Q1357" s="6"/>
      <c r="R1357" s="29"/>
      <c r="S1357" s="10"/>
      <c r="T1357" s="8">
        <v>1</v>
      </c>
    </row>
    <row r="1358" spans="1:20" ht="15.75" customHeight="1" x14ac:dyDescent="0.35">
      <c r="A1358" s="25" t="s">
        <v>1794</v>
      </c>
      <c r="B1358" s="25" t="s">
        <v>1798</v>
      </c>
      <c r="C1358" s="26">
        <v>122534</v>
      </c>
      <c r="D1358" s="25" t="s">
        <v>388</v>
      </c>
      <c r="E1358" s="25" t="s">
        <v>1835</v>
      </c>
      <c r="F1358" s="26" t="s">
        <v>27</v>
      </c>
      <c r="G1358" s="26" t="s">
        <v>27</v>
      </c>
      <c r="H1358" s="26">
        <v>1</v>
      </c>
      <c r="I1358" s="26">
        <v>6</v>
      </c>
      <c r="J1358" s="26">
        <v>1</v>
      </c>
      <c r="K1358" s="26">
        <v>138</v>
      </c>
      <c r="L1358" s="26" t="s">
        <v>28</v>
      </c>
      <c r="M1358" s="27">
        <v>1931</v>
      </c>
      <c r="N1358" s="28">
        <v>502965.21</v>
      </c>
      <c r="O1358" s="26" t="s">
        <v>29</v>
      </c>
      <c r="P1358" s="29"/>
      <c r="Q1358" s="6"/>
      <c r="R1358" s="29"/>
      <c r="S1358" s="10"/>
      <c r="T1358" s="8">
        <v>1</v>
      </c>
    </row>
    <row r="1359" spans="1:20" ht="15.75" customHeight="1" x14ac:dyDescent="0.35">
      <c r="A1359" s="25" t="s">
        <v>1794</v>
      </c>
      <c r="B1359" s="25" t="s">
        <v>1798</v>
      </c>
      <c r="C1359" s="26">
        <v>122535</v>
      </c>
      <c r="D1359" s="25" t="s">
        <v>1836</v>
      </c>
      <c r="E1359" s="25" t="s">
        <v>1837</v>
      </c>
      <c r="F1359" s="26" t="s">
        <v>27</v>
      </c>
      <c r="G1359" s="26" t="s">
        <v>27</v>
      </c>
      <c r="H1359" s="26">
        <v>1</v>
      </c>
      <c r="I1359" s="26">
        <v>4</v>
      </c>
      <c r="J1359" s="26">
        <v>1</v>
      </c>
      <c r="K1359" s="26">
        <v>138</v>
      </c>
      <c r="L1359" s="26" t="s">
        <v>28</v>
      </c>
      <c r="M1359" s="27">
        <v>1933</v>
      </c>
      <c r="N1359" s="28">
        <v>372480.66</v>
      </c>
      <c r="O1359" s="26" t="s">
        <v>29</v>
      </c>
      <c r="P1359" s="29"/>
      <c r="Q1359" s="6"/>
      <c r="R1359" s="29"/>
      <c r="S1359" s="10"/>
      <c r="T1359" s="8">
        <v>1</v>
      </c>
    </row>
    <row r="1360" spans="1:20" ht="15.75" customHeight="1" x14ac:dyDescent="0.35">
      <c r="A1360" s="25" t="s">
        <v>1794</v>
      </c>
      <c r="B1360" s="25" t="s">
        <v>1798</v>
      </c>
      <c r="C1360" s="26">
        <v>122539</v>
      </c>
      <c r="D1360" s="25" t="s">
        <v>1838</v>
      </c>
      <c r="E1360" s="25" t="s">
        <v>1837</v>
      </c>
      <c r="F1360" s="26" t="s">
        <v>27</v>
      </c>
      <c r="G1360" s="26" t="s">
        <v>27</v>
      </c>
      <c r="H1360" s="26">
        <v>1</v>
      </c>
      <c r="I1360" s="26">
        <v>1</v>
      </c>
      <c r="J1360" s="26">
        <v>1</v>
      </c>
      <c r="K1360" s="26">
        <v>138</v>
      </c>
      <c r="L1360" s="26" t="s">
        <v>28</v>
      </c>
      <c r="M1360" s="27">
        <v>1939</v>
      </c>
      <c r="N1360" s="30">
        <v>170555.27</v>
      </c>
      <c r="O1360" s="26" t="s">
        <v>29</v>
      </c>
      <c r="P1360" s="29"/>
      <c r="Q1360" s="6"/>
      <c r="R1360" s="29"/>
      <c r="S1360" s="10"/>
      <c r="T1360" s="8">
        <v>1</v>
      </c>
    </row>
    <row r="1361" spans="1:20" ht="15.75" customHeight="1" x14ac:dyDescent="0.35">
      <c r="A1361" s="25" t="s">
        <v>1794</v>
      </c>
      <c r="B1361" s="25" t="s">
        <v>1798</v>
      </c>
      <c r="C1361" s="26">
        <v>122545</v>
      </c>
      <c r="D1361" s="25" t="s">
        <v>1839</v>
      </c>
      <c r="E1361" s="25" t="s">
        <v>1837</v>
      </c>
      <c r="F1361" s="26" t="s">
        <v>27</v>
      </c>
      <c r="G1361" s="26" t="s">
        <v>27</v>
      </c>
      <c r="H1361" s="26"/>
      <c r="I1361" s="26"/>
      <c r="J1361" s="26">
        <v>1</v>
      </c>
      <c r="K1361" s="26">
        <v>138</v>
      </c>
      <c r="L1361" s="26" t="s">
        <v>28</v>
      </c>
      <c r="M1361" s="27">
        <v>1946</v>
      </c>
      <c r="N1361" s="28"/>
      <c r="O1361" s="26" t="s">
        <v>29</v>
      </c>
      <c r="P1361" s="29"/>
      <c r="Q1361" s="6"/>
      <c r="R1361" s="29"/>
      <c r="S1361" s="10"/>
      <c r="T1361" s="8"/>
    </row>
    <row r="1362" spans="1:20" ht="15.75" customHeight="1" x14ac:dyDescent="0.35">
      <c r="A1362" s="25" t="s">
        <v>1794</v>
      </c>
      <c r="B1362" s="25" t="s">
        <v>1798</v>
      </c>
      <c r="C1362" s="26">
        <v>122547</v>
      </c>
      <c r="D1362" s="25" t="s">
        <v>1840</v>
      </c>
      <c r="E1362" s="25" t="s">
        <v>1835</v>
      </c>
      <c r="F1362" s="26" t="s">
        <v>27</v>
      </c>
      <c r="G1362" s="26" t="s">
        <v>27</v>
      </c>
      <c r="H1362" s="26">
        <v>1</v>
      </c>
      <c r="I1362" s="26">
        <v>1</v>
      </c>
      <c r="J1362" s="26">
        <v>1</v>
      </c>
      <c r="K1362" s="26">
        <v>138</v>
      </c>
      <c r="L1362" s="26" t="s">
        <v>28</v>
      </c>
      <c r="M1362" s="27">
        <v>1981</v>
      </c>
      <c r="N1362" s="30">
        <v>169079.12</v>
      </c>
      <c r="O1362" s="26" t="s">
        <v>29</v>
      </c>
      <c r="P1362" s="29"/>
      <c r="Q1362" s="6"/>
      <c r="R1362" s="29"/>
      <c r="S1362" s="10"/>
      <c r="T1362" s="8">
        <v>1</v>
      </c>
    </row>
    <row r="1363" spans="1:20" ht="15.75" customHeight="1" x14ac:dyDescent="0.35">
      <c r="A1363" s="25" t="s">
        <v>1794</v>
      </c>
      <c r="B1363" s="25" t="s">
        <v>1798</v>
      </c>
      <c r="C1363" s="26">
        <v>122550</v>
      </c>
      <c r="D1363" s="25" t="s">
        <v>300</v>
      </c>
      <c r="E1363" s="25" t="s">
        <v>1837</v>
      </c>
      <c r="F1363" s="26" t="s">
        <v>27</v>
      </c>
      <c r="G1363" s="26" t="s">
        <v>27</v>
      </c>
      <c r="H1363" s="26">
        <v>1</v>
      </c>
      <c r="I1363" s="26">
        <v>3</v>
      </c>
      <c r="J1363" s="26">
        <v>1</v>
      </c>
      <c r="K1363" s="26">
        <v>138</v>
      </c>
      <c r="L1363" s="26" t="s">
        <v>28</v>
      </c>
      <c r="M1363" s="27">
        <v>1991</v>
      </c>
      <c r="N1363" s="28">
        <v>299085.39</v>
      </c>
      <c r="O1363" s="26" t="s">
        <v>29</v>
      </c>
      <c r="P1363" s="29"/>
      <c r="Q1363" s="6"/>
      <c r="R1363" s="29"/>
      <c r="S1363" s="10"/>
      <c r="T1363" s="8">
        <v>1</v>
      </c>
    </row>
    <row r="1364" spans="1:20" ht="15.75" customHeight="1" x14ac:dyDescent="0.35">
      <c r="A1364" s="25" t="s">
        <v>1794</v>
      </c>
      <c r="B1364" s="25" t="s">
        <v>1798</v>
      </c>
      <c r="C1364" s="26">
        <v>122553</v>
      </c>
      <c r="D1364" s="25" t="s">
        <v>1714</v>
      </c>
      <c r="E1364" s="25" t="s">
        <v>1835</v>
      </c>
      <c r="F1364" s="26" t="s">
        <v>27</v>
      </c>
      <c r="G1364" s="26" t="s">
        <v>27</v>
      </c>
      <c r="H1364" s="26">
        <v>1</v>
      </c>
      <c r="I1364" s="26">
        <v>6</v>
      </c>
      <c r="J1364" s="26">
        <v>1</v>
      </c>
      <c r="K1364" s="26">
        <v>138</v>
      </c>
      <c r="L1364" s="26" t="s">
        <v>28</v>
      </c>
      <c r="M1364" s="27">
        <v>2001</v>
      </c>
      <c r="N1364" s="28">
        <v>558391.64</v>
      </c>
      <c r="O1364" s="26" t="s">
        <v>29</v>
      </c>
      <c r="P1364" s="29"/>
      <c r="Q1364" s="6"/>
      <c r="R1364" s="29"/>
      <c r="S1364" s="10"/>
      <c r="T1364" s="8">
        <v>1</v>
      </c>
    </row>
    <row r="1365" spans="1:20" ht="15.75" customHeight="1" x14ac:dyDescent="0.35">
      <c r="A1365" s="25" t="s">
        <v>1794</v>
      </c>
      <c r="B1365" s="25" t="s">
        <v>1798</v>
      </c>
      <c r="C1365" s="26">
        <v>122573</v>
      </c>
      <c r="D1365" s="25" t="s">
        <v>1841</v>
      </c>
      <c r="E1365" s="25" t="s">
        <v>1842</v>
      </c>
      <c r="F1365" s="26" t="s">
        <v>27</v>
      </c>
      <c r="G1365" s="26" t="s">
        <v>27</v>
      </c>
      <c r="H1365" s="26">
        <v>1</v>
      </c>
      <c r="I1365" s="26">
        <v>2</v>
      </c>
      <c r="J1365" s="26">
        <v>1</v>
      </c>
      <c r="K1365" s="26">
        <v>138</v>
      </c>
      <c r="L1365" s="26" t="s">
        <v>28</v>
      </c>
      <c r="M1365" s="27">
        <v>1950</v>
      </c>
      <c r="N1365" s="30">
        <v>224661.33</v>
      </c>
      <c r="O1365" s="26" t="s">
        <v>29</v>
      </c>
      <c r="P1365" s="29"/>
      <c r="Q1365" s="6"/>
      <c r="R1365" s="29"/>
      <c r="S1365" s="10"/>
      <c r="T1365" s="8">
        <v>1</v>
      </c>
    </row>
    <row r="1366" spans="1:20" ht="15.75" customHeight="1" x14ac:dyDescent="0.35">
      <c r="A1366" s="25" t="s">
        <v>1794</v>
      </c>
      <c r="B1366" s="25" t="s">
        <v>1798</v>
      </c>
      <c r="C1366" s="26">
        <v>122576</v>
      </c>
      <c r="D1366" s="25" t="s">
        <v>1843</v>
      </c>
      <c r="E1366" s="25" t="s">
        <v>1842</v>
      </c>
      <c r="F1366" s="26" t="s">
        <v>27</v>
      </c>
      <c r="G1366" s="26" t="s">
        <v>27</v>
      </c>
      <c r="H1366" s="26">
        <v>1</v>
      </c>
      <c r="I1366" s="26">
        <v>2</v>
      </c>
      <c r="J1366" s="26">
        <v>1</v>
      </c>
      <c r="K1366" s="26">
        <v>138</v>
      </c>
      <c r="L1366" s="26" t="s">
        <v>28</v>
      </c>
      <c r="M1366" s="27">
        <v>1961</v>
      </c>
      <c r="N1366" s="30">
        <v>224988.77</v>
      </c>
      <c r="O1366" s="26" t="s">
        <v>29</v>
      </c>
      <c r="P1366" s="29"/>
      <c r="Q1366" s="6"/>
      <c r="R1366" s="29"/>
      <c r="S1366" s="10"/>
      <c r="T1366" s="8">
        <v>1</v>
      </c>
    </row>
    <row r="1367" spans="1:20" ht="15.75" customHeight="1" x14ac:dyDescent="0.35">
      <c r="A1367" s="25" t="s">
        <v>1794</v>
      </c>
      <c r="B1367" s="25" t="s">
        <v>1798</v>
      </c>
      <c r="C1367" s="26">
        <v>122577</v>
      </c>
      <c r="D1367" s="25" t="s">
        <v>326</v>
      </c>
      <c r="E1367" s="25" t="s">
        <v>1842</v>
      </c>
      <c r="F1367" s="26" t="s">
        <v>27</v>
      </c>
      <c r="G1367" s="26" t="s">
        <v>27</v>
      </c>
      <c r="H1367" s="26">
        <v>1</v>
      </c>
      <c r="I1367" s="26">
        <v>3</v>
      </c>
      <c r="J1367" s="26">
        <v>1</v>
      </c>
      <c r="K1367" s="26">
        <v>138</v>
      </c>
      <c r="L1367" s="26" t="s">
        <v>28</v>
      </c>
      <c r="M1367" s="27">
        <v>1966</v>
      </c>
      <c r="N1367" s="28">
        <v>312132.55</v>
      </c>
      <c r="O1367" s="26" t="s">
        <v>29</v>
      </c>
      <c r="P1367" s="29"/>
      <c r="Q1367" s="6"/>
      <c r="R1367" s="29"/>
      <c r="S1367" s="10"/>
      <c r="T1367" s="8">
        <v>1</v>
      </c>
    </row>
    <row r="1368" spans="1:20" ht="15.75" customHeight="1" x14ac:dyDescent="0.35">
      <c r="A1368" s="25" t="s">
        <v>1794</v>
      </c>
      <c r="B1368" s="25" t="s">
        <v>1798</v>
      </c>
      <c r="C1368" s="26">
        <v>122580</v>
      </c>
      <c r="D1368" s="25" t="s">
        <v>1844</v>
      </c>
      <c r="E1368" s="25" t="s">
        <v>1842</v>
      </c>
      <c r="F1368" s="26" t="s">
        <v>27</v>
      </c>
      <c r="G1368" s="26" t="s">
        <v>27</v>
      </c>
      <c r="H1368" s="26">
        <v>1</v>
      </c>
      <c r="I1368" s="26">
        <v>2</v>
      </c>
      <c r="J1368" s="26">
        <v>1</v>
      </c>
      <c r="K1368" s="26">
        <v>138</v>
      </c>
      <c r="L1368" s="26" t="s">
        <v>28</v>
      </c>
      <c r="M1368" s="27">
        <v>1977</v>
      </c>
      <c r="N1368" s="30">
        <v>233222.41</v>
      </c>
      <c r="O1368" s="26" t="s">
        <v>29</v>
      </c>
      <c r="P1368" s="29"/>
      <c r="Q1368" s="6"/>
      <c r="R1368" s="29"/>
      <c r="S1368" s="10"/>
      <c r="T1368" s="8">
        <v>1</v>
      </c>
    </row>
    <row r="1369" spans="1:20" ht="15.75" customHeight="1" x14ac:dyDescent="0.35">
      <c r="A1369" s="25" t="s">
        <v>1794</v>
      </c>
      <c r="B1369" s="25" t="s">
        <v>1798</v>
      </c>
      <c r="C1369" s="26">
        <v>122581</v>
      </c>
      <c r="D1369" s="25" t="s">
        <v>1845</v>
      </c>
      <c r="E1369" s="25" t="s">
        <v>1842</v>
      </c>
      <c r="F1369" s="26" t="s">
        <v>27</v>
      </c>
      <c r="G1369" s="26" t="s">
        <v>27</v>
      </c>
      <c r="H1369" s="26">
        <v>1</v>
      </c>
      <c r="I1369" s="26">
        <v>3</v>
      </c>
      <c r="J1369" s="26">
        <v>1</v>
      </c>
      <c r="K1369" s="26">
        <v>138</v>
      </c>
      <c r="L1369" s="26" t="s">
        <v>28</v>
      </c>
      <c r="M1369" s="27">
        <v>1979</v>
      </c>
      <c r="N1369" s="28">
        <v>329283.84999999998</v>
      </c>
      <c r="O1369" s="26" t="s">
        <v>29</v>
      </c>
      <c r="P1369" s="29"/>
      <c r="Q1369" s="6"/>
      <c r="R1369" s="29"/>
      <c r="S1369" s="10"/>
      <c r="T1369" s="8">
        <v>1</v>
      </c>
    </row>
    <row r="1370" spans="1:20" ht="15.75" customHeight="1" x14ac:dyDescent="0.35">
      <c r="A1370" s="25" t="s">
        <v>1794</v>
      </c>
      <c r="B1370" s="25" t="s">
        <v>1798</v>
      </c>
      <c r="C1370" s="26">
        <v>122582</v>
      </c>
      <c r="D1370" s="25" t="s">
        <v>216</v>
      </c>
      <c r="E1370" s="25" t="s">
        <v>1842</v>
      </c>
      <c r="F1370" s="26" t="s">
        <v>27</v>
      </c>
      <c r="G1370" s="26" t="s">
        <v>27</v>
      </c>
      <c r="H1370" s="26">
        <v>1</v>
      </c>
      <c r="I1370" s="26">
        <v>5</v>
      </c>
      <c r="J1370" s="26">
        <v>1</v>
      </c>
      <c r="K1370" s="26">
        <v>138</v>
      </c>
      <c r="L1370" s="26" t="s">
        <v>28</v>
      </c>
      <c r="M1370" s="27">
        <v>1989</v>
      </c>
      <c r="N1370" s="28">
        <v>459544.25</v>
      </c>
      <c r="O1370" s="26" t="s">
        <v>29</v>
      </c>
      <c r="P1370" s="29"/>
      <c r="Q1370" s="6"/>
      <c r="R1370" s="29"/>
      <c r="S1370" s="10"/>
      <c r="T1370" s="8">
        <v>1</v>
      </c>
    </row>
    <row r="1371" spans="1:20" ht="15.75" customHeight="1" x14ac:dyDescent="0.35">
      <c r="A1371" s="25" t="s">
        <v>1794</v>
      </c>
      <c r="B1371" s="25" t="s">
        <v>1798</v>
      </c>
      <c r="C1371" s="26">
        <v>122615</v>
      </c>
      <c r="D1371" s="25" t="s">
        <v>1811</v>
      </c>
      <c r="E1371" s="25" t="s">
        <v>1846</v>
      </c>
      <c r="F1371" s="26" t="s">
        <v>27</v>
      </c>
      <c r="G1371" s="26" t="s">
        <v>27</v>
      </c>
      <c r="H1371" s="26">
        <v>1</v>
      </c>
      <c r="I1371" s="26">
        <v>2</v>
      </c>
      <c r="J1371" s="26">
        <v>1</v>
      </c>
      <c r="K1371" s="26">
        <v>138</v>
      </c>
      <c r="L1371" s="26" t="s">
        <v>28</v>
      </c>
      <c r="M1371" s="27">
        <v>1954</v>
      </c>
      <c r="N1371" s="30">
        <v>223783.25</v>
      </c>
      <c r="O1371" s="26" t="s">
        <v>29</v>
      </c>
      <c r="P1371" s="29"/>
      <c r="Q1371" s="6"/>
      <c r="R1371" s="29"/>
      <c r="S1371" s="10"/>
      <c r="T1371" s="8">
        <v>1</v>
      </c>
    </row>
    <row r="1372" spans="1:20" ht="15.75" customHeight="1" x14ac:dyDescent="0.35">
      <c r="A1372" s="25" t="s">
        <v>1794</v>
      </c>
      <c r="B1372" s="25" t="s">
        <v>1798</v>
      </c>
      <c r="C1372" s="26">
        <v>122629</v>
      </c>
      <c r="D1372" s="25" t="s">
        <v>1847</v>
      </c>
      <c r="E1372" s="25" t="s">
        <v>1846</v>
      </c>
      <c r="F1372" s="26" t="s">
        <v>27</v>
      </c>
      <c r="G1372" s="26" t="s">
        <v>27</v>
      </c>
      <c r="H1372" s="26">
        <v>1</v>
      </c>
      <c r="I1372" s="26">
        <v>3</v>
      </c>
      <c r="J1372" s="26">
        <v>1</v>
      </c>
      <c r="K1372" s="26">
        <v>138</v>
      </c>
      <c r="L1372" s="26" t="s">
        <v>28</v>
      </c>
      <c r="M1372" s="27">
        <v>1982</v>
      </c>
      <c r="N1372" s="28">
        <v>303314.44</v>
      </c>
      <c r="O1372" s="26" t="s">
        <v>29</v>
      </c>
      <c r="P1372" s="29"/>
      <c r="Q1372" s="6"/>
      <c r="R1372" s="29"/>
      <c r="S1372" s="10"/>
      <c r="T1372" s="8">
        <v>1</v>
      </c>
    </row>
    <row r="1373" spans="1:20" ht="15.75" customHeight="1" x14ac:dyDescent="0.35">
      <c r="A1373" s="25" t="s">
        <v>1794</v>
      </c>
      <c r="B1373" s="25" t="s">
        <v>1798</v>
      </c>
      <c r="C1373" s="26">
        <v>122630</v>
      </c>
      <c r="D1373" s="25" t="s">
        <v>1848</v>
      </c>
      <c r="E1373" s="25" t="s">
        <v>1846</v>
      </c>
      <c r="F1373" s="26" t="s">
        <v>27</v>
      </c>
      <c r="G1373" s="26" t="s">
        <v>27</v>
      </c>
      <c r="H1373" s="26">
        <v>1</v>
      </c>
      <c r="I1373" s="26">
        <v>3</v>
      </c>
      <c r="J1373" s="26">
        <v>1</v>
      </c>
      <c r="K1373" s="26">
        <v>138</v>
      </c>
      <c r="L1373" s="26" t="s">
        <v>28</v>
      </c>
      <c r="M1373" s="27">
        <v>1995</v>
      </c>
      <c r="N1373" s="28">
        <v>298329.53000000003</v>
      </c>
      <c r="O1373" s="26" t="s">
        <v>29</v>
      </c>
      <c r="P1373" s="29"/>
      <c r="Q1373" s="6"/>
      <c r="R1373" s="29"/>
      <c r="S1373" s="10"/>
      <c r="T1373" s="8">
        <v>1</v>
      </c>
    </row>
    <row r="1374" spans="1:20" ht="15.75" customHeight="1" x14ac:dyDescent="0.35">
      <c r="A1374" s="25" t="s">
        <v>1794</v>
      </c>
      <c r="B1374" s="25" t="s">
        <v>1798</v>
      </c>
      <c r="C1374" s="26">
        <v>122652</v>
      </c>
      <c r="D1374" s="25" t="s">
        <v>1849</v>
      </c>
      <c r="E1374" s="25" t="s">
        <v>1850</v>
      </c>
      <c r="F1374" s="26" t="s">
        <v>27</v>
      </c>
      <c r="G1374" s="26" t="s">
        <v>27</v>
      </c>
      <c r="H1374" s="26">
        <v>1</v>
      </c>
      <c r="I1374" s="26">
        <v>6</v>
      </c>
      <c r="J1374" s="26">
        <v>1</v>
      </c>
      <c r="K1374" s="26">
        <v>138</v>
      </c>
      <c r="L1374" s="26" t="s">
        <v>28</v>
      </c>
      <c r="M1374" s="27">
        <v>1926</v>
      </c>
      <c r="N1374" s="28">
        <v>553874.61</v>
      </c>
      <c r="O1374" s="26" t="s">
        <v>29</v>
      </c>
      <c r="P1374" s="29"/>
      <c r="Q1374" s="6"/>
      <c r="R1374" s="29"/>
      <c r="S1374" s="10"/>
      <c r="T1374" s="8">
        <v>1</v>
      </c>
    </row>
    <row r="1375" spans="1:20" ht="15.75" customHeight="1" x14ac:dyDescent="0.35">
      <c r="A1375" s="25" t="s">
        <v>1794</v>
      </c>
      <c r="B1375" s="25" t="s">
        <v>1798</v>
      </c>
      <c r="C1375" s="26">
        <v>122653</v>
      </c>
      <c r="D1375" s="25" t="s">
        <v>1824</v>
      </c>
      <c r="E1375" s="25" t="s">
        <v>1850</v>
      </c>
      <c r="F1375" s="26" t="s">
        <v>27</v>
      </c>
      <c r="G1375" s="26" t="s">
        <v>27</v>
      </c>
      <c r="H1375" s="26">
        <v>1</v>
      </c>
      <c r="I1375" s="26">
        <v>2</v>
      </c>
      <c r="J1375" s="26">
        <v>1</v>
      </c>
      <c r="K1375" s="26">
        <v>138</v>
      </c>
      <c r="L1375" s="26" t="s">
        <v>28</v>
      </c>
      <c r="M1375" s="27">
        <v>1929</v>
      </c>
      <c r="N1375" s="30">
        <v>234478.86</v>
      </c>
      <c r="O1375" s="26" t="s">
        <v>29</v>
      </c>
      <c r="P1375" s="29"/>
      <c r="Q1375" s="6"/>
      <c r="R1375" s="29"/>
      <c r="S1375" s="10"/>
      <c r="T1375" s="8">
        <v>1</v>
      </c>
    </row>
    <row r="1376" spans="1:20" ht="15.75" customHeight="1" x14ac:dyDescent="0.35">
      <c r="A1376" s="25" t="s">
        <v>1794</v>
      </c>
      <c r="B1376" s="25" t="s">
        <v>1798</v>
      </c>
      <c r="C1376" s="26">
        <v>122655</v>
      </c>
      <c r="D1376" s="25" t="s">
        <v>1851</v>
      </c>
      <c r="E1376" s="25" t="s">
        <v>1850</v>
      </c>
      <c r="F1376" s="26" t="s">
        <v>27</v>
      </c>
      <c r="G1376" s="26" t="s">
        <v>27</v>
      </c>
      <c r="H1376" s="26">
        <v>1</v>
      </c>
      <c r="I1376" s="26">
        <v>3</v>
      </c>
      <c r="J1376" s="26">
        <v>1</v>
      </c>
      <c r="K1376" s="26">
        <v>138</v>
      </c>
      <c r="L1376" s="26" t="s">
        <v>28</v>
      </c>
      <c r="M1376" s="27">
        <v>1930</v>
      </c>
      <c r="N1376" s="28">
        <v>392928.66</v>
      </c>
      <c r="O1376" s="26" t="s">
        <v>29</v>
      </c>
      <c r="P1376" s="29"/>
      <c r="Q1376" s="6"/>
      <c r="R1376" s="29"/>
      <c r="S1376" s="10"/>
      <c r="T1376" s="8">
        <v>1</v>
      </c>
    </row>
    <row r="1377" spans="1:20" ht="15.75" customHeight="1" x14ac:dyDescent="0.35">
      <c r="A1377" s="25" t="s">
        <v>1794</v>
      </c>
      <c r="B1377" s="25" t="s">
        <v>1798</v>
      </c>
      <c r="C1377" s="26">
        <v>122664</v>
      </c>
      <c r="D1377" s="25" t="s">
        <v>1852</v>
      </c>
      <c r="E1377" s="25" t="s">
        <v>1850</v>
      </c>
      <c r="F1377" s="26" t="s">
        <v>27</v>
      </c>
      <c r="G1377" s="26" t="s">
        <v>27</v>
      </c>
      <c r="H1377" s="26">
        <v>1</v>
      </c>
      <c r="I1377" s="26">
        <v>2</v>
      </c>
      <c r="J1377" s="26">
        <v>1</v>
      </c>
      <c r="K1377" s="26">
        <v>138</v>
      </c>
      <c r="L1377" s="26" t="s">
        <v>28</v>
      </c>
      <c r="M1377" s="27">
        <v>1956</v>
      </c>
      <c r="N1377" s="30">
        <v>219556.54</v>
      </c>
      <c r="O1377" s="26" t="s">
        <v>29</v>
      </c>
      <c r="P1377" s="29"/>
      <c r="Q1377" s="6"/>
      <c r="R1377" s="29"/>
      <c r="S1377" s="10"/>
      <c r="T1377" s="8">
        <v>1</v>
      </c>
    </row>
    <row r="1378" spans="1:20" ht="15.75" customHeight="1" x14ac:dyDescent="0.35">
      <c r="A1378" s="25" t="s">
        <v>1794</v>
      </c>
      <c r="B1378" s="25" t="s">
        <v>1798</v>
      </c>
      <c r="C1378" s="26">
        <v>122667</v>
      </c>
      <c r="D1378" s="25" t="s">
        <v>1853</v>
      </c>
      <c r="E1378" s="25" t="s">
        <v>1850</v>
      </c>
      <c r="F1378" s="26" t="s">
        <v>27</v>
      </c>
      <c r="G1378" s="26" t="s">
        <v>27</v>
      </c>
      <c r="H1378" s="26">
        <v>1</v>
      </c>
      <c r="I1378" s="26">
        <v>3</v>
      </c>
      <c r="J1378" s="26">
        <v>1</v>
      </c>
      <c r="K1378" s="26">
        <v>138</v>
      </c>
      <c r="L1378" s="26" t="s">
        <v>28</v>
      </c>
      <c r="M1378" s="27">
        <v>1969</v>
      </c>
      <c r="N1378" s="28">
        <v>323913.65000000002</v>
      </c>
      <c r="O1378" s="26" t="s">
        <v>29</v>
      </c>
      <c r="P1378" s="29"/>
      <c r="Q1378" s="6"/>
      <c r="R1378" s="29"/>
      <c r="S1378" s="10"/>
      <c r="T1378" s="8">
        <v>1</v>
      </c>
    </row>
    <row r="1379" spans="1:20" ht="15.75" customHeight="1" x14ac:dyDescent="0.35">
      <c r="A1379" s="25" t="s">
        <v>1794</v>
      </c>
      <c r="B1379" s="25" t="s">
        <v>1798</v>
      </c>
      <c r="C1379" s="26">
        <v>122669</v>
      </c>
      <c r="D1379" s="25" t="s">
        <v>940</v>
      </c>
      <c r="E1379" s="25" t="s">
        <v>1850</v>
      </c>
      <c r="F1379" s="26" t="s">
        <v>27</v>
      </c>
      <c r="G1379" s="26" t="s">
        <v>27</v>
      </c>
      <c r="H1379" s="26">
        <v>1</v>
      </c>
      <c r="I1379" s="26">
        <v>5</v>
      </c>
      <c r="J1379" s="26">
        <v>1</v>
      </c>
      <c r="K1379" s="26">
        <v>138</v>
      </c>
      <c r="L1379" s="26" t="s">
        <v>28</v>
      </c>
      <c r="M1379" s="27">
        <v>1978</v>
      </c>
      <c r="N1379" s="28">
        <v>469541.73</v>
      </c>
      <c r="O1379" s="26" t="s">
        <v>29</v>
      </c>
      <c r="P1379" s="29"/>
      <c r="Q1379" s="6"/>
      <c r="R1379" s="29"/>
      <c r="S1379" s="10"/>
      <c r="T1379" s="8">
        <v>1</v>
      </c>
    </row>
    <row r="1380" spans="1:20" ht="15.75" customHeight="1" x14ac:dyDescent="0.35">
      <c r="A1380" s="25" t="s">
        <v>1794</v>
      </c>
      <c r="B1380" s="25" t="s">
        <v>1798</v>
      </c>
      <c r="C1380" s="26">
        <v>122677</v>
      </c>
      <c r="D1380" s="25" t="s">
        <v>1854</v>
      </c>
      <c r="E1380" s="25" t="s">
        <v>1855</v>
      </c>
      <c r="F1380" s="26" t="s">
        <v>27</v>
      </c>
      <c r="G1380" s="26" t="s">
        <v>27</v>
      </c>
      <c r="H1380" s="26">
        <v>1</v>
      </c>
      <c r="I1380" s="26">
        <v>2</v>
      </c>
      <c r="J1380" s="26">
        <v>1</v>
      </c>
      <c r="K1380" s="26">
        <v>138</v>
      </c>
      <c r="L1380" s="26" t="s">
        <v>28</v>
      </c>
      <c r="M1380" s="27">
        <v>1947</v>
      </c>
      <c r="N1380" s="30">
        <v>230252.7</v>
      </c>
      <c r="O1380" s="26" t="s">
        <v>29</v>
      </c>
      <c r="P1380" s="29"/>
      <c r="Q1380" s="6"/>
      <c r="R1380" s="29"/>
      <c r="S1380" s="10"/>
      <c r="T1380" s="8">
        <v>1</v>
      </c>
    </row>
    <row r="1381" spans="1:20" ht="15.75" customHeight="1" x14ac:dyDescent="0.35">
      <c r="A1381" s="25" t="s">
        <v>1794</v>
      </c>
      <c r="B1381" s="25" t="s">
        <v>1798</v>
      </c>
      <c r="C1381" s="26">
        <v>122678</v>
      </c>
      <c r="D1381" s="25" t="s">
        <v>1856</v>
      </c>
      <c r="E1381" s="25" t="s">
        <v>1855</v>
      </c>
      <c r="F1381" s="26" t="s">
        <v>27</v>
      </c>
      <c r="G1381" s="26" t="s">
        <v>27</v>
      </c>
      <c r="H1381" s="26">
        <v>1</v>
      </c>
      <c r="I1381" s="26">
        <v>1</v>
      </c>
      <c r="J1381" s="26">
        <v>1</v>
      </c>
      <c r="K1381" s="26">
        <v>138</v>
      </c>
      <c r="L1381" s="26" t="s">
        <v>28</v>
      </c>
      <c r="M1381" s="27">
        <v>1949</v>
      </c>
      <c r="N1381" s="30">
        <v>168901.65</v>
      </c>
      <c r="O1381" s="26" t="s">
        <v>29</v>
      </c>
      <c r="P1381" s="29"/>
      <c r="Q1381" s="6"/>
      <c r="R1381" s="29"/>
      <c r="S1381" s="10"/>
      <c r="T1381" s="8">
        <v>1</v>
      </c>
    </row>
    <row r="1382" spans="1:20" ht="15.75" customHeight="1" x14ac:dyDescent="0.35">
      <c r="A1382" s="25" t="s">
        <v>1794</v>
      </c>
      <c r="B1382" s="25" t="s">
        <v>1798</v>
      </c>
      <c r="C1382" s="26">
        <v>122717</v>
      </c>
      <c r="D1382" s="25" t="s">
        <v>1857</v>
      </c>
      <c r="E1382" s="25" t="s">
        <v>1858</v>
      </c>
      <c r="F1382" s="26" t="s">
        <v>27</v>
      </c>
      <c r="G1382" s="26" t="s">
        <v>27</v>
      </c>
      <c r="H1382" s="26">
        <v>1</v>
      </c>
      <c r="I1382" s="26">
        <v>3</v>
      </c>
      <c r="J1382" s="26">
        <v>1</v>
      </c>
      <c r="K1382" s="26">
        <v>138</v>
      </c>
      <c r="L1382" s="26" t="s">
        <v>28</v>
      </c>
      <c r="M1382" s="27">
        <v>1968</v>
      </c>
      <c r="N1382" s="28">
        <v>336540.42</v>
      </c>
      <c r="O1382" s="26" t="s">
        <v>29</v>
      </c>
      <c r="P1382" s="29"/>
      <c r="Q1382" s="6"/>
      <c r="R1382" s="29"/>
      <c r="S1382" s="10"/>
      <c r="T1382" s="8">
        <v>1</v>
      </c>
    </row>
    <row r="1383" spans="1:20" ht="15.75" customHeight="1" x14ac:dyDescent="0.35">
      <c r="A1383" s="25" t="s">
        <v>1794</v>
      </c>
      <c r="B1383" s="25" t="s">
        <v>1798</v>
      </c>
      <c r="C1383" s="26">
        <v>122735</v>
      </c>
      <c r="D1383" s="25" t="s">
        <v>1859</v>
      </c>
      <c r="E1383" s="25" t="s">
        <v>1860</v>
      </c>
      <c r="F1383" s="26" t="s">
        <v>27</v>
      </c>
      <c r="G1383" s="26" t="s">
        <v>27</v>
      </c>
      <c r="H1383" s="26">
        <v>1</v>
      </c>
      <c r="I1383" s="26">
        <v>1</v>
      </c>
      <c r="J1383" s="26">
        <v>1</v>
      </c>
      <c r="K1383" s="26">
        <v>138</v>
      </c>
      <c r="L1383" s="26" t="s">
        <v>28</v>
      </c>
      <c r="M1383" s="27">
        <v>1932</v>
      </c>
      <c r="N1383" s="30">
        <v>170555.27</v>
      </c>
      <c r="O1383" s="26" t="s">
        <v>29</v>
      </c>
      <c r="P1383" s="29"/>
      <c r="Q1383" s="6"/>
      <c r="R1383" s="29"/>
      <c r="S1383" s="10"/>
      <c r="T1383" s="8">
        <v>1</v>
      </c>
    </row>
    <row r="1384" spans="1:20" ht="15.75" customHeight="1" x14ac:dyDescent="0.35">
      <c r="A1384" s="25" t="s">
        <v>1794</v>
      </c>
      <c r="B1384" s="25" t="s">
        <v>1798</v>
      </c>
      <c r="C1384" s="26">
        <v>122743</v>
      </c>
      <c r="D1384" s="25" t="s">
        <v>1861</v>
      </c>
      <c r="E1384" s="25" t="s">
        <v>1860</v>
      </c>
      <c r="F1384" s="26" t="s">
        <v>27</v>
      </c>
      <c r="G1384" s="26" t="s">
        <v>27</v>
      </c>
      <c r="H1384" s="26">
        <v>1</v>
      </c>
      <c r="I1384" s="26">
        <v>2</v>
      </c>
      <c r="J1384" s="26">
        <v>1</v>
      </c>
      <c r="K1384" s="26">
        <v>138</v>
      </c>
      <c r="L1384" s="26" t="s">
        <v>28</v>
      </c>
      <c r="M1384" s="27">
        <v>1994</v>
      </c>
      <c r="N1384" s="28">
        <v>218776.35</v>
      </c>
      <c r="O1384" s="26" t="s">
        <v>29</v>
      </c>
      <c r="P1384" s="29"/>
      <c r="Q1384" s="6"/>
      <c r="R1384" s="29"/>
      <c r="S1384" s="10"/>
      <c r="T1384" s="8">
        <v>1</v>
      </c>
    </row>
    <row r="1385" spans="1:20" ht="15.75" customHeight="1" x14ac:dyDescent="0.35">
      <c r="A1385" s="25" t="s">
        <v>1794</v>
      </c>
      <c r="B1385" s="25" t="s">
        <v>1798</v>
      </c>
      <c r="C1385" s="26">
        <v>122748</v>
      </c>
      <c r="D1385" s="25" t="s">
        <v>1862</v>
      </c>
      <c r="E1385" s="25" t="s">
        <v>1863</v>
      </c>
      <c r="F1385" s="26" t="s">
        <v>27</v>
      </c>
      <c r="G1385" s="26" t="s">
        <v>27</v>
      </c>
      <c r="H1385" s="26">
        <v>1</v>
      </c>
      <c r="I1385" s="26">
        <v>1</v>
      </c>
      <c r="J1385" s="26">
        <v>1</v>
      </c>
      <c r="K1385" s="26">
        <v>138</v>
      </c>
      <c r="L1385" s="26" t="s">
        <v>28</v>
      </c>
      <c r="M1385" s="27">
        <v>1962</v>
      </c>
      <c r="N1385" s="30">
        <v>186023.48</v>
      </c>
      <c r="O1385" s="26" t="s">
        <v>29</v>
      </c>
      <c r="P1385" s="29"/>
      <c r="Q1385" s="6"/>
      <c r="R1385" s="29"/>
      <c r="S1385" s="10"/>
      <c r="T1385" s="8">
        <v>1</v>
      </c>
    </row>
    <row r="1386" spans="1:20" ht="15.75" customHeight="1" x14ac:dyDescent="0.35">
      <c r="A1386" s="25" t="s">
        <v>1794</v>
      </c>
      <c r="B1386" s="25" t="s">
        <v>1798</v>
      </c>
      <c r="C1386" s="26">
        <v>122749</v>
      </c>
      <c r="D1386" s="25" t="s">
        <v>1864</v>
      </c>
      <c r="E1386" s="25" t="s">
        <v>1863</v>
      </c>
      <c r="F1386" s="26" t="s">
        <v>27</v>
      </c>
      <c r="G1386" s="26" t="s">
        <v>27</v>
      </c>
      <c r="H1386" s="26">
        <v>1</v>
      </c>
      <c r="I1386" s="26">
        <v>4</v>
      </c>
      <c r="J1386" s="26">
        <v>1</v>
      </c>
      <c r="K1386" s="26">
        <v>138</v>
      </c>
      <c r="L1386" s="26" t="s">
        <v>28</v>
      </c>
      <c r="M1386" s="27">
        <v>1965</v>
      </c>
      <c r="N1386" s="28">
        <v>387754.43</v>
      </c>
      <c r="O1386" s="26" t="s">
        <v>29</v>
      </c>
      <c r="P1386" s="29"/>
      <c r="Q1386" s="6"/>
      <c r="R1386" s="29"/>
      <c r="S1386" s="10"/>
      <c r="T1386" s="8">
        <v>1</v>
      </c>
    </row>
    <row r="1387" spans="1:20" ht="15.75" customHeight="1" x14ac:dyDescent="0.35">
      <c r="A1387" s="25" t="s">
        <v>1794</v>
      </c>
      <c r="B1387" s="25" t="s">
        <v>1798</v>
      </c>
      <c r="C1387" s="26">
        <v>122760</v>
      </c>
      <c r="D1387" s="25" t="s">
        <v>1865</v>
      </c>
      <c r="E1387" s="25" t="s">
        <v>1866</v>
      </c>
      <c r="F1387" s="26" t="s">
        <v>27</v>
      </c>
      <c r="G1387" s="26" t="s">
        <v>27</v>
      </c>
      <c r="H1387" s="26">
        <v>1</v>
      </c>
      <c r="I1387" s="26">
        <v>2</v>
      </c>
      <c r="J1387" s="26">
        <v>1</v>
      </c>
      <c r="K1387" s="26">
        <v>138</v>
      </c>
      <c r="L1387" s="26" t="s">
        <v>28</v>
      </c>
      <c r="M1387" s="27">
        <v>1935</v>
      </c>
      <c r="N1387" s="30">
        <v>213897.81</v>
      </c>
      <c r="O1387" s="26" t="s">
        <v>29</v>
      </c>
      <c r="P1387" s="29"/>
      <c r="Q1387" s="6"/>
      <c r="R1387" s="29"/>
      <c r="S1387" s="10"/>
      <c r="T1387" s="8">
        <v>1</v>
      </c>
    </row>
    <row r="1388" spans="1:20" ht="15.75" customHeight="1" x14ac:dyDescent="0.35">
      <c r="A1388" s="25" t="s">
        <v>1794</v>
      </c>
      <c r="B1388" s="25" t="s">
        <v>1798</v>
      </c>
      <c r="C1388" s="26">
        <v>122762</v>
      </c>
      <c r="D1388" s="25" t="s">
        <v>1867</v>
      </c>
      <c r="E1388" s="25" t="s">
        <v>1866</v>
      </c>
      <c r="F1388" s="26" t="s">
        <v>27</v>
      </c>
      <c r="G1388" s="26" t="s">
        <v>27</v>
      </c>
      <c r="H1388" s="26">
        <v>1</v>
      </c>
      <c r="I1388" s="26">
        <v>2</v>
      </c>
      <c r="J1388" s="26">
        <v>1</v>
      </c>
      <c r="K1388" s="26">
        <v>138</v>
      </c>
      <c r="L1388" s="26" t="s">
        <v>28</v>
      </c>
      <c r="M1388" s="27">
        <v>1937</v>
      </c>
      <c r="N1388" s="30">
        <v>241138.48</v>
      </c>
      <c r="O1388" s="26" t="s">
        <v>29</v>
      </c>
      <c r="P1388" s="29"/>
      <c r="Q1388" s="6"/>
      <c r="R1388" s="29"/>
      <c r="S1388" s="10"/>
      <c r="T1388" s="8">
        <v>1</v>
      </c>
    </row>
    <row r="1389" spans="1:20" ht="15.75" customHeight="1" x14ac:dyDescent="0.35">
      <c r="A1389" s="25" t="s">
        <v>1794</v>
      </c>
      <c r="B1389" s="25" t="s">
        <v>1798</v>
      </c>
      <c r="C1389" s="26">
        <v>122764</v>
      </c>
      <c r="D1389" s="25" t="s">
        <v>1264</v>
      </c>
      <c r="E1389" s="25" t="s">
        <v>1866</v>
      </c>
      <c r="F1389" s="26" t="s">
        <v>27</v>
      </c>
      <c r="G1389" s="26" t="s">
        <v>27</v>
      </c>
      <c r="H1389" s="26">
        <v>1</v>
      </c>
      <c r="I1389" s="26">
        <v>2</v>
      </c>
      <c r="J1389" s="26">
        <v>1</v>
      </c>
      <c r="K1389" s="26">
        <v>138</v>
      </c>
      <c r="L1389" s="26" t="s">
        <v>28</v>
      </c>
      <c r="M1389" s="27">
        <v>1952</v>
      </c>
      <c r="N1389" s="30">
        <v>225506.12</v>
      </c>
      <c r="O1389" s="26" t="s">
        <v>29</v>
      </c>
      <c r="P1389" s="29"/>
      <c r="Q1389" s="6"/>
      <c r="R1389" s="29"/>
      <c r="S1389" s="10"/>
      <c r="T1389" s="8">
        <v>1</v>
      </c>
    </row>
    <row r="1390" spans="1:20" ht="15.75" customHeight="1" x14ac:dyDescent="0.35">
      <c r="A1390" s="25" t="s">
        <v>1794</v>
      </c>
      <c r="B1390" s="25" t="s">
        <v>1798</v>
      </c>
      <c r="C1390" s="26">
        <v>122765</v>
      </c>
      <c r="D1390" s="25" t="s">
        <v>1868</v>
      </c>
      <c r="E1390" s="25" t="s">
        <v>1866</v>
      </c>
      <c r="F1390" s="26" t="s">
        <v>27</v>
      </c>
      <c r="G1390" s="26" t="s">
        <v>27</v>
      </c>
      <c r="H1390" s="26">
        <v>1</v>
      </c>
      <c r="I1390" s="26">
        <v>3</v>
      </c>
      <c r="J1390" s="26">
        <v>1</v>
      </c>
      <c r="K1390" s="26">
        <v>138</v>
      </c>
      <c r="L1390" s="26" t="s">
        <v>28</v>
      </c>
      <c r="M1390" s="27">
        <v>1955</v>
      </c>
      <c r="N1390" s="28">
        <v>308879.48</v>
      </c>
      <c r="O1390" s="26" t="s">
        <v>29</v>
      </c>
      <c r="P1390" s="29"/>
      <c r="Q1390" s="6"/>
      <c r="R1390" s="29"/>
      <c r="S1390" s="10"/>
      <c r="T1390" s="8">
        <v>1</v>
      </c>
    </row>
    <row r="1391" spans="1:20" ht="15.75" customHeight="1" x14ac:dyDescent="0.35">
      <c r="A1391" s="25" t="s">
        <v>1794</v>
      </c>
      <c r="B1391" s="25" t="s">
        <v>1798</v>
      </c>
      <c r="C1391" s="26">
        <v>122766</v>
      </c>
      <c r="D1391" s="25" t="s">
        <v>1869</v>
      </c>
      <c r="E1391" s="25" t="s">
        <v>1866</v>
      </c>
      <c r="F1391" s="26" t="s">
        <v>27</v>
      </c>
      <c r="G1391" s="26" t="s">
        <v>27</v>
      </c>
      <c r="H1391" s="26">
        <v>1</v>
      </c>
      <c r="I1391" s="26">
        <v>1</v>
      </c>
      <c r="J1391" s="26">
        <v>1</v>
      </c>
      <c r="K1391" s="26">
        <v>138</v>
      </c>
      <c r="L1391" s="26" t="s">
        <v>28</v>
      </c>
      <c r="M1391" s="27">
        <v>1958</v>
      </c>
      <c r="N1391" s="30">
        <v>169344.07</v>
      </c>
      <c r="O1391" s="26" t="s">
        <v>29</v>
      </c>
      <c r="P1391" s="29"/>
      <c r="Q1391" s="6"/>
      <c r="R1391" s="29"/>
      <c r="S1391" s="10"/>
      <c r="T1391" s="8">
        <v>1</v>
      </c>
    </row>
    <row r="1392" spans="1:20" ht="15.75" customHeight="1" x14ac:dyDescent="0.35">
      <c r="A1392" s="25" t="s">
        <v>1794</v>
      </c>
      <c r="B1392" s="25" t="s">
        <v>1798</v>
      </c>
      <c r="C1392" s="26">
        <v>122774</v>
      </c>
      <c r="D1392" s="25" t="s">
        <v>1643</v>
      </c>
      <c r="E1392" s="25" t="s">
        <v>1866</v>
      </c>
      <c r="F1392" s="26" t="s">
        <v>27</v>
      </c>
      <c r="G1392" s="26" t="s">
        <v>27</v>
      </c>
      <c r="H1392" s="26">
        <v>1</v>
      </c>
      <c r="I1392" s="26">
        <v>2</v>
      </c>
      <c r="J1392" s="26">
        <v>1</v>
      </c>
      <c r="K1392" s="26">
        <v>138</v>
      </c>
      <c r="L1392" s="26" t="s">
        <v>28</v>
      </c>
      <c r="M1392" s="27">
        <v>1988</v>
      </c>
      <c r="N1392" s="28">
        <v>243122.67</v>
      </c>
      <c r="O1392" s="26" t="s">
        <v>29</v>
      </c>
      <c r="P1392" s="29"/>
      <c r="Q1392" s="6"/>
      <c r="R1392" s="29"/>
      <c r="S1392" s="10"/>
      <c r="T1392" s="8">
        <v>1</v>
      </c>
    </row>
    <row r="1393" spans="1:20" ht="15.75" customHeight="1" x14ac:dyDescent="0.35">
      <c r="A1393" s="25" t="s">
        <v>1794</v>
      </c>
      <c r="B1393" s="25" t="s">
        <v>1798</v>
      </c>
      <c r="C1393" s="26">
        <v>192501</v>
      </c>
      <c r="D1393" s="25" t="s">
        <v>1870</v>
      </c>
      <c r="E1393" s="25" t="s">
        <v>1799</v>
      </c>
      <c r="F1393" s="26" t="s">
        <v>27</v>
      </c>
      <c r="G1393" s="26" t="s">
        <v>27</v>
      </c>
      <c r="H1393" s="26">
        <v>1</v>
      </c>
      <c r="I1393" s="26">
        <v>1</v>
      </c>
      <c r="J1393" s="26">
        <v>1</v>
      </c>
      <c r="K1393" s="26">
        <v>138</v>
      </c>
      <c r="L1393" s="26" t="s">
        <v>28</v>
      </c>
      <c r="M1393" s="27">
        <v>1959</v>
      </c>
      <c r="N1393" s="30">
        <v>168654.72</v>
      </c>
      <c r="O1393" s="26" t="s">
        <v>29</v>
      </c>
      <c r="P1393" s="29"/>
      <c r="Q1393" s="6"/>
      <c r="R1393" s="29"/>
      <c r="S1393" s="10"/>
      <c r="T1393" s="8">
        <v>1</v>
      </c>
    </row>
    <row r="1394" spans="1:20" ht="15.75" customHeight="1" x14ac:dyDescent="0.35">
      <c r="A1394" s="25" t="s">
        <v>1794</v>
      </c>
      <c r="B1394" s="25" t="s">
        <v>1798</v>
      </c>
      <c r="C1394" s="26">
        <v>192502</v>
      </c>
      <c r="D1394" s="25" t="s">
        <v>1871</v>
      </c>
      <c r="E1394" s="25" t="s">
        <v>1825</v>
      </c>
      <c r="F1394" s="26" t="s">
        <v>27</v>
      </c>
      <c r="G1394" s="26" t="s">
        <v>27</v>
      </c>
      <c r="H1394" s="26">
        <v>1</v>
      </c>
      <c r="I1394" s="26">
        <v>1</v>
      </c>
      <c r="J1394" s="26">
        <v>1</v>
      </c>
      <c r="K1394" s="26">
        <v>138</v>
      </c>
      <c r="L1394" s="26" t="s">
        <v>28</v>
      </c>
      <c r="M1394" s="27">
        <v>1960</v>
      </c>
      <c r="N1394" s="30">
        <v>168161.09</v>
      </c>
      <c r="O1394" s="26" t="s">
        <v>29</v>
      </c>
      <c r="P1394" s="29"/>
      <c r="Q1394" s="6"/>
      <c r="R1394" s="29"/>
      <c r="S1394" s="10"/>
      <c r="T1394" s="8">
        <v>1</v>
      </c>
    </row>
    <row r="1395" spans="1:20" ht="15.75" customHeight="1" x14ac:dyDescent="0.35">
      <c r="A1395" s="25" t="s">
        <v>1794</v>
      </c>
      <c r="B1395" s="25" t="s">
        <v>1798</v>
      </c>
      <c r="C1395" s="26">
        <v>192505</v>
      </c>
      <c r="D1395" s="25" t="s">
        <v>1872</v>
      </c>
      <c r="E1395" s="25" t="s">
        <v>1812</v>
      </c>
      <c r="F1395" s="26" t="s">
        <v>27</v>
      </c>
      <c r="G1395" s="26" t="s">
        <v>27</v>
      </c>
      <c r="H1395" s="26">
        <v>1</v>
      </c>
      <c r="I1395" s="26">
        <v>3</v>
      </c>
      <c r="J1395" s="26">
        <v>1</v>
      </c>
      <c r="K1395" s="26">
        <v>138</v>
      </c>
      <c r="L1395" s="26" t="s">
        <v>28</v>
      </c>
      <c r="M1395" s="27">
        <v>1975</v>
      </c>
      <c r="N1395" s="28">
        <v>312518.46999999997</v>
      </c>
      <c r="O1395" s="26" t="s">
        <v>29</v>
      </c>
      <c r="P1395" s="29"/>
      <c r="Q1395" s="6"/>
      <c r="R1395" s="29"/>
      <c r="S1395" s="10"/>
      <c r="T1395" s="8">
        <v>1</v>
      </c>
    </row>
    <row r="1396" spans="1:20" ht="15.75" customHeight="1" x14ac:dyDescent="0.35">
      <c r="A1396" s="25" t="s">
        <v>1794</v>
      </c>
      <c r="B1396" s="25" t="s">
        <v>1798</v>
      </c>
      <c r="C1396" s="26">
        <v>192509</v>
      </c>
      <c r="D1396" s="25" t="s">
        <v>1873</v>
      </c>
      <c r="E1396" s="25" t="s">
        <v>1866</v>
      </c>
      <c r="F1396" s="26" t="s">
        <v>27</v>
      </c>
      <c r="G1396" s="26" t="s">
        <v>27</v>
      </c>
      <c r="H1396" s="26">
        <v>1</v>
      </c>
      <c r="I1396" s="26">
        <v>2</v>
      </c>
      <c r="J1396" s="26">
        <v>1</v>
      </c>
      <c r="K1396" s="26">
        <v>138</v>
      </c>
      <c r="L1396" s="26" t="s">
        <v>28</v>
      </c>
      <c r="M1396" s="27">
        <v>1972</v>
      </c>
      <c r="N1396" s="30">
        <v>227008.72</v>
      </c>
      <c r="O1396" s="26" t="s">
        <v>29</v>
      </c>
      <c r="P1396" s="29"/>
      <c r="Q1396" s="6"/>
      <c r="R1396" s="29"/>
      <c r="S1396" s="10"/>
      <c r="T1396" s="8">
        <v>1</v>
      </c>
    </row>
    <row r="1397" spans="1:20" ht="15.75" customHeight="1" x14ac:dyDescent="0.35">
      <c r="A1397" s="25" t="s">
        <v>1794</v>
      </c>
      <c r="B1397" s="25" t="s">
        <v>1798</v>
      </c>
      <c r="C1397" s="26">
        <v>192511</v>
      </c>
      <c r="D1397" s="25" t="s">
        <v>1874</v>
      </c>
      <c r="E1397" s="25" t="s">
        <v>1812</v>
      </c>
      <c r="F1397" s="26" t="s">
        <v>27</v>
      </c>
      <c r="G1397" s="26" t="s">
        <v>27</v>
      </c>
      <c r="H1397" s="26">
        <v>1</v>
      </c>
      <c r="I1397" s="26">
        <v>3</v>
      </c>
      <c r="J1397" s="26">
        <v>1</v>
      </c>
      <c r="K1397" s="26">
        <v>138</v>
      </c>
      <c r="L1397" s="26" t="s">
        <v>28</v>
      </c>
      <c r="M1397" s="27">
        <v>1941</v>
      </c>
      <c r="N1397" s="28">
        <v>324124.37</v>
      </c>
      <c r="O1397" s="26" t="s">
        <v>29</v>
      </c>
      <c r="P1397" s="29"/>
      <c r="Q1397" s="6"/>
      <c r="R1397" s="29"/>
      <c r="S1397" s="10"/>
      <c r="T1397" s="8">
        <v>1</v>
      </c>
    </row>
    <row r="1398" spans="1:20" ht="15.75" customHeight="1" x14ac:dyDescent="0.35">
      <c r="A1398" s="25" t="s">
        <v>1794</v>
      </c>
      <c r="B1398" s="25" t="s">
        <v>1798</v>
      </c>
      <c r="C1398" s="26">
        <v>192515</v>
      </c>
      <c r="D1398" s="25" t="s">
        <v>1875</v>
      </c>
      <c r="E1398" s="25" t="s">
        <v>1820</v>
      </c>
      <c r="F1398" s="26" t="s">
        <v>27</v>
      </c>
      <c r="G1398" s="26" t="s">
        <v>27</v>
      </c>
      <c r="H1398" s="26">
        <v>1</v>
      </c>
      <c r="I1398" s="26">
        <v>2</v>
      </c>
      <c r="J1398" s="26">
        <v>1</v>
      </c>
      <c r="K1398" s="26">
        <v>138</v>
      </c>
      <c r="L1398" s="26" t="s">
        <v>28</v>
      </c>
      <c r="M1398" s="27">
        <v>1999</v>
      </c>
      <c r="N1398" s="28">
        <v>222349.09</v>
      </c>
      <c r="O1398" s="26" t="s">
        <v>29</v>
      </c>
      <c r="P1398" s="29"/>
      <c r="Q1398" s="6"/>
      <c r="R1398" s="29"/>
      <c r="S1398" s="10"/>
      <c r="T1398" s="8">
        <v>1</v>
      </c>
    </row>
    <row r="1399" spans="1:20" ht="15.75" customHeight="1" x14ac:dyDescent="0.35">
      <c r="A1399" s="25" t="s">
        <v>1794</v>
      </c>
      <c r="B1399" s="25" t="s">
        <v>1798</v>
      </c>
      <c r="C1399" s="26">
        <v>192518</v>
      </c>
      <c r="D1399" s="25" t="s">
        <v>1876</v>
      </c>
      <c r="E1399" s="25" t="s">
        <v>1835</v>
      </c>
      <c r="F1399" s="26" t="s">
        <v>27</v>
      </c>
      <c r="G1399" s="26" t="s">
        <v>27</v>
      </c>
      <c r="H1399" s="26">
        <v>1</v>
      </c>
      <c r="I1399" s="26">
        <v>1</v>
      </c>
      <c r="J1399" s="26">
        <v>1</v>
      </c>
      <c r="K1399" s="26">
        <v>138</v>
      </c>
      <c r="L1399" s="26" t="s">
        <v>28</v>
      </c>
      <c r="M1399" s="27">
        <v>1996</v>
      </c>
      <c r="N1399" s="28">
        <v>176549.25</v>
      </c>
      <c r="O1399" s="26" t="s">
        <v>29</v>
      </c>
      <c r="P1399" s="29"/>
      <c r="Q1399" s="6"/>
      <c r="R1399" s="29"/>
      <c r="S1399" s="10"/>
      <c r="T1399" s="8">
        <v>1</v>
      </c>
    </row>
    <row r="1400" spans="1:20" ht="15.75" customHeight="1" x14ac:dyDescent="0.35">
      <c r="A1400" s="25" t="s">
        <v>1794</v>
      </c>
      <c r="B1400" s="25" t="s">
        <v>1798</v>
      </c>
      <c r="C1400" s="26">
        <v>192519</v>
      </c>
      <c r="D1400" s="25" t="s">
        <v>1877</v>
      </c>
      <c r="E1400" s="25" t="s">
        <v>1835</v>
      </c>
      <c r="F1400" s="26" t="s">
        <v>27</v>
      </c>
      <c r="G1400" s="26" t="s">
        <v>27</v>
      </c>
      <c r="H1400" s="26">
        <v>1</v>
      </c>
      <c r="I1400" s="26">
        <v>2</v>
      </c>
      <c r="J1400" s="26">
        <v>1</v>
      </c>
      <c r="K1400" s="26">
        <v>138</v>
      </c>
      <c r="L1400" s="26" t="s">
        <v>28</v>
      </c>
      <c r="M1400" s="27">
        <v>1985</v>
      </c>
      <c r="N1400" s="30">
        <v>224354.54</v>
      </c>
      <c r="O1400" s="26" t="s">
        <v>29</v>
      </c>
      <c r="P1400" s="29"/>
      <c r="Q1400" s="6"/>
      <c r="R1400" s="29"/>
      <c r="S1400" s="10"/>
      <c r="T1400" s="8">
        <v>1</v>
      </c>
    </row>
    <row r="1401" spans="1:20" ht="15.75" customHeight="1" x14ac:dyDescent="0.35">
      <c r="A1401" s="25" t="s">
        <v>1794</v>
      </c>
      <c r="B1401" s="25" t="s">
        <v>1798</v>
      </c>
      <c r="C1401" s="26">
        <v>313523</v>
      </c>
      <c r="D1401" s="25" t="s">
        <v>1878</v>
      </c>
      <c r="E1401" s="25" t="s">
        <v>1846</v>
      </c>
      <c r="F1401" s="26" t="s">
        <v>27</v>
      </c>
      <c r="G1401" s="26" t="s">
        <v>27</v>
      </c>
      <c r="H1401" s="26"/>
      <c r="I1401" s="26"/>
      <c r="J1401" s="26">
        <v>1</v>
      </c>
      <c r="K1401" s="26">
        <v>138</v>
      </c>
      <c r="L1401" s="26" t="s">
        <v>28</v>
      </c>
      <c r="M1401" s="27">
        <v>1963</v>
      </c>
      <c r="N1401" s="28"/>
      <c r="O1401" s="26" t="s">
        <v>29</v>
      </c>
      <c r="P1401" s="29"/>
      <c r="Q1401" s="6"/>
      <c r="R1401" s="29"/>
      <c r="S1401" s="10"/>
      <c r="T1401" s="8"/>
    </row>
    <row r="1402" spans="1:20" ht="15.75" customHeight="1" x14ac:dyDescent="0.35">
      <c r="A1402" s="25" t="s">
        <v>1794</v>
      </c>
      <c r="B1402" s="25" t="s">
        <v>1879</v>
      </c>
      <c r="C1402" s="26">
        <v>323102</v>
      </c>
      <c r="D1402" s="25" t="s">
        <v>1880</v>
      </c>
      <c r="E1402" s="25" t="s">
        <v>1881</v>
      </c>
      <c r="F1402" s="26" t="s">
        <v>27</v>
      </c>
      <c r="G1402" s="26" t="s">
        <v>27</v>
      </c>
      <c r="H1402" s="26"/>
      <c r="I1402" s="26"/>
      <c r="J1402" s="26">
        <v>1</v>
      </c>
      <c r="K1402" s="26">
        <v>138</v>
      </c>
      <c r="L1402" s="26" t="s">
        <v>28</v>
      </c>
      <c r="M1402" s="27">
        <v>2006</v>
      </c>
      <c r="N1402" s="28"/>
      <c r="O1402" s="26" t="s">
        <v>29</v>
      </c>
      <c r="P1402" s="29"/>
      <c r="Q1402" s="6"/>
      <c r="R1402" s="29"/>
      <c r="S1402" s="10"/>
      <c r="T1402" s="8"/>
    </row>
    <row r="1403" spans="1:20" ht="15.75" customHeight="1" x14ac:dyDescent="0.35">
      <c r="A1403" s="25" t="s">
        <v>1794</v>
      </c>
      <c r="B1403" s="25" t="s">
        <v>1879</v>
      </c>
      <c r="C1403" s="26">
        <v>323103</v>
      </c>
      <c r="D1403" s="25" t="s">
        <v>1882</v>
      </c>
      <c r="E1403" s="25" t="s">
        <v>1881</v>
      </c>
      <c r="F1403" s="26" t="s">
        <v>27</v>
      </c>
      <c r="G1403" s="26" t="s">
        <v>27</v>
      </c>
      <c r="H1403" s="26"/>
      <c r="I1403" s="26"/>
      <c r="J1403" s="26">
        <v>1</v>
      </c>
      <c r="K1403" s="26">
        <v>138</v>
      </c>
      <c r="L1403" s="26" t="s">
        <v>28</v>
      </c>
      <c r="M1403" s="27">
        <v>2005</v>
      </c>
      <c r="N1403" s="28"/>
      <c r="O1403" s="26" t="s">
        <v>29</v>
      </c>
      <c r="P1403" s="29"/>
      <c r="Q1403" s="6"/>
      <c r="R1403" s="29"/>
      <c r="S1403" s="10"/>
      <c r="T1403" s="8"/>
    </row>
    <row r="1404" spans="1:20" ht="15.75" customHeight="1" x14ac:dyDescent="0.35">
      <c r="A1404" s="25" t="s">
        <v>1794</v>
      </c>
      <c r="B1404" s="25" t="s">
        <v>1879</v>
      </c>
      <c r="C1404" s="26">
        <v>323104</v>
      </c>
      <c r="D1404" s="25" t="s">
        <v>1883</v>
      </c>
      <c r="E1404" s="25" t="s">
        <v>1881</v>
      </c>
      <c r="F1404" s="26" t="s">
        <v>27</v>
      </c>
      <c r="G1404" s="26" t="s">
        <v>27</v>
      </c>
      <c r="H1404" s="26"/>
      <c r="I1404" s="26"/>
      <c r="J1404" s="26">
        <v>1</v>
      </c>
      <c r="K1404" s="26">
        <v>138</v>
      </c>
      <c r="L1404" s="26" t="s">
        <v>28</v>
      </c>
      <c r="M1404" s="27">
        <v>2004</v>
      </c>
      <c r="N1404" s="28"/>
      <c r="O1404" s="26" t="s">
        <v>29</v>
      </c>
      <c r="P1404" s="29"/>
      <c r="Q1404" s="6"/>
      <c r="R1404" s="29"/>
      <c r="S1404" s="10"/>
      <c r="T1404" s="8"/>
    </row>
    <row r="1405" spans="1:20" ht="15.75" customHeight="1" x14ac:dyDescent="0.35">
      <c r="A1405" s="25" t="s">
        <v>1794</v>
      </c>
      <c r="B1405" s="25" t="s">
        <v>1884</v>
      </c>
      <c r="C1405" s="26">
        <v>121993</v>
      </c>
      <c r="D1405" s="25" t="s">
        <v>1885</v>
      </c>
      <c r="E1405" s="25" t="s">
        <v>1886</v>
      </c>
      <c r="F1405" s="26" t="s">
        <v>27</v>
      </c>
      <c r="G1405" s="26" t="s">
        <v>27</v>
      </c>
      <c r="H1405" s="26"/>
      <c r="I1405" s="26"/>
      <c r="J1405" s="26">
        <v>1</v>
      </c>
      <c r="K1405" s="26">
        <v>138</v>
      </c>
      <c r="L1405" s="26" t="s">
        <v>28</v>
      </c>
      <c r="M1405" s="27">
        <v>2008</v>
      </c>
      <c r="N1405" s="28"/>
      <c r="O1405" s="26" t="s">
        <v>29</v>
      </c>
      <c r="P1405" s="29"/>
      <c r="Q1405" s="6"/>
      <c r="R1405" s="29"/>
      <c r="S1405" s="10"/>
      <c r="T1405" s="8"/>
    </row>
    <row r="1406" spans="1:20" ht="15.75" customHeight="1" x14ac:dyDescent="0.35">
      <c r="A1406" s="25" t="s">
        <v>1794</v>
      </c>
      <c r="B1406" s="25" t="s">
        <v>1884</v>
      </c>
      <c r="C1406" s="26">
        <v>122088</v>
      </c>
      <c r="D1406" s="25" t="s">
        <v>1887</v>
      </c>
      <c r="E1406" s="25" t="s">
        <v>1888</v>
      </c>
      <c r="F1406" s="26" t="s">
        <v>27</v>
      </c>
      <c r="G1406" s="26" t="s">
        <v>27</v>
      </c>
      <c r="H1406" s="26"/>
      <c r="I1406" s="26"/>
      <c r="J1406" s="26">
        <v>1</v>
      </c>
      <c r="K1406" s="26">
        <v>138</v>
      </c>
      <c r="L1406" s="26" t="s">
        <v>28</v>
      </c>
      <c r="M1406" s="27">
        <v>2007</v>
      </c>
      <c r="N1406" s="28"/>
      <c r="O1406" s="26" t="s">
        <v>29</v>
      </c>
      <c r="P1406" s="29"/>
      <c r="Q1406" s="6"/>
      <c r="R1406" s="29"/>
      <c r="S1406" s="10"/>
      <c r="T1406" s="8"/>
    </row>
    <row r="1407" spans="1:20" ht="15.75" customHeight="1" x14ac:dyDescent="0.35">
      <c r="A1407" s="25" t="s">
        <v>1794</v>
      </c>
      <c r="B1407" s="25" t="s">
        <v>1884</v>
      </c>
      <c r="C1407" s="26">
        <v>192018</v>
      </c>
      <c r="D1407" s="25" t="s">
        <v>1889</v>
      </c>
      <c r="E1407" s="25" t="s">
        <v>1890</v>
      </c>
      <c r="F1407" s="26" t="s">
        <v>27</v>
      </c>
      <c r="G1407" s="26" t="s">
        <v>27</v>
      </c>
      <c r="H1407" s="26"/>
      <c r="I1407" s="26"/>
      <c r="J1407" s="26">
        <v>1</v>
      </c>
      <c r="K1407" s="26">
        <v>138</v>
      </c>
      <c r="L1407" s="26" t="s">
        <v>28</v>
      </c>
      <c r="M1407" s="27">
        <v>2009</v>
      </c>
      <c r="N1407" s="28"/>
      <c r="O1407" s="26" t="s">
        <v>29</v>
      </c>
      <c r="P1407" s="29"/>
      <c r="Q1407" s="6"/>
      <c r="R1407" s="29"/>
      <c r="S1407" s="10"/>
      <c r="T1407" s="8"/>
    </row>
    <row r="1408" spans="1:20" ht="15.75" customHeight="1" x14ac:dyDescent="0.35">
      <c r="A1408" s="25" t="s">
        <v>1794</v>
      </c>
      <c r="B1408" s="25" t="s">
        <v>1884</v>
      </c>
      <c r="C1408" s="26">
        <v>192024</v>
      </c>
      <c r="D1408" s="25" t="s">
        <v>1891</v>
      </c>
      <c r="E1408" s="25" t="s">
        <v>1892</v>
      </c>
      <c r="F1408" s="26" t="s">
        <v>27</v>
      </c>
      <c r="G1408" s="26" t="s">
        <v>27</v>
      </c>
      <c r="H1408" s="26"/>
      <c r="I1408" s="26"/>
      <c r="J1408" s="26">
        <v>1</v>
      </c>
      <c r="K1408" s="26">
        <v>138</v>
      </c>
      <c r="L1408" s="26" t="s">
        <v>28</v>
      </c>
      <c r="M1408" s="27">
        <v>2011</v>
      </c>
      <c r="N1408" s="28"/>
      <c r="O1408" s="26" t="s">
        <v>29</v>
      </c>
      <c r="P1408" s="29"/>
      <c r="Q1408" s="6"/>
      <c r="R1408" s="29"/>
      <c r="S1408" s="10"/>
      <c r="T1408" s="8"/>
    </row>
    <row r="1409" spans="1:20" ht="15.75" customHeight="1" x14ac:dyDescent="0.35">
      <c r="A1409" s="25" t="s">
        <v>1794</v>
      </c>
      <c r="B1409" s="25" t="s">
        <v>1884</v>
      </c>
      <c r="C1409" s="26">
        <v>303458</v>
      </c>
      <c r="D1409" s="25" t="s">
        <v>1893</v>
      </c>
      <c r="E1409" s="25" t="s">
        <v>1886</v>
      </c>
      <c r="F1409" s="26" t="s">
        <v>27</v>
      </c>
      <c r="G1409" s="26" t="s">
        <v>27</v>
      </c>
      <c r="H1409" s="26"/>
      <c r="I1409" s="26"/>
      <c r="J1409" s="26">
        <v>1</v>
      </c>
      <c r="K1409" s="26">
        <v>138</v>
      </c>
      <c r="L1409" s="26" t="s">
        <v>28</v>
      </c>
      <c r="M1409" s="27">
        <v>2010</v>
      </c>
      <c r="N1409" s="28"/>
      <c r="O1409" s="26" t="s">
        <v>29</v>
      </c>
      <c r="P1409" s="29"/>
      <c r="Q1409" s="6"/>
      <c r="R1409" s="29"/>
      <c r="S1409" s="10"/>
      <c r="T1409" s="8"/>
    </row>
    <row r="1410" spans="1:20" ht="15.75" customHeight="1" x14ac:dyDescent="0.35">
      <c r="A1410" s="25" t="s">
        <v>1894</v>
      </c>
      <c r="B1410" s="25" t="s">
        <v>1895</v>
      </c>
      <c r="C1410" s="26">
        <v>199541</v>
      </c>
      <c r="D1410" s="25" t="s">
        <v>1896</v>
      </c>
      <c r="E1410" s="25" t="s">
        <v>976</v>
      </c>
      <c r="F1410" s="26" t="s">
        <v>491</v>
      </c>
      <c r="G1410" s="26" t="s">
        <v>491</v>
      </c>
      <c r="H1410" s="26">
        <v>1</v>
      </c>
      <c r="I1410" s="26">
        <v>4</v>
      </c>
      <c r="J1410" s="26">
        <v>1</v>
      </c>
      <c r="K1410" s="26">
        <v>138</v>
      </c>
      <c r="L1410" s="26" t="s">
        <v>28</v>
      </c>
      <c r="M1410" s="27">
        <v>2012</v>
      </c>
      <c r="N1410" s="28">
        <v>299968.2</v>
      </c>
      <c r="O1410" s="26" t="s">
        <v>29</v>
      </c>
      <c r="P1410" s="29"/>
      <c r="Q1410" s="6"/>
      <c r="R1410" s="29"/>
      <c r="S1410" s="10"/>
      <c r="T1410" s="8">
        <v>1</v>
      </c>
    </row>
    <row r="1411" spans="1:20" ht="15.75" customHeight="1" x14ac:dyDescent="0.35">
      <c r="A1411" s="25" t="s">
        <v>1894</v>
      </c>
      <c r="B1411" s="25" t="s">
        <v>1897</v>
      </c>
      <c r="C1411" s="26">
        <v>315003</v>
      </c>
      <c r="D1411" s="25" t="s">
        <v>1898</v>
      </c>
      <c r="E1411" s="25" t="s">
        <v>1899</v>
      </c>
      <c r="F1411" s="26" t="s">
        <v>27</v>
      </c>
      <c r="G1411" s="26" t="s">
        <v>27</v>
      </c>
      <c r="H1411" s="26">
        <v>1</v>
      </c>
      <c r="I1411" s="26">
        <v>6</v>
      </c>
      <c r="J1411" s="26">
        <v>1</v>
      </c>
      <c r="K1411" s="26">
        <v>138</v>
      </c>
      <c r="L1411" s="26" t="s">
        <v>28</v>
      </c>
      <c r="M1411" s="27">
        <v>2014</v>
      </c>
      <c r="N1411" s="28">
        <v>276066</v>
      </c>
      <c r="O1411" s="26" t="s">
        <v>29</v>
      </c>
      <c r="P1411" s="29"/>
      <c r="Q1411" s="6"/>
      <c r="R1411" s="29"/>
      <c r="S1411" s="10"/>
      <c r="T1411" s="8">
        <v>1</v>
      </c>
    </row>
    <row r="1412" spans="1:20" ht="15.75" customHeight="1" x14ac:dyDescent="0.35">
      <c r="A1412" s="25" t="s">
        <v>1894</v>
      </c>
      <c r="B1412" s="25" t="s">
        <v>1897</v>
      </c>
      <c r="C1412" s="26">
        <v>315004</v>
      </c>
      <c r="D1412" s="25" t="s">
        <v>1900</v>
      </c>
      <c r="E1412" s="25" t="s">
        <v>1901</v>
      </c>
      <c r="F1412" s="26" t="s">
        <v>27</v>
      </c>
      <c r="G1412" s="26" t="s">
        <v>27</v>
      </c>
      <c r="H1412" s="26">
        <v>1</v>
      </c>
      <c r="I1412" s="26">
        <v>1</v>
      </c>
      <c r="J1412" s="26">
        <v>1</v>
      </c>
      <c r="K1412" s="26">
        <v>138</v>
      </c>
      <c r="L1412" s="26" t="s">
        <v>28</v>
      </c>
      <c r="M1412" s="27">
        <v>2013</v>
      </c>
      <c r="N1412" s="28">
        <v>286844.51</v>
      </c>
      <c r="O1412" s="26" t="s">
        <v>29</v>
      </c>
      <c r="P1412" s="29"/>
      <c r="Q1412" s="6"/>
      <c r="R1412" s="29"/>
      <c r="S1412" s="10"/>
      <c r="T1412" s="8">
        <v>1</v>
      </c>
    </row>
    <row r="1413" spans="1:20" ht="15.75" customHeight="1" x14ac:dyDescent="0.35">
      <c r="A1413" s="25" t="s">
        <v>1894</v>
      </c>
      <c r="B1413" s="25" t="s">
        <v>1902</v>
      </c>
      <c r="C1413" s="26">
        <v>126950</v>
      </c>
      <c r="D1413" s="25" t="s">
        <v>1903</v>
      </c>
      <c r="E1413" s="25" t="s">
        <v>1904</v>
      </c>
      <c r="F1413" s="26" t="s">
        <v>215</v>
      </c>
      <c r="G1413" s="26" t="s">
        <v>215</v>
      </c>
      <c r="H1413" s="26"/>
      <c r="I1413" s="26"/>
      <c r="J1413" s="26">
        <v>1</v>
      </c>
      <c r="K1413" s="26">
        <v>138</v>
      </c>
      <c r="L1413" s="26" t="s">
        <v>28</v>
      </c>
      <c r="M1413" s="27">
        <v>2015</v>
      </c>
      <c r="N1413" s="28"/>
      <c r="O1413" s="26" t="s">
        <v>29</v>
      </c>
      <c r="P1413" s="29"/>
      <c r="Q1413" s="6"/>
      <c r="R1413" s="29"/>
      <c r="S1413" s="10"/>
      <c r="T1413" s="8"/>
    </row>
    <row r="1414" spans="1:20" ht="15.75" customHeight="1" x14ac:dyDescent="0.35">
      <c r="A1414" s="25" t="s">
        <v>1894</v>
      </c>
      <c r="B1414" s="25" t="s">
        <v>1902</v>
      </c>
      <c r="C1414" s="26">
        <v>126951</v>
      </c>
      <c r="D1414" s="25" t="s">
        <v>1905</v>
      </c>
      <c r="E1414" s="25" t="s">
        <v>1904</v>
      </c>
      <c r="F1414" s="26" t="s">
        <v>215</v>
      </c>
      <c r="G1414" s="26" t="s">
        <v>215</v>
      </c>
      <c r="H1414" s="26"/>
      <c r="I1414" s="26"/>
      <c r="J1414" s="26">
        <v>1</v>
      </c>
      <c r="K1414" s="26">
        <v>138</v>
      </c>
      <c r="L1414" s="26" t="s">
        <v>28</v>
      </c>
      <c r="M1414" s="27">
        <v>2017</v>
      </c>
      <c r="N1414" s="28"/>
      <c r="O1414" s="26" t="s">
        <v>29</v>
      </c>
      <c r="P1414" s="29"/>
      <c r="Q1414" s="6"/>
      <c r="R1414" s="29"/>
      <c r="S1414" s="10"/>
      <c r="T1414" s="8"/>
    </row>
    <row r="1415" spans="1:20" ht="15.75" customHeight="1" x14ac:dyDescent="0.35">
      <c r="A1415" s="25" t="s">
        <v>1894</v>
      </c>
      <c r="B1415" s="25" t="s">
        <v>1902</v>
      </c>
      <c r="C1415" s="26">
        <v>126953</v>
      </c>
      <c r="D1415" s="25" t="s">
        <v>1906</v>
      </c>
      <c r="E1415" s="25" t="s">
        <v>1904</v>
      </c>
      <c r="F1415" s="26" t="s">
        <v>215</v>
      </c>
      <c r="G1415" s="26" t="s">
        <v>215</v>
      </c>
      <c r="H1415" s="26"/>
      <c r="I1415" s="26"/>
      <c r="J1415" s="26">
        <v>1</v>
      </c>
      <c r="K1415" s="26">
        <v>138</v>
      </c>
      <c r="L1415" s="26" t="s">
        <v>28</v>
      </c>
      <c r="M1415" s="27">
        <v>2018</v>
      </c>
      <c r="N1415" s="28"/>
      <c r="O1415" s="26" t="s">
        <v>29</v>
      </c>
      <c r="P1415" s="29"/>
      <c r="Q1415" s="6"/>
      <c r="R1415" s="29"/>
      <c r="S1415" s="10"/>
      <c r="T1415" s="8"/>
    </row>
    <row r="1416" spans="1:20" ht="15.75" customHeight="1" x14ac:dyDescent="0.35">
      <c r="A1416" s="25" t="s">
        <v>1894</v>
      </c>
      <c r="B1416" s="25" t="s">
        <v>1902</v>
      </c>
      <c r="C1416" s="26">
        <v>126955</v>
      </c>
      <c r="D1416" s="25" t="s">
        <v>1907</v>
      </c>
      <c r="E1416" s="25" t="s">
        <v>1904</v>
      </c>
      <c r="F1416" s="26" t="s">
        <v>215</v>
      </c>
      <c r="G1416" s="26" t="s">
        <v>215</v>
      </c>
      <c r="H1416" s="26"/>
      <c r="I1416" s="26"/>
      <c r="J1416" s="26">
        <v>1</v>
      </c>
      <c r="K1416" s="26">
        <v>138</v>
      </c>
      <c r="L1416" s="26" t="s">
        <v>28</v>
      </c>
      <c r="M1416" s="27">
        <v>2019</v>
      </c>
      <c r="N1416" s="28"/>
      <c r="O1416" s="26" t="s">
        <v>29</v>
      </c>
      <c r="P1416" s="29"/>
      <c r="Q1416" s="6"/>
      <c r="R1416" s="29"/>
      <c r="S1416" s="10"/>
      <c r="T1416" s="8"/>
    </row>
    <row r="1417" spans="1:20" ht="15.75" customHeight="1" x14ac:dyDescent="0.35">
      <c r="A1417" s="25" t="s">
        <v>1894</v>
      </c>
      <c r="B1417" s="25" t="s">
        <v>1902</v>
      </c>
      <c r="C1417" s="26">
        <v>126960</v>
      </c>
      <c r="D1417" s="25" t="s">
        <v>1908</v>
      </c>
      <c r="E1417" s="25" t="s">
        <v>1904</v>
      </c>
      <c r="F1417" s="26" t="s">
        <v>215</v>
      </c>
      <c r="G1417" s="26" t="s">
        <v>215</v>
      </c>
      <c r="H1417" s="26"/>
      <c r="I1417" s="26"/>
      <c r="J1417" s="26">
        <v>1</v>
      </c>
      <c r="K1417" s="26">
        <v>138</v>
      </c>
      <c r="L1417" s="26" t="s">
        <v>28</v>
      </c>
      <c r="M1417" s="27">
        <v>2022</v>
      </c>
      <c r="N1417" s="28"/>
      <c r="O1417" s="26" t="s">
        <v>29</v>
      </c>
      <c r="P1417" s="29"/>
      <c r="Q1417" s="6"/>
      <c r="R1417" s="29"/>
      <c r="S1417" s="10"/>
      <c r="T1417" s="8"/>
    </row>
    <row r="1418" spans="1:20" ht="15.75" customHeight="1" x14ac:dyDescent="0.35">
      <c r="A1418" s="25" t="s">
        <v>1894</v>
      </c>
      <c r="B1418" s="25" t="s">
        <v>1902</v>
      </c>
      <c r="C1418" s="26">
        <v>126965</v>
      </c>
      <c r="D1418" s="25" t="s">
        <v>1909</v>
      </c>
      <c r="E1418" s="25" t="s">
        <v>1904</v>
      </c>
      <c r="F1418" s="26" t="s">
        <v>215</v>
      </c>
      <c r="G1418" s="26" t="s">
        <v>215</v>
      </c>
      <c r="H1418" s="26"/>
      <c r="I1418" s="26"/>
      <c r="J1418" s="26">
        <v>1</v>
      </c>
      <c r="K1418" s="26">
        <v>138</v>
      </c>
      <c r="L1418" s="26" t="s">
        <v>28</v>
      </c>
      <c r="M1418" s="27">
        <v>2016</v>
      </c>
      <c r="N1418" s="28"/>
      <c r="O1418" s="26" t="s">
        <v>29</v>
      </c>
      <c r="P1418" s="29"/>
      <c r="Q1418" s="6"/>
      <c r="R1418" s="29"/>
      <c r="S1418" s="10"/>
      <c r="T1418" s="8"/>
    </row>
    <row r="1419" spans="1:20" ht="15.75" customHeight="1" x14ac:dyDescent="0.35">
      <c r="A1419" s="25" t="s">
        <v>1894</v>
      </c>
      <c r="B1419" s="25" t="s">
        <v>1902</v>
      </c>
      <c r="C1419" s="26">
        <v>126972</v>
      </c>
      <c r="D1419" s="25" t="s">
        <v>1910</v>
      </c>
      <c r="E1419" s="25" t="s">
        <v>1904</v>
      </c>
      <c r="F1419" s="26" t="s">
        <v>215</v>
      </c>
      <c r="G1419" s="26" t="s">
        <v>215</v>
      </c>
      <c r="H1419" s="26"/>
      <c r="I1419" s="26"/>
      <c r="J1419" s="26">
        <v>1</v>
      </c>
      <c r="K1419" s="26">
        <v>138</v>
      </c>
      <c r="L1419" s="26" t="s">
        <v>28</v>
      </c>
      <c r="M1419" s="27">
        <v>2020</v>
      </c>
      <c r="N1419" s="28"/>
      <c r="O1419" s="26" t="s">
        <v>29</v>
      </c>
      <c r="P1419" s="29"/>
      <c r="Q1419" s="6"/>
      <c r="R1419" s="29"/>
      <c r="S1419" s="10"/>
      <c r="T1419" s="8"/>
    </row>
    <row r="1420" spans="1:20" ht="15.75" customHeight="1" x14ac:dyDescent="0.35">
      <c r="A1420" s="25" t="s">
        <v>1894</v>
      </c>
      <c r="B1420" s="25" t="s">
        <v>1902</v>
      </c>
      <c r="C1420" s="26">
        <v>126974</v>
      </c>
      <c r="D1420" s="25" t="s">
        <v>1911</v>
      </c>
      <c r="E1420" s="25" t="s">
        <v>1904</v>
      </c>
      <c r="F1420" s="26" t="s">
        <v>215</v>
      </c>
      <c r="G1420" s="26" t="s">
        <v>215</v>
      </c>
      <c r="H1420" s="26"/>
      <c r="I1420" s="26"/>
      <c r="J1420" s="26">
        <v>1</v>
      </c>
      <c r="K1420" s="26">
        <v>138</v>
      </c>
      <c r="L1420" s="26" t="s">
        <v>28</v>
      </c>
      <c r="M1420" s="27">
        <v>2021</v>
      </c>
      <c r="N1420" s="28"/>
      <c r="O1420" s="26" t="s">
        <v>29</v>
      </c>
      <c r="P1420" s="29"/>
      <c r="Q1420" s="6"/>
      <c r="R1420" s="29"/>
      <c r="S1420" s="10"/>
      <c r="T1420" s="8"/>
    </row>
    <row r="1421" spans="1:20" ht="15.75" customHeight="1" x14ac:dyDescent="0.35">
      <c r="A1421" s="9" t="s">
        <v>1894</v>
      </c>
      <c r="B1421" s="25" t="s">
        <v>1902</v>
      </c>
      <c r="C1421" s="31">
        <v>127213</v>
      </c>
      <c r="D1421" s="32" t="s">
        <v>1912</v>
      </c>
      <c r="E1421" s="32" t="s">
        <v>1913</v>
      </c>
      <c r="F1421" s="29">
        <v>1</v>
      </c>
      <c r="G1421" s="33"/>
      <c r="H1421" s="8">
        <v>1</v>
      </c>
      <c r="I1421" s="8">
        <v>2</v>
      </c>
      <c r="J1421" s="29"/>
      <c r="K1421" s="10"/>
      <c r="L1421" s="10"/>
      <c r="M1421" s="11"/>
      <c r="N1421" s="34">
        <v>1189918.94</v>
      </c>
      <c r="O1421" s="26" t="s">
        <v>29</v>
      </c>
      <c r="P1421" s="29" t="s">
        <v>163</v>
      </c>
      <c r="Q1421" s="6"/>
      <c r="R1421" s="29"/>
      <c r="S1421" s="10"/>
      <c r="T1421" s="8">
        <v>1</v>
      </c>
    </row>
    <row r="1422" spans="1:20" ht="15.75" customHeight="1" x14ac:dyDescent="0.35">
      <c r="A1422" s="25" t="s">
        <v>1914</v>
      </c>
      <c r="B1422" s="25" t="s">
        <v>1915</v>
      </c>
      <c r="C1422" s="26">
        <v>128262</v>
      </c>
      <c r="D1422" s="25" t="s">
        <v>1916</v>
      </c>
      <c r="E1422" s="25" t="s">
        <v>1683</v>
      </c>
      <c r="F1422" s="26" t="s">
        <v>215</v>
      </c>
      <c r="G1422" s="26" t="s">
        <v>215</v>
      </c>
      <c r="H1422" s="26"/>
      <c r="I1422" s="26"/>
      <c r="J1422" s="26">
        <v>1</v>
      </c>
      <c r="K1422" s="26">
        <v>138</v>
      </c>
      <c r="L1422" s="26" t="s">
        <v>28</v>
      </c>
      <c r="M1422" s="27">
        <v>2025</v>
      </c>
      <c r="N1422" s="28"/>
      <c r="O1422" s="26" t="s">
        <v>29</v>
      </c>
      <c r="P1422" s="29"/>
      <c r="Q1422" s="6"/>
      <c r="R1422" s="29"/>
      <c r="S1422" s="10"/>
      <c r="T1422" s="8"/>
    </row>
    <row r="1423" spans="1:20" ht="15.75" customHeight="1" x14ac:dyDescent="0.35">
      <c r="A1423" s="25" t="s">
        <v>1914</v>
      </c>
      <c r="B1423" s="25" t="s">
        <v>1915</v>
      </c>
      <c r="C1423" s="26">
        <v>128311</v>
      </c>
      <c r="D1423" s="25" t="s">
        <v>1917</v>
      </c>
      <c r="E1423" s="25" t="s">
        <v>1918</v>
      </c>
      <c r="F1423" s="26" t="s">
        <v>90</v>
      </c>
      <c r="G1423" s="26" t="s">
        <v>90</v>
      </c>
      <c r="H1423" s="26"/>
      <c r="I1423" s="26"/>
      <c r="J1423" s="26">
        <v>1</v>
      </c>
      <c r="K1423" s="26">
        <v>138</v>
      </c>
      <c r="L1423" s="26" t="s">
        <v>28</v>
      </c>
      <c r="M1423" s="27">
        <v>2042</v>
      </c>
      <c r="N1423" s="28"/>
      <c r="O1423" s="26" t="s">
        <v>29</v>
      </c>
      <c r="P1423" s="29"/>
      <c r="Q1423" s="6"/>
      <c r="R1423" s="29"/>
      <c r="S1423" s="10"/>
      <c r="T1423" s="8"/>
    </row>
    <row r="1424" spans="1:20" ht="15.75" customHeight="1" x14ac:dyDescent="0.35">
      <c r="A1424" s="25" t="s">
        <v>1914</v>
      </c>
      <c r="B1424" s="25" t="s">
        <v>1915</v>
      </c>
      <c r="C1424" s="26">
        <v>128336</v>
      </c>
      <c r="D1424" s="25" t="s">
        <v>1919</v>
      </c>
      <c r="E1424" s="25" t="s">
        <v>1920</v>
      </c>
      <c r="F1424" s="26" t="s">
        <v>90</v>
      </c>
      <c r="G1424" s="26" t="s">
        <v>90</v>
      </c>
      <c r="H1424" s="26"/>
      <c r="I1424" s="26"/>
      <c r="J1424" s="26">
        <v>1</v>
      </c>
      <c r="K1424" s="26">
        <v>138</v>
      </c>
      <c r="L1424" s="26" t="s">
        <v>28</v>
      </c>
      <c r="M1424" s="27">
        <v>2045</v>
      </c>
      <c r="N1424" s="28"/>
      <c r="O1424" s="26" t="s">
        <v>29</v>
      </c>
      <c r="P1424" s="29"/>
      <c r="Q1424" s="6"/>
      <c r="R1424" s="29"/>
      <c r="S1424" s="10"/>
      <c r="T1424" s="8"/>
    </row>
    <row r="1425" spans="1:20" ht="15.75" customHeight="1" x14ac:dyDescent="0.35">
      <c r="A1425" s="25" t="s">
        <v>1914</v>
      </c>
      <c r="B1425" s="25" t="s">
        <v>1915</v>
      </c>
      <c r="C1425" s="26">
        <v>128351</v>
      </c>
      <c r="D1425" s="25" t="s">
        <v>1921</v>
      </c>
      <c r="E1425" s="25" t="s">
        <v>1922</v>
      </c>
      <c r="F1425" s="26" t="s">
        <v>90</v>
      </c>
      <c r="G1425" s="26" t="s">
        <v>90</v>
      </c>
      <c r="H1425" s="26">
        <v>1</v>
      </c>
      <c r="I1425" s="26">
        <v>7</v>
      </c>
      <c r="J1425" s="26">
        <v>1</v>
      </c>
      <c r="K1425" s="26">
        <v>138</v>
      </c>
      <c r="L1425" s="26" t="s">
        <v>28</v>
      </c>
      <c r="M1425" s="27">
        <v>2038</v>
      </c>
      <c r="N1425" s="28">
        <v>934118.77</v>
      </c>
      <c r="O1425" s="26" t="s">
        <v>29</v>
      </c>
      <c r="P1425" s="29"/>
      <c r="Q1425" s="6"/>
      <c r="R1425" s="29"/>
      <c r="S1425" s="10"/>
      <c r="T1425" s="8">
        <v>1</v>
      </c>
    </row>
    <row r="1426" spans="1:20" ht="15.75" customHeight="1" x14ac:dyDescent="0.35">
      <c r="A1426" s="25" t="s">
        <v>1914</v>
      </c>
      <c r="B1426" s="25" t="s">
        <v>1915</v>
      </c>
      <c r="C1426" s="26">
        <v>128356</v>
      </c>
      <c r="D1426" s="25" t="s">
        <v>1923</v>
      </c>
      <c r="E1426" s="25" t="s">
        <v>1922</v>
      </c>
      <c r="F1426" s="26" t="s">
        <v>90</v>
      </c>
      <c r="G1426" s="26" t="s">
        <v>90</v>
      </c>
      <c r="H1426" s="26">
        <v>1</v>
      </c>
      <c r="I1426" s="26">
        <v>3</v>
      </c>
      <c r="J1426" s="26">
        <v>1</v>
      </c>
      <c r="K1426" s="26">
        <v>138</v>
      </c>
      <c r="L1426" s="26" t="s">
        <v>28</v>
      </c>
      <c r="M1426" s="27">
        <v>2046</v>
      </c>
      <c r="N1426" s="28">
        <v>463178.19</v>
      </c>
      <c r="O1426" s="26" t="s">
        <v>29</v>
      </c>
      <c r="P1426" s="29"/>
      <c r="Q1426" s="6"/>
      <c r="R1426" s="29"/>
      <c r="S1426" s="10"/>
      <c r="T1426" s="8">
        <v>1</v>
      </c>
    </row>
    <row r="1427" spans="1:20" ht="15.75" customHeight="1" x14ac:dyDescent="0.35">
      <c r="A1427" s="25" t="s">
        <v>1914</v>
      </c>
      <c r="B1427" s="25" t="s">
        <v>1915</v>
      </c>
      <c r="C1427" s="26">
        <v>128361</v>
      </c>
      <c r="D1427" s="25" t="s">
        <v>1924</v>
      </c>
      <c r="E1427" s="25" t="s">
        <v>1922</v>
      </c>
      <c r="F1427" s="26" t="s">
        <v>90</v>
      </c>
      <c r="G1427" s="26" t="s">
        <v>90</v>
      </c>
      <c r="H1427" s="26"/>
      <c r="I1427" s="26"/>
      <c r="J1427" s="26">
        <v>1</v>
      </c>
      <c r="K1427" s="26">
        <v>138</v>
      </c>
      <c r="L1427" s="26" t="s">
        <v>28</v>
      </c>
      <c r="M1427" s="27">
        <v>2050</v>
      </c>
      <c r="N1427" s="28"/>
      <c r="O1427" s="26" t="s">
        <v>29</v>
      </c>
      <c r="P1427" s="29"/>
      <c r="Q1427" s="6"/>
      <c r="R1427" s="29"/>
      <c r="S1427" s="10"/>
      <c r="T1427" s="8"/>
    </row>
    <row r="1428" spans="1:20" ht="15.75" customHeight="1" x14ac:dyDescent="0.35">
      <c r="A1428" s="25" t="s">
        <v>1914</v>
      </c>
      <c r="B1428" s="25" t="s">
        <v>1915</v>
      </c>
      <c r="C1428" s="26">
        <v>128364</v>
      </c>
      <c r="D1428" s="25" t="s">
        <v>1925</v>
      </c>
      <c r="E1428" s="25" t="s">
        <v>1922</v>
      </c>
      <c r="F1428" s="26" t="s">
        <v>90</v>
      </c>
      <c r="G1428" s="26" t="s">
        <v>90</v>
      </c>
      <c r="H1428" s="26"/>
      <c r="I1428" s="26"/>
      <c r="J1428" s="26">
        <v>1</v>
      </c>
      <c r="K1428" s="26">
        <v>138</v>
      </c>
      <c r="L1428" s="26" t="s">
        <v>28</v>
      </c>
      <c r="M1428" s="27">
        <v>2036</v>
      </c>
      <c r="N1428" s="28"/>
      <c r="O1428" s="26" t="s">
        <v>29</v>
      </c>
      <c r="P1428" s="29"/>
      <c r="Q1428" s="6"/>
      <c r="R1428" s="29"/>
      <c r="S1428" s="10"/>
      <c r="T1428" s="8"/>
    </row>
    <row r="1429" spans="1:20" ht="15.75" customHeight="1" x14ac:dyDescent="0.35">
      <c r="A1429" s="25" t="s">
        <v>1914</v>
      </c>
      <c r="B1429" s="25" t="s">
        <v>1915</v>
      </c>
      <c r="C1429" s="26">
        <v>128386</v>
      </c>
      <c r="D1429" s="25" t="s">
        <v>1926</v>
      </c>
      <c r="E1429" s="25" t="s">
        <v>1927</v>
      </c>
      <c r="F1429" s="26" t="s">
        <v>215</v>
      </c>
      <c r="G1429" s="26" t="s">
        <v>215</v>
      </c>
      <c r="H1429" s="26"/>
      <c r="I1429" s="26"/>
      <c r="J1429" s="26">
        <v>1</v>
      </c>
      <c r="K1429" s="26">
        <v>138</v>
      </c>
      <c r="L1429" s="26" t="s">
        <v>28</v>
      </c>
      <c r="M1429" s="27">
        <v>2028</v>
      </c>
      <c r="N1429" s="28"/>
      <c r="O1429" s="26" t="s">
        <v>29</v>
      </c>
      <c r="P1429" s="29"/>
      <c r="Q1429" s="6"/>
      <c r="R1429" s="29"/>
      <c r="S1429" s="10"/>
      <c r="T1429" s="8"/>
    </row>
    <row r="1430" spans="1:20" ht="15.75" customHeight="1" x14ac:dyDescent="0.35">
      <c r="A1430" s="25" t="s">
        <v>1914</v>
      </c>
      <c r="B1430" s="25" t="s">
        <v>1915</v>
      </c>
      <c r="C1430" s="26">
        <v>128394</v>
      </c>
      <c r="D1430" s="25" t="s">
        <v>1928</v>
      </c>
      <c r="E1430" s="25" t="s">
        <v>1927</v>
      </c>
      <c r="F1430" s="26" t="s">
        <v>215</v>
      </c>
      <c r="G1430" s="26" t="s">
        <v>215</v>
      </c>
      <c r="H1430" s="26"/>
      <c r="I1430" s="26"/>
      <c r="J1430" s="26">
        <v>1</v>
      </c>
      <c r="K1430" s="26">
        <v>138</v>
      </c>
      <c r="L1430" s="26" t="s">
        <v>28</v>
      </c>
      <c r="M1430" s="27">
        <v>2029</v>
      </c>
      <c r="N1430" s="28"/>
      <c r="O1430" s="26" t="s">
        <v>29</v>
      </c>
      <c r="P1430" s="29"/>
      <c r="Q1430" s="6"/>
      <c r="R1430" s="29"/>
      <c r="S1430" s="10"/>
      <c r="T1430" s="8"/>
    </row>
    <row r="1431" spans="1:20" ht="15.75" customHeight="1" x14ac:dyDescent="0.35">
      <c r="A1431" s="25" t="s">
        <v>1914</v>
      </c>
      <c r="B1431" s="25" t="s">
        <v>1915</v>
      </c>
      <c r="C1431" s="26">
        <v>128403</v>
      </c>
      <c r="D1431" s="25" t="s">
        <v>1560</v>
      </c>
      <c r="E1431" s="25" t="s">
        <v>1927</v>
      </c>
      <c r="F1431" s="26" t="s">
        <v>215</v>
      </c>
      <c r="G1431" s="26" t="s">
        <v>215</v>
      </c>
      <c r="H1431" s="26"/>
      <c r="I1431" s="26"/>
      <c r="J1431" s="26">
        <v>1</v>
      </c>
      <c r="K1431" s="26">
        <v>138</v>
      </c>
      <c r="L1431" s="26" t="s">
        <v>28</v>
      </c>
      <c r="M1431" s="27">
        <v>2034</v>
      </c>
      <c r="N1431" s="28"/>
      <c r="O1431" s="26" t="s">
        <v>29</v>
      </c>
      <c r="P1431" s="29"/>
      <c r="Q1431" s="6"/>
      <c r="R1431" s="29"/>
      <c r="S1431" s="10"/>
      <c r="T1431" s="8"/>
    </row>
    <row r="1432" spans="1:20" ht="15.75" customHeight="1" x14ac:dyDescent="0.35">
      <c r="A1432" s="25" t="s">
        <v>1914</v>
      </c>
      <c r="B1432" s="25" t="s">
        <v>1915</v>
      </c>
      <c r="C1432" s="26">
        <v>128410</v>
      </c>
      <c r="D1432" s="25" t="s">
        <v>1929</v>
      </c>
      <c r="E1432" s="25" t="s">
        <v>1930</v>
      </c>
      <c r="F1432" s="26" t="s">
        <v>90</v>
      </c>
      <c r="G1432" s="26" t="s">
        <v>90</v>
      </c>
      <c r="H1432" s="26"/>
      <c r="I1432" s="26"/>
      <c r="J1432" s="26">
        <v>1</v>
      </c>
      <c r="K1432" s="26">
        <v>138</v>
      </c>
      <c r="L1432" s="26" t="s">
        <v>28</v>
      </c>
      <c r="M1432" s="27">
        <v>2043</v>
      </c>
      <c r="N1432" s="28"/>
      <c r="O1432" s="26" t="s">
        <v>29</v>
      </c>
      <c r="P1432" s="29"/>
      <c r="Q1432" s="6"/>
      <c r="R1432" s="29"/>
      <c r="S1432" s="10"/>
      <c r="T1432" s="8"/>
    </row>
    <row r="1433" spans="1:20" ht="15.75" customHeight="1" x14ac:dyDescent="0.35">
      <c r="A1433" s="25" t="s">
        <v>1914</v>
      </c>
      <c r="B1433" s="25" t="s">
        <v>1915</v>
      </c>
      <c r="C1433" s="26">
        <v>128411</v>
      </c>
      <c r="D1433" s="25" t="s">
        <v>1931</v>
      </c>
      <c r="E1433" s="25" t="s">
        <v>1930</v>
      </c>
      <c r="F1433" s="26" t="s">
        <v>90</v>
      </c>
      <c r="G1433" s="26" t="s">
        <v>90</v>
      </c>
      <c r="H1433" s="26"/>
      <c r="I1433" s="26"/>
      <c r="J1433" s="26">
        <v>1</v>
      </c>
      <c r="K1433" s="26">
        <v>138</v>
      </c>
      <c r="L1433" s="26" t="s">
        <v>28</v>
      </c>
      <c r="M1433" s="27">
        <v>2044</v>
      </c>
      <c r="N1433" s="28"/>
      <c r="O1433" s="26" t="s">
        <v>29</v>
      </c>
      <c r="P1433" s="29"/>
      <c r="Q1433" s="6"/>
      <c r="R1433" s="29"/>
      <c r="S1433" s="10"/>
      <c r="T1433" s="8"/>
    </row>
    <row r="1434" spans="1:20" ht="15.75" customHeight="1" x14ac:dyDescent="0.35">
      <c r="A1434" s="25" t="s">
        <v>1914</v>
      </c>
      <c r="B1434" s="25" t="s">
        <v>1915</v>
      </c>
      <c r="C1434" s="26">
        <v>128417</v>
      </c>
      <c r="D1434" s="25" t="s">
        <v>1932</v>
      </c>
      <c r="E1434" s="25" t="s">
        <v>1930</v>
      </c>
      <c r="F1434" s="26" t="s">
        <v>90</v>
      </c>
      <c r="G1434" s="26" t="s">
        <v>90</v>
      </c>
      <c r="H1434" s="26"/>
      <c r="I1434" s="26"/>
      <c r="J1434" s="26">
        <v>1</v>
      </c>
      <c r="K1434" s="26">
        <v>138</v>
      </c>
      <c r="L1434" s="26" t="s">
        <v>28</v>
      </c>
      <c r="M1434" s="27">
        <v>2049</v>
      </c>
      <c r="N1434" s="28"/>
      <c r="O1434" s="26" t="s">
        <v>29</v>
      </c>
      <c r="P1434" s="29"/>
      <c r="Q1434" s="6"/>
      <c r="R1434" s="29"/>
      <c r="S1434" s="10"/>
      <c r="T1434" s="8"/>
    </row>
    <row r="1435" spans="1:20" ht="15.75" customHeight="1" x14ac:dyDescent="0.35">
      <c r="A1435" s="25" t="s">
        <v>1914</v>
      </c>
      <c r="B1435" s="25" t="s">
        <v>1915</v>
      </c>
      <c r="C1435" s="26">
        <v>128421</v>
      </c>
      <c r="D1435" s="25" t="s">
        <v>1933</v>
      </c>
      <c r="E1435" s="25" t="s">
        <v>1930</v>
      </c>
      <c r="F1435" s="26" t="s">
        <v>90</v>
      </c>
      <c r="G1435" s="26" t="s">
        <v>90</v>
      </c>
      <c r="H1435" s="26"/>
      <c r="I1435" s="26"/>
      <c r="J1435" s="26">
        <v>1</v>
      </c>
      <c r="K1435" s="26">
        <v>138</v>
      </c>
      <c r="L1435" s="26" t="s">
        <v>28</v>
      </c>
      <c r="M1435" s="27">
        <v>2052</v>
      </c>
      <c r="N1435" s="28"/>
      <c r="O1435" s="26" t="s">
        <v>29</v>
      </c>
      <c r="P1435" s="29"/>
      <c r="Q1435" s="6"/>
      <c r="R1435" s="29"/>
      <c r="S1435" s="10"/>
      <c r="T1435" s="8"/>
    </row>
    <row r="1436" spans="1:20" ht="15.75" customHeight="1" x14ac:dyDescent="0.35">
      <c r="A1436" s="9" t="s">
        <v>1914</v>
      </c>
      <c r="B1436" s="25" t="s">
        <v>1915</v>
      </c>
      <c r="C1436" s="31">
        <v>128423</v>
      </c>
      <c r="D1436" s="32" t="s">
        <v>1934</v>
      </c>
      <c r="E1436" s="32" t="s">
        <v>1935</v>
      </c>
      <c r="F1436" s="29">
        <v>1</v>
      </c>
      <c r="G1436" s="33"/>
      <c r="H1436" s="8">
        <v>1</v>
      </c>
      <c r="I1436" s="8">
        <v>7</v>
      </c>
      <c r="J1436" s="29"/>
      <c r="K1436" s="10"/>
      <c r="L1436" s="10"/>
      <c r="M1436" s="11"/>
      <c r="N1436" s="34">
        <v>818399.6</v>
      </c>
      <c r="O1436" s="26" t="s">
        <v>29</v>
      </c>
      <c r="P1436" s="29" t="s">
        <v>163</v>
      </c>
      <c r="Q1436" s="6"/>
      <c r="R1436" s="29"/>
      <c r="S1436" s="10"/>
      <c r="T1436" s="8">
        <v>1</v>
      </c>
    </row>
    <row r="1437" spans="1:20" ht="15.75" customHeight="1" x14ac:dyDescent="0.35">
      <c r="A1437" s="25" t="s">
        <v>1914</v>
      </c>
      <c r="B1437" s="25" t="s">
        <v>1915</v>
      </c>
      <c r="C1437" s="26">
        <v>128467</v>
      </c>
      <c r="D1437" s="25" t="s">
        <v>1936</v>
      </c>
      <c r="E1437" s="25" t="s">
        <v>1937</v>
      </c>
      <c r="F1437" s="26" t="s">
        <v>215</v>
      </c>
      <c r="G1437" s="26" t="s">
        <v>215</v>
      </c>
      <c r="H1437" s="26">
        <v>1</v>
      </c>
      <c r="I1437" s="26">
        <v>3</v>
      </c>
      <c r="J1437" s="26">
        <v>1</v>
      </c>
      <c r="K1437" s="26">
        <v>138</v>
      </c>
      <c r="L1437" s="26" t="s">
        <v>28</v>
      </c>
      <c r="M1437" s="27">
        <v>2027</v>
      </c>
      <c r="N1437" s="28">
        <v>420762.11</v>
      </c>
      <c r="O1437" s="26" t="s">
        <v>29</v>
      </c>
      <c r="P1437" s="29"/>
      <c r="Q1437" s="6"/>
      <c r="R1437" s="29"/>
      <c r="S1437" s="10"/>
      <c r="T1437" s="8">
        <v>1</v>
      </c>
    </row>
    <row r="1438" spans="1:20" ht="15.75" customHeight="1" x14ac:dyDescent="0.35">
      <c r="A1438" s="25" t="s">
        <v>1914</v>
      </c>
      <c r="B1438" s="25" t="s">
        <v>1915</v>
      </c>
      <c r="C1438" s="26">
        <v>128476</v>
      </c>
      <c r="D1438" s="25" t="s">
        <v>1938</v>
      </c>
      <c r="E1438" s="25" t="s">
        <v>1937</v>
      </c>
      <c r="F1438" s="26" t="s">
        <v>215</v>
      </c>
      <c r="G1438" s="26" t="s">
        <v>215</v>
      </c>
      <c r="H1438" s="26"/>
      <c r="I1438" s="26"/>
      <c r="J1438" s="26">
        <v>1</v>
      </c>
      <c r="K1438" s="26">
        <v>138</v>
      </c>
      <c r="L1438" s="26" t="s">
        <v>28</v>
      </c>
      <c r="M1438" s="27">
        <v>2031</v>
      </c>
      <c r="N1438" s="28"/>
      <c r="O1438" s="26" t="s">
        <v>29</v>
      </c>
      <c r="P1438" s="29"/>
      <c r="Q1438" s="6"/>
      <c r="R1438" s="29"/>
      <c r="S1438" s="10"/>
      <c r="T1438" s="8"/>
    </row>
    <row r="1439" spans="1:20" ht="15.75" customHeight="1" x14ac:dyDescent="0.35">
      <c r="A1439" s="25" t="s">
        <v>1914</v>
      </c>
      <c r="B1439" s="25" t="s">
        <v>1915</v>
      </c>
      <c r="C1439" s="26">
        <v>128510</v>
      </c>
      <c r="D1439" s="25" t="s">
        <v>1939</v>
      </c>
      <c r="E1439" s="25" t="s">
        <v>1940</v>
      </c>
      <c r="F1439" s="26" t="s">
        <v>215</v>
      </c>
      <c r="G1439" s="26" t="s">
        <v>215</v>
      </c>
      <c r="H1439" s="26">
        <v>1</v>
      </c>
      <c r="I1439" s="26">
        <v>15</v>
      </c>
      <c r="J1439" s="26">
        <v>1</v>
      </c>
      <c r="K1439" s="26">
        <v>138</v>
      </c>
      <c r="L1439" s="26" t="s">
        <v>28</v>
      </c>
      <c r="M1439" s="27">
        <v>2023</v>
      </c>
      <c r="N1439" s="28">
        <v>668672.61</v>
      </c>
      <c r="O1439" s="26" t="s">
        <v>29</v>
      </c>
      <c r="P1439" s="29"/>
      <c r="Q1439" s="6"/>
      <c r="R1439" s="29"/>
      <c r="S1439" s="10"/>
      <c r="T1439" s="8">
        <v>1</v>
      </c>
    </row>
    <row r="1440" spans="1:20" ht="15.75" customHeight="1" x14ac:dyDescent="0.35">
      <c r="A1440" s="25" t="s">
        <v>1914</v>
      </c>
      <c r="B1440" s="25" t="s">
        <v>1915</v>
      </c>
      <c r="C1440" s="26">
        <v>128540</v>
      </c>
      <c r="D1440" s="25" t="s">
        <v>1941</v>
      </c>
      <c r="E1440" s="25" t="s">
        <v>1942</v>
      </c>
      <c r="F1440" s="26" t="s">
        <v>90</v>
      </c>
      <c r="G1440" s="26" t="s">
        <v>90</v>
      </c>
      <c r="H1440" s="26"/>
      <c r="I1440" s="26"/>
      <c r="J1440" s="26">
        <v>1</v>
      </c>
      <c r="K1440" s="26">
        <v>138</v>
      </c>
      <c r="L1440" s="26" t="s">
        <v>28</v>
      </c>
      <c r="M1440" s="27">
        <v>2035</v>
      </c>
      <c r="N1440" s="28"/>
      <c r="O1440" s="26" t="s">
        <v>29</v>
      </c>
      <c r="P1440" s="29"/>
      <c r="Q1440" s="6"/>
      <c r="R1440" s="29"/>
      <c r="S1440" s="10"/>
      <c r="T1440" s="8"/>
    </row>
    <row r="1441" spans="1:20" ht="15.75" customHeight="1" x14ac:dyDescent="0.35">
      <c r="A1441" s="25" t="s">
        <v>1914</v>
      </c>
      <c r="B1441" s="25" t="s">
        <v>1915</v>
      </c>
      <c r="C1441" s="26">
        <v>128541</v>
      </c>
      <c r="D1441" s="25" t="s">
        <v>1943</v>
      </c>
      <c r="E1441" s="25" t="s">
        <v>1942</v>
      </c>
      <c r="F1441" s="26" t="s">
        <v>90</v>
      </c>
      <c r="G1441" s="26" t="s">
        <v>90</v>
      </c>
      <c r="H1441" s="26"/>
      <c r="I1441" s="26"/>
      <c r="J1441" s="26">
        <v>1</v>
      </c>
      <c r="K1441" s="26">
        <v>138</v>
      </c>
      <c r="L1441" s="26" t="s">
        <v>28</v>
      </c>
      <c r="M1441" s="27">
        <v>2037</v>
      </c>
      <c r="N1441" s="28"/>
      <c r="O1441" s="26" t="s">
        <v>29</v>
      </c>
      <c r="P1441" s="29"/>
      <c r="Q1441" s="6"/>
      <c r="R1441" s="29"/>
      <c r="S1441" s="10"/>
      <c r="T1441" s="8"/>
    </row>
    <row r="1442" spans="1:20" ht="15.75" customHeight="1" x14ac:dyDescent="0.35">
      <c r="A1442" s="25" t="s">
        <v>1914</v>
      </c>
      <c r="B1442" s="25" t="s">
        <v>1915</v>
      </c>
      <c r="C1442" s="26">
        <v>128547</v>
      </c>
      <c r="D1442" s="25" t="s">
        <v>1944</v>
      </c>
      <c r="E1442" s="25" t="s">
        <v>1942</v>
      </c>
      <c r="F1442" s="26" t="s">
        <v>90</v>
      </c>
      <c r="G1442" s="26" t="s">
        <v>90</v>
      </c>
      <c r="H1442" s="26"/>
      <c r="I1442" s="26"/>
      <c r="J1442" s="26">
        <v>1</v>
      </c>
      <c r="K1442" s="26">
        <v>138</v>
      </c>
      <c r="L1442" s="26" t="s">
        <v>28</v>
      </c>
      <c r="M1442" s="27">
        <v>2041</v>
      </c>
      <c r="N1442" s="28"/>
      <c r="O1442" s="26" t="s">
        <v>29</v>
      </c>
      <c r="P1442" s="29"/>
      <c r="Q1442" s="6"/>
      <c r="R1442" s="29"/>
      <c r="S1442" s="10"/>
      <c r="T1442" s="8"/>
    </row>
    <row r="1443" spans="1:20" ht="15.75" customHeight="1" x14ac:dyDescent="0.35">
      <c r="A1443" s="25" t="s">
        <v>1914</v>
      </c>
      <c r="B1443" s="25" t="s">
        <v>1915</v>
      </c>
      <c r="C1443" s="26">
        <v>128554</v>
      </c>
      <c r="D1443" s="25" t="s">
        <v>1945</v>
      </c>
      <c r="E1443" s="25" t="s">
        <v>1942</v>
      </c>
      <c r="F1443" s="26" t="s">
        <v>90</v>
      </c>
      <c r="G1443" s="26" t="s">
        <v>90</v>
      </c>
      <c r="H1443" s="26"/>
      <c r="I1443" s="26"/>
      <c r="J1443" s="26">
        <v>1</v>
      </c>
      <c r="K1443" s="26">
        <v>138</v>
      </c>
      <c r="L1443" s="26" t="s">
        <v>28</v>
      </c>
      <c r="M1443" s="27">
        <v>2047</v>
      </c>
      <c r="N1443" s="28"/>
      <c r="O1443" s="26" t="s">
        <v>29</v>
      </c>
      <c r="P1443" s="29"/>
      <c r="Q1443" s="6"/>
      <c r="R1443" s="29"/>
      <c r="S1443" s="10"/>
      <c r="T1443" s="8"/>
    </row>
    <row r="1444" spans="1:20" ht="15.75" customHeight="1" x14ac:dyDescent="0.35">
      <c r="A1444" s="25" t="s">
        <v>1914</v>
      </c>
      <c r="B1444" s="25" t="s">
        <v>1915</v>
      </c>
      <c r="C1444" s="26">
        <v>128557</v>
      </c>
      <c r="D1444" s="25" t="s">
        <v>1946</v>
      </c>
      <c r="E1444" s="25" t="s">
        <v>1942</v>
      </c>
      <c r="F1444" s="26" t="s">
        <v>90</v>
      </c>
      <c r="G1444" s="26" t="s">
        <v>90</v>
      </c>
      <c r="H1444" s="26"/>
      <c r="I1444" s="26"/>
      <c r="J1444" s="26">
        <v>1</v>
      </c>
      <c r="K1444" s="26">
        <v>138</v>
      </c>
      <c r="L1444" s="26" t="s">
        <v>28</v>
      </c>
      <c r="M1444" s="27">
        <v>2048</v>
      </c>
      <c r="N1444" s="28"/>
      <c r="O1444" s="26" t="s">
        <v>29</v>
      </c>
      <c r="P1444" s="29"/>
      <c r="Q1444" s="6"/>
      <c r="R1444" s="29"/>
      <c r="S1444" s="10"/>
      <c r="T1444" s="8"/>
    </row>
    <row r="1445" spans="1:20" ht="15.75" customHeight="1" x14ac:dyDescent="0.35">
      <c r="A1445" s="25" t="s">
        <v>1914</v>
      </c>
      <c r="B1445" s="25" t="s">
        <v>1915</v>
      </c>
      <c r="C1445" s="26">
        <v>204002</v>
      </c>
      <c r="D1445" s="25" t="s">
        <v>1947</v>
      </c>
      <c r="E1445" s="25" t="s">
        <v>1948</v>
      </c>
      <c r="F1445" s="26" t="s">
        <v>90</v>
      </c>
      <c r="G1445" s="26" t="s">
        <v>90</v>
      </c>
      <c r="H1445" s="26"/>
      <c r="I1445" s="26"/>
      <c r="J1445" s="26">
        <v>1</v>
      </c>
      <c r="K1445" s="26">
        <v>138</v>
      </c>
      <c r="L1445" s="26" t="s">
        <v>28</v>
      </c>
      <c r="M1445" s="27">
        <v>2051</v>
      </c>
      <c r="N1445" s="28"/>
      <c r="O1445" s="26" t="s">
        <v>29</v>
      </c>
      <c r="P1445" s="29"/>
      <c r="Q1445" s="6"/>
      <c r="R1445" s="29"/>
      <c r="S1445" s="10"/>
      <c r="T1445" s="8"/>
    </row>
    <row r="1446" spans="1:20" ht="15.75" customHeight="1" x14ac:dyDescent="0.35">
      <c r="A1446" s="25" t="s">
        <v>1914</v>
      </c>
      <c r="B1446" s="25" t="s">
        <v>1915</v>
      </c>
      <c r="C1446" s="26">
        <v>204009</v>
      </c>
      <c r="D1446" s="25" t="s">
        <v>1949</v>
      </c>
      <c r="E1446" s="25" t="s">
        <v>1927</v>
      </c>
      <c r="F1446" s="26" t="s">
        <v>215</v>
      </c>
      <c r="G1446" s="26" t="s">
        <v>215</v>
      </c>
      <c r="H1446" s="26"/>
      <c r="I1446" s="26"/>
      <c r="J1446" s="26">
        <v>1</v>
      </c>
      <c r="K1446" s="26">
        <v>138</v>
      </c>
      <c r="L1446" s="26" t="s">
        <v>28</v>
      </c>
      <c r="M1446" s="27">
        <v>2032</v>
      </c>
      <c r="N1446" s="28"/>
      <c r="O1446" s="26" t="s">
        <v>29</v>
      </c>
      <c r="P1446" s="29"/>
      <c r="Q1446" s="6"/>
      <c r="R1446" s="29"/>
      <c r="S1446" s="10"/>
      <c r="T1446" s="8"/>
    </row>
    <row r="1447" spans="1:20" ht="15.75" customHeight="1" x14ac:dyDescent="0.35">
      <c r="A1447" s="25" t="s">
        <v>1914</v>
      </c>
      <c r="B1447" s="25" t="s">
        <v>1915</v>
      </c>
      <c r="C1447" s="26">
        <v>204011</v>
      </c>
      <c r="D1447" s="25" t="s">
        <v>1950</v>
      </c>
      <c r="E1447" s="25" t="s">
        <v>1935</v>
      </c>
      <c r="F1447" s="26" t="s">
        <v>215</v>
      </c>
      <c r="G1447" s="26" t="s">
        <v>215</v>
      </c>
      <c r="H1447" s="26"/>
      <c r="I1447" s="26"/>
      <c r="J1447" s="26">
        <v>1</v>
      </c>
      <c r="K1447" s="26">
        <v>138</v>
      </c>
      <c r="L1447" s="26" t="s">
        <v>28</v>
      </c>
      <c r="M1447" s="27">
        <v>2030</v>
      </c>
      <c r="N1447" s="28"/>
      <c r="O1447" s="26" t="s">
        <v>29</v>
      </c>
      <c r="P1447" s="29"/>
      <c r="Q1447" s="6"/>
      <c r="R1447" s="29"/>
      <c r="S1447" s="10"/>
      <c r="T1447" s="8"/>
    </row>
    <row r="1448" spans="1:20" ht="15.75" customHeight="1" x14ac:dyDescent="0.35">
      <c r="A1448" s="25" t="s">
        <v>1914</v>
      </c>
      <c r="B1448" s="25" t="s">
        <v>1915</v>
      </c>
      <c r="C1448" s="26">
        <v>204012</v>
      </c>
      <c r="D1448" s="25" t="s">
        <v>1951</v>
      </c>
      <c r="E1448" s="25" t="s">
        <v>1940</v>
      </c>
      <c r="F1448" s="26" t="s">
        <v>215</v>
      </c>
      <c r="G1448" s="26" t="s">
        <v>215</v>
      </c>
      <c r="H1448" s="26"/>
      <c r="I1448" s="26"/>
      <c r="J1448" s="26">
        <v>1</v>
      </c>
      <c r="K1448" s="26">
        <v>138</v>
      </c>
      <c r="L1448" s="26" t="s">
        <v>28</v>
      </c>
      <c r="M1448" s="27">
        <v>2033</v>
      </c>
      <c r="N1448" s="28"/>
      <c r="O1448" s="26" t="s">
        <v>29</v>
      </c>
      <c r="P1448" s="29"/>
      <c r="Q1448" s="6"/>
      <c r="R1448" s="29"/>
      <c r="S1448" s="10"/>
      <c r="T1448" s="8"/>
    </row>
    <row r="1449" spans="1:20" ht="15.75" customHeight="1" x14ac:dyDescent="0.35">
      <c r="A1449" s="25" t="s">
        <v>1914</v>
      </c>
      <c r="B1449" s="25" t="s">
        <v>1915</v>
      </c>
      <c r="C1449" s="26">
        <v>204014</v>
      </c>
      <c r="D1449" s="25" t="s">
        <v>1952</v>
      </c>
      <c r="E1449" s="25" t="s">
        <v>1948</v>
      </c>
      <c r="F1449" s="26" t="s">
        <v>90</v>
      </c>
      <c r="G1449" s="26" t="s">
        <v>90</v>
      </c>
      <c r="H1449" s="26"/>
      <c r="I1449" s="26"/>
      <c r="J1449" s="26">
        <v>1</v>
      </c>
      <c r="K1449" s="26">
        <v>138</v>
      </c>
      <c r="L1449" s="26" t="s">
        <v>28</v>
      </c>
      <c r="M1449" s="27">
        <v>2053</v>
      </c>
      <c r="N1449" s="28"/>
      <c r="O1449" s="26" t="s">
        <v>29</v>
      </c>
      <c r="P1449" s="29"/>
      <c r="Q1449" s="6"/>
      <c r="R1449" s="29"/>
      <c r="S1449" s="10"/>
      <c r="T1449" s="8"/>
    </row>
    <row r="1450" spans="1:20" ht="15.75" customHeight="1" x14ac:dyDescent="0.35">
      <c r="A1450" s="25" t="s">
        <v>1914</v>
      </c>
      <c r="B1450" s="25" t="s">
        <v>1915</v>
      </c>
      <c r="C1450" s="26">
        <v>204015</v>
      </c>
      <c r="D1450" s="25" t="s">
        <v>1953</v>
      </c>
      <c r="E1450" s="25" t="s">
        <v>1942</v>
      </c>
      <c r="F1450" s="26" t="s">
        <v>90</v>
      </c>
      <c r="G1450" s="26" t="s">
        <v>90</v>
      </c>
      <c r="H1450" s="26"/>
      <c r="I1450" s="26"/>
      <c r="J1450" s="26">
        <v>1</v>
      </c>
      <c r="K1450" s="26">
        <v>138</v>
      </c>
      <c r="L1450" s="26" t="s">
        <v>28</v>
      </c>
      <c r="M1450" s="27">
        <v>2054</v>
      </c>
      <c r="N1450" s="28"/>
      <c r="O1450" s="26" t="s">
        <v>29</v>
      </c>
      <c r="P1450" s="29"/>
      <c r="Q1450" s="6"/>
      <c r="R1450" s="29"/>
      <c r="S1450" s="10"/>
      <c r="T1450" s="8"/>
    </row>
    <row r="1451" spans="1:20" ht="15.75" customHeight="1" x14ac:dyDescent="0.35">
      <c r="A1451" s="25" t="s">
        <v>1914</v>
      </c>
      <c r="B1451" s="25" t="s">
        <v>1915</v>
      </c>
      <c r="C1451" s="26">
        <v>204017</v>
      </c>
      <c r="D1451" s="25" t="s">
        <v>1954</v>
      </c>
      <c r="E1451" s="25" t="s">
        <v>1922</v>
      </c>
      <c r="F1451" s="26" t="s">
        <v>90</v>
      </c>
      <c r="G1451" s="26" t="s">
        <v>90</v>
      </c>
      <c r="H1451" s="26"/>
      <c r="I1451" s="26"/>
      <c r="J1451" s="26">
        <v>1</v>
      </c>
      <c r="K1451" s="26">
        <v>138</v>
      </c>
      <c r="L1451" s="26" t="s">
        <v>28</v>
      </c>
      <c r="M1451" s="27">
        <v>2039</v>
      </c>
      <c r="N1451" s="28"/>
      <c r="O1451" s="26" t="s">
        <v>29</v>
      </c>
      <c r="P1451" s="29"/>
      <c r="Q1451" s="6"/>
      <c r="R1451" s="29"/>
      <c r="S1451" s="10"/>
      <c r="T1451" s="8"/>
    </row>
    <row r="1452" spans="1:20" ht="15.75" customHeight="1" x14ac:dyDescent="0.35">
      <c r="A1452" s="25" t="s">
        <v>1914</v>
      </c>
      <c r="B1452" s="25" t="s">
        <v>1915</v>
      </c>
      <c r="C1452" s="26">
        <v>204019</v>
      </c>
      <c r="D1452" s="25" t="s">
        <v>1955</v>
      </c>
      <c r="E1452" s="25" t="s">
        <v>1937</v>
      </c>
      <c r="F1452" s="26" t="s">
        <v>215</v>
      </c>
      <c r="G1452" s="26" t="s">
        <v>215</v>
      </c>
      <c r="H1452" s="26">
        <v>1</v>
      </c>
      <c r="I1452" s="26">
        <v>4</v>
      </c>
      <c r="J1452" s="26">
        <v>1</v>
      </c>
      <c r="K1452" s="26">
        <v>138</v>
      </c>
      <c r="L1452" s="26" t="s">
        <v>28</v>
      </c>
      <c r="M1452" s="27">
        <v>2026</v>
      </c>
      <c r="N1452" s="28">
        <v>575410.75</v>
      </c>
      <c r="O1452" s="26" t="s">
        <v>29</v>
      </c>
      <c r="P1452" s="29"/>
      <c r="Q1452" s="6"/>
      <c r="R1452" s="29"/>
      <c r="S1452" s="10"/>
      <c r="T1452" s="8">
        <v>1</v>
      </c>
    </row>
    <row r="1453" spans="1:20" ht="15.75" customHeight="1" x14ac:dyDescent="0.35">
      <c r="A1453" s="25" t="s">
        <v>1914</v>
      </c>
      <c r="B1453" s="25" t="s">
        <v>1915</v>
      </c>
      <c r="C1453" s="26">
        <v>204022</v>
      </c>
      <c r="D1453" s="25" t="s">
        <v>1956</v>
      </c>
      <c r="E1453" s="25" t="s">
        <v>1918</v>
      </c>
      <c r="F1453" s="26" t="s">
        <v>90</v>
      </c>
      <c r="G1453" s="26" t="s">
        <v>90</v>
      </c>
      <c r="H1453" s="26">
        <v>1</v>
      </c>
      <c r="I1453" s="26">
        <v>3</v>
      </c>
      <c r="J1453" s="26">
        <v>1</v>
      </c>
      <c r="K1453" s="26">
        <v>138</v>
      </c>
      <c r="L1453" s="26" t="s">
        <v>28</v>
      </c>
      <c r="M1453" s="27">
        <v>2040</v>
      </c>
      <c r="N1453" s="28">
        <v>632284.71</v>
      </c>
      <c r="O1453" s="26" t="s">
        <v>29</v>
      </c>
      <c r="P1453" s="29"/>
      <c r="Q1453" s="6"/>
      <c r="R1453" s="29"/>
      <c r="S1453" s="10"/>
      <c r="T1453" s="8">
        <v>1</v>
      </c>
    </row>
    <row r="1454" spans="1:20" ht="15.75" customHeight="1" x14ac:dyDescent="0.35">
      <c r="A1454" s="25" t="s">
        <v>1914</v>
      </c>
      <c r="B1454" s="25" t="s">
        <v>1915</v>
      </c>
      <c r="C1454" s="26">
        <v>315819</v>
      </c>
      <c r="D1454" s="25" t="s">
        <v>1957</v>
      </c>
      <c r="E1454" s="25" t="s">
        <v>1683</v>
      </c>
      <c r="F1454" s="26" t="s">
        <v>215</v>
      </c>
      <c r="G1454" s="26" t="s">
        <v>215</v>
      </c>
      <c r="H1454" s="26"/>
      <c r="I1454" s="26"/>
      <c r="J1454" s="26">
        <v>1</v>
      </c>
      <c r="K1454" s="26">
        <v>138</v>
      </c>
      <c r="L1454" s="26" t="s">
        <v>28</v>
      </c>
      <c r="M1454" s="27">
        <v>2024</v>
      </c>
      <c r="N1454" s="28"/>
      <c r="O1454" s="26" t="s">
        <v>29</v>
      </c>
      <c r="P1454" s="29"/>
      <c r="Q1454" s="6"/>
      <c r="R1454" s="29"/>
      <c r="S1454" s="10"/>
      <c r="T1454" s="8"/>
    </row>
    <row r="1455" spans="1:20" ht="15.75" customHeight="1" x14ac:dyDescent="0.35">
      <c r="A1455" s="25" t="s">
        <v>1914</v>
      </c>
      <c r="B1455" s="25" t="s">
        <v>1958</v>
      </c>
      <c r="C1455" s="26">
        <v>128580</v>
      </c>
      <c r="D1455" s="25" t="s">
        <v>381</v>
      </c>
      <c r="E1455" s="25" t="s">
        <v>1959</v>
      </c>
      <c r="F1455" s="26" t="s">
        <v>215</v>
      </c>
      <c r="G1455" s="26" t="s">
        <v>215</v>
      </c>
      <c r="H1455" s="26">
        <v>1</v>
      </c>
      <c r="I1455" s="26">
        <v>2</v>
      </c>
      <c r="J1455" s="26">
        <v>1</v>
      </c>
      <c r="K1455" s="26">
        <v>138</v>
      </c>
      <c r="L1455" s="26" t="s">
        <v>28</v>
      </c>
      <c r="M1455" s="27">
        <v>2056</v>
      </c>
      <c r="N1455" s="28">
        <v>2067596.67</v>
      </c>
      <c r="O1455" s="26" t="s">
        <v>29</v>
      </c>
      <c r="P1455" s="29"/>
      <c r="Q1455" s="6"/>
      <c r="R1455" s="29"/>
      <c r="S1455" s="10"/>
      <c r="T1455" s="8">
        <v>1</v>
      </c>
    </row>
    <row r="1456" spans="1:20" ht="15.75" customHeight="1" x14ac:dyDescent="0.35">
      <c r="A1456" s="25" t="s">
        <v>1914</v>
      </c>
      <c r="B1456" s="25" t="s">
        <v>1958</v>
      </c>
      <c r="C1456" s="26">
        <v>128707</v>
      </c>
      <c r="D1456" s="25" t="s">
        <v>1960</v>
      </c>
      <c r="E1456" s="25" t="s">
        <v>1961</v>
      </c>
      <c r="F1456" s="26" t="s">
        <v>215</v>
      </c>
      <c r="G1456" s="26" t="s">
        <v>215</v>
      </c>
      <c r="H1456" s="26">
        <v>1</v>
      </c>
      <c r="I1456" s="26">
        <v>4</v>
      </c>
      <c r="J1456" s="26">
        <v>1</v>
      </c>
      <c r="K1456" s="26">
        <v>138</v>
      </c>
      <c r="L1456" s="26" t="s">
        <v>28</v>
      </c>
      <c r="M1456" s="27">
        <v>2055</v>
      </c>
      <c r="N1456" s="28">
        <v>3128902.13</v>
      </c>
      <c r="O1456" s="26" t="s">
        <v>29</v>
      </c>
      <c r="P1456" s="29"/>
      <c r="Q1456" s="6"/>
      <c r="R1456" s="29"/>
      <c r="S1456" s="10"/>
      <c r="T1456" s="8">
        <v>1</v>
      </c>
    </row>
    <row r="1457" spans="1:20" ht="15.75" customHeight="1" x14ac:dyDescent="0.35">
      <c r="A1457" s="25" t="s">
        <v>1914</v>
      </c>
      <c r="B1457" s="25" t="s">
        <v>1958</v>
      </c>
      <c r="C1457" s="26">
        <v>128805</v>
      </c>
      <c r="D1457" s="25" t="s">
        <v>1962</v>
      </c>
      <c r="E1457" s="25" t="s">
        <v>1963</v>
      </c>
      <c r="F1457" s="26" t="s">
        <v>215</v>
      </c>
      <c r="G1457" s="26" t="s">
        <v>215</v>
      </c>
      <c r="H1457" s="26">
        <v>1</v>
      </c>
      <c r="I1457" s="26">
        <v>6</v>
      </c>
      <c r="J1457" s="26">
        <v>1</v>
      </c>
      <c r="K1457" s="26">
        <v>138</v>
      </c>
      <c r="L1457" s="26" t="s">
        <v>28</v>
      </c>
      <c r="M1457" s="27">
        <v>2057</v>
      </c>
      <c r="N1457" s="28">
        <v>2573784.66</v>
      </c>
      <c r="O1457" s="26" t="s">
        <v>29</v>
      </c>
      <c r="P1457" s="29"/>
      <c r="Q1457" s="6"/>
      <c r="R1457" s="29"/>
      <c r="S1457" s="10"/>
      <c r="T1457" s="8">
        <v>1</v>
      </c>
    </row>
    <row r="1458" spans="1:20" ht="15.75" customHeight="1" x14ac:dyDescent="0.35">
      <c r="A1458" s="25" t="s">
        <v>1914</v>
      </c>
      <c r="B1458" s="25" t="s">
        <v>1964</v>
      </c>
      <c r="C1458" s="26">
        <v>128842</v>
      </c>
      <c r="D1458" s="25" t="s">
        <v>1965</v>
      </c>
      <c r="E1458" s="25" t="s">
        <v>1966</v>
      </c>
      <c r="F1458" s="26" t="s">
        <v>90</v>
      </c>
      <c r="G1458" s="26" t="s">
        <v>90</v>
      </c>
      <c r="H1458" s="26"/>
      <c r="I1458" s="26"/>
      <c r="J1458" s="26">
        <v>1</v>
      </c>
      <c r="K1458" s="26">
        <v>138</v>
      </c>
      <c r="L1458" s="26" t="s">
        <v>28</v>
      </c>
      <c r="M1458" s="27">
        <v>2070</v>
      </c>
      <c r="N1458" s="28"/>
      <c r="O1458" s="26" t="s">
        <v>29</v>
      </c>
      <c r="P1458" s="29"/>
      <c r="Q1458" s="6"/>
      <c r="R1458" s="29"/>
      <c r="S1458" s="10"/>
      <c r="T1458" s="8"/>
    </row>
    <row r="1459" spans="1:20" ht="15.75" customHeight="1" x14ac:dyDescent="0.35">
      <c r="A1459" s="25" t="s">
        <v>1914</v>
      </c>
      <c r="B1459" s="25" t="s">
        <v>1964</v>
      </c>
      <c r="C1459" s="26">
        <v>128846</v>
      </c>
      <c r="D1459" s="25" t="s">
        <v>1967</v>
      </c>
      <c r="E1459" s="25" t="s">
        <v>1966</v>
      </c>
      <c r="F1459" s="26" t="s">
        <v>90</v>
      </c>
      <c r="G1459" s="26" t="s">
        <v>90</v>
      </c>
      <c r="H1459" s="26"/>
      <c r="I1459" s="26"/>
      <c r="J1459" s="26">
        <v>1</v>
      </c>
      <c r="K1459" s="26">
        <v>138</v>
      </c>
      <c r="L1459" s="26" t="s">
        <v>28</v>
      </c>
      <c r="M1459" s="27">
        <v>2079</v>
      </c>
      <c r="N1459" s="28"/>
      <c r="O1459" s="26" t="s">
        <v>29</v>
      </c>
      <c r="P1459" s="29"/>
      <c r="Q1459" s="6"/>
      <c r="R1459" s="29"/>
      <c r="S1459" s="10"/>
      <c r="T1459" s="8"/>
    </row>
    <row r="1460" spans="1:20" ht="15.75" customHeight="1" x14ac:dyDescent="0.35">
      <c r="A1460" s="25" t="s">
        <v>1914</v>
      </c>
      <c r="B1460" s="25" t="s">
        <v>1964</v>
      </c>
      <c r="C1460" s="26">
        <v>128847</v>
      </c>
      <c r="D1460" s="25" t="s">
        <v>326</v>
      </c>
      <c r="E1460" s="25" t="s">
        <v>1966</v>
      </c>
      <c r="F1460" s="26" t="s">
        <v>90</v>
      </c>
      <c r="G1460" s="26" t="s">
        <v>90</v>
      </c>
      <c r="H1460" s="26"/>
      <c r="I1460" s="26"/>
      <c r="J1460" s="26">
        <v>1</v>
      </c>
      <c r="K1460" s="26">
        <v>138</v>
      </c>
      <c r="L1460" s="26" t="s">
        <v>28</v>
      </c>
      <c r="M1460" s="27">
        <v>2081</v>
      </c>
      <c r="N1460" s="28"/>
      <c r="O1460" s="26" t="s">
        <v>29</v>
      </c>
      <c r="P1460" s="29"/>
      <c r="Q1460" s="6"/>
      <c r="R1460" s="29"/>
      <c r="S1460" s="10"/>
      <c r="T1460" s="8"/>
    </row>
    <row r="1461" spans="1:20" ht="15.75" customHeight="1" x14ac:dyDescent="0.35">
      <c r="A1461" s="25" t="s">
        <v>1914</v>
      </c>
      <c r="B1461" s="25" t="s">
        <v>1964</v>
      </c>
      <c r="C1461" s="26">
        <v>128848</v>
      </c>
      <c r="D1461" s="25" t="s">
        <v>1968</v>
      </c>
      <c r="E1461" s="25" t="s">
        <v>1966</v>
      </c>
      <c r="F1461" s="26" t="s">
        <v>90</v>
      </c>
      <c r="G1461" s="26" t="s">
        <v>90</v>
      </c>
      <c r="H1461" s="26"/>
      <c r="I1461" s="26"/>
      <c r="J1461" s="26">
        <v>1</v>
      </c>
      <c r="K1461" s="26">
        <v>138</v>
      </c>
      <c r="L1461" s="26" t="s">
        <v>28</v>
      </c>
      <c r="M1461" s="27">
        <v>2084</v>
      </c>
      <c r="N1461" s="28"/>
      <c r="O1461" s="26" t="s">
        <v>29</v>
      </c>
      <c r="P1461" s="29"/>
      <c r="Q1461" s="6"/>
      <c r="R1461" s="29"/>
      <c r="S1461" s="10"/>
      <c r="T1461" s="8"/>
    </row>
    <row r="1462" spans="1:20" ht="15.75" customHeight="1" x14ac:dyDescent="0.35">
      <c r="A1462" s="25" t="s">
        <v>1914</v>
      </c>
      <c r="B1462" s="25" t="s">
        <v>1964</v>
      </c>
      <c r="C1462" s="26">
        <v>128854</v>
      </c>
      <c r="D1462" s="25" t="s">
        <v>1969</v>
      </c>
      <c r="E1462" s="25" t="s">
        <v>1966</v>
      </c>
      <c r="F1462" s="26" t="s">
        <v>90</v>
      </c>
      <c r="G1462" s="26" t="s">
        <v>90</v>
      </c>
      <c r="H1462" s="26"/>
      <c r="I1462" s="26"/>
      <c r="J1462" s="26">
        <v>1</v>
      </c>
      <c r="K1462" s="26">
        <v>138</v>
      </c>
      <c r="L1462" s="26" t="s">
        <v>28</v>
      </c>
      <c r="M1462" s="27">
        <v>2100</v>
      </c>
      <c r="N1462" s="28"/>
      <c r="O1462" s="26" t="s">
        <v>29</v>
      </c>
      <c r="P1462" s="29"/>
      <c r="Q1462" s="6"/>
      <c r="R1462" s="29"/>
      <c r="S1462" s="10"/>
      <c r="T1462" s="8"/>
    </row>
    <row r="1463" spans="1:20" ht="15.75" customHeight="1" x14ac:dyDescent="0.35">
      <c r="A1463" s="25" t="s">
        <v>1914</v>
      </c>
      <c r="B1463" s="25" t="s">
        <v>1964</v>
      </c>
      <c r="C1463" s="26">
        <v>128885</v>
      </c>
      <c r="D1463" s="25" t="s">
        <v>1970</v>
      </c>
      <c r="E1463" s="25" t="s">
        <v>1971</v>
      </c>
      <c r="F1463" s="26" t="s">
        <v>90</v>
      </c>
      <c r="G1463" s="26" t="s">
        <v>90</v>
      </c>
      <c r="H1463" s="26">
        <v>1</v>
      </c>
      <c r="I1463" s="26">
        <v>13</v>
      </c>
      <c r="J1463" s="26">
        <v>1</v>
      </c>
      <c r="K1463" s="26">
        <v>138</v>
      </c>
      <c r="L1463" s="26" t="s">
        <v>28</v>
      </c>
      <c r="M1463" s="27">
        <v>2085</v>
      </c>
      <c r="N1463" s="28">
        <v>1692446.88</v>
      </c>
      <c r="O1463" s="26" t="s">
        <v>29</v>
      </c>
      <c r="P1463" s="29"/>
      <c r="Q1463" s="6"/>
      <c r="R1463" s="29"/>
      <c r="S1463" s="10"/>
      <c r="T1463" s="8">
        <v>1</v>
      </c>
    </row>
    <row r="1464" spans="1:20" ht="15.75" customHeight="1" x14ac:dyDescent="0.35">
      <c r="A1464" s="9" t="s">
        <v>1914</v>
      </c>
      <c r="B1464" s="25" t="s">
        <v>1964</v>
      </c>
      <c r="C1464" s="31">
        <v>128890</v>
      </c>
      <c r="D1464" s="32" t="s">
        <v>1012</v>
      </c>
      <c r="E1464" s="32" t="s">
        <v>1971</v>
      </c>
      <c r="F1464" s="29">
        <v>2</v>
      </c>
      <c r="G1464" s="33"/>
      <c r="H1464" s="8">
        <v>1</v>
      </c>
      <c r="I1464" s="8">
        <v>16</v>
      </c>
      <c r="J1464" s="29"/>
      <c r="K1464" s="10"/>
      <c r="L1464" s="10"/>
      <c r="M1464" s="11"/>
      <c r="N1464" s="34">
        <v>404576.81</v>
      </c>
      <c r="O1464" s="26" t="s">
        <v>29</v>
      </c>
      <c r="P1464" s="29" t="s">
        <v>163</v>
      </c>
      <c r="Q1464" s="6"/>
      <c r="R1464" s="29"/>
      <c r="S1464" s="10"/>
      <c r="T1464" s="8">
        <v>1</v>
      </c>
    </row>
    <row r="1465" spans="1:20" ht="15.75" customHeight="1" x14ac:dyDescent="0.35">
      <c r="A1465" s="25" t="s">
        <v>1914</v>
      </c>
      <c r="B1465" s="25" t="s">
        <v>1964</v>
      </c>
      <c r="C1465" s="26">
        <v>128901</v>
      </c>
      <c r="D1465" s="25" t="s">
        <v>1972</v>
      </c>
      <c r="E1465" s="25" t="s">
        <v>1973</v>
      </c>
      <c r="F1465" s="26" t="s">
        <v>90</v>
      </c>
      <c r="G1465" s="26" t="s">
        <v>90</v>
      </c>
      <c r="H1465" s="26"/>
      <c r="I1465" s="26"/>
      <c r="J1465" s="26">
        <v>1</v>
      </c>
      <c r="K1465" s="26">
        <v>138</v>
      </c>
      <c r="L1465" s="26" t="s">
        <v>28</v>
      </c>
      <c r="M1465" s="27">
        <v>2068</v>
      </c>
      <c r="N1465" s="28"/>
      <c r="O1465" s="26" t="s">
        <v>29</v>
      </c>
      <c r="P1465" s="29"/>
      <c r="Q1465" s="6"/>
      <c r="R1465" s="29"/>
      <c r="S1465" s="10"/>
      <c r="T1465" s="8"/>
    </row>
    <row r="1466" spans="1:20" ht="15.75" customHeight="1" x14ac:dyDescent="0.35">
      <c r="A1466" s="25" t="s">
        <v>1914</v>
      </c>
      <c r="B1466" s="25" t="s">
        <v>1964</v>
      </c>
      <c r="C1466" s="26">
        <v>128912</v>
      </c>
      <c r="D1466" s="25" t="s">
        <v>1974</v>
      </c>
      <c r="E1466" s="25" t="s">
        <v>1973</v>
      </c>
      <c r="F1466" s="26" t="s">
        <v>90</v>
      </c>
      <c r="G1466" s="26" t="s">
        <v>90</v>
      </c>
      <c r="H1466" s="26"/>
      <c r="I1466" s="26"/>
      <c r="J1466" s="26">
        <v>1</v>
      </c>
      <c r="K1466" s="26">
        <v>138</v>
      </c>
      <c r="L1466" s="26" t="s">
        <v>28</v>
      </c>
      <c r="M1466" s="27">
        <v>2088</v>
      </c>
      <c r="N1466" s="28"/>
      <c r="O1466" s="26" t="s">
        <v>29</v>
      </c>
      <c r="P1466" s="29"/>
      <c r="Q1466" s="6"/>
      <c r="R1466" s="29"/>
      <c r="S1466" s="10"/>
      <c r="T1466" s="8"/>
    </row>
    <row r="1467" spans="1:20" ht="15.75" customHeight="1" x14ac:dyDescent="0.35">
      <c r="A1467" s="25" t="s">
        <v>1914</v>
      </c>
      <c r="B1467" s="25" t="s">
        <v>1964</v>
      </c>
      <c r="C1467" s="26">
        <v>128961</v>
      </c>
      <c r="D1467" s="25" t="s">
        <v>1975</v>
      </c>
      <c r="E1467" s="25" t="s">
        <v>1976</v>
      </c>
      <c r="F1467" s="26" t="s">
        <v>90</v>
      </c>
      <c r="G1467" s="26" t="s">
        <v>90</v>
      </c>
      <c r="H1467" s="26"/>
      <c r="I1467" s="26"/>
      <c r="J1467" s="26">
        <v>1</v>
      </c>
      <c r="K1467" s="26">
        <v>138</v>
      </c>
      <c r="L1467" s="26" t="s">
        <v>28</v>
      </c>
      <c r="M1467" s="27">
        <v>2062</v>
      </c>
      <c r="N1467" s="28"/>
      <c r="O1467" s="26" t="s">
        <v>29</v>
      </c>
      <c r="P1467" s="29"/>
      <c r="Q1467" s="6"/>
      <c r="R1467" s="29"/>
      <c r="S1467" s="10"/>
      <c r="T1467" s="8"/>
    </row>
    <row r="1468" spans="1:20" ht="15.75" customHeight="1" x14ac:dyDescent="0.35">
      <c r="A1468" s="25" t="s">
        <v>1914</v>
      </c>
      <c r="B1468" s="25" t="s">
        <v>1964</v>
      </c>
      <c r="C1468" s="26">
        <v>128963</v>
      </c>
      <c r="D1468" s="25" t="s">
        <v>1977</v>
      </c>
      <c r="E1468" s="25" t="s">
        <v>1976</v>
      </c>
      <c r="F1468" s="26" t="s">
        <v>90</v>
      </c>
      <c r="G1468" s="26" t="s">
        <v>90</v>
      </c>
      <c r="H1468" s="26"/>
      <c r="I1468" s="26"/>
      <c r="J1468" s="26">
        <v>1</v>
      </c>
      <c r="K1468" s="26">
        <v>138</v>
      </c>
      <c r="L1468" s="26" t="s">
        <v>28</v>
      </c>
      <c r="M1468" s="27">
        <v>2064</v>
      </c>
      <c r="N1468" s="28"/>
      <c r="O1468" s="26" t="s">
        <v>29</v>
      </c>
      <c r="P1468" s="29"/>
      <c r="Q1468" s="6"/>
      <c r="R1468" s="29"/>
      <c r="S1468" s="10"/>
      <c r="T1468" s="8"/>
    </row>
    <row r="1469" spans="1:20" ht="15.75" customHeight="1" x14ac:dyDescent="0.35">
      <c r="A1469" s="25" t="s">
        <v>1914</v>
      </c>
      <c r="B1469" s="25" t="s">
        <v>1964</v>
      </c>
      <c r="C1469" s="26">
        <v>128966</v>
      </c>
      <c r="D1469" s="25" t="s">
        <v>1978</v>
      </c>
      <c r="E1469" s="25" t="s">
        <v>1976</v>
      </c>
      <c r="F1469" s="26" t="s">
        <v>90</v>
      </c>
      <c r="G1469" s="26" t="s">
        <v>90</v>
      </c>
      <c r="H1469" s="26"/>
      <c r="I1469" s="26"/>
      <c r="J1469" s="26">
        <v>1</v>
      </c>
      <c r="K1469" s="26">
        <v>138</v>
      </c>
      <c r="L1469" s="26" t="s">
        <v>28</v>
      </c>
      <c r="M1469" s="27">
        <v>2067</v>
      </c>
      <c r="N1469" s="28"/>
      <c r="O1469" s="26" t="s">
        <v>29</v>
      </c>
      <c r="P1469" s="29"/>
      <c r="Q1469" s="6"/>
      <c r="R1469" s="29"/>
      <c r="S1469" s="10"/>
      <c r="T1469" s="8"/>
    </row>
    <row r="1470" spans="1:20" ht="15.75" customHeight="1" x14ac:dyDescent="0.35">
      <c r="A1470" s="25" t="s">
        <v>1914</v>
      </c>
      <c r="B1470" s="25" t="s">
        <v>1964</v>
      </c>
      <c r="C1470" s="26">
        <v>128969</v>
      </c>
      <c r="D1470" s="25" t="s">
        <v>1979</v>
      </c>
      <c r="E1470" s="25" t="s">
        <v>1976</v>
      </c>
      <c r="F1470" s="26" t="s">
        <v>90</v>
      </c>
      <c r="G1470" s="26" t="s">
        <v>90</v>
      </c>
      <c r="H1470" s="26"/>
      <c r="I1470" s="26"/>
      <c r="J1470" s="26">
        <v>1</v>
      </c>
      <c r="K1470" s="26">
        <v>138</v>
      </c>
      <c r="L1470" s="26" t="s">
        <v>28</v>
      </c>
      <c r="M1470" s="27">
        <v>2071</v>
      </c>
      <c r="N1470" s="28"/>
      <c r="O1470" s="26" t="s">
        <v>29</v>
      </c>
      <c r="P1470" s="29"/>
      <c r="Q1470" s="6"/>
      <c r="R1470" s="29"/>
      <c r="S1470" s="10"/>
      <c r="T1470" s="8"/>
    </row>
    <row r="1471" spans="1:20" ht="15.75" customHeight="1" x14ac:dyDescent="0.35">
      <c r="A1471" s="25" t="s">
        <v>1914</v>
      </c>
      <c r="B1471" s="25" t="s">
        <v>1964</v>
      </c>
      <c r="C1471" s="26">
        <v>128973</v>
      </c>
      <c r="D1471" s="25" t="s">
        <v>1980</v>
      </c>
      <c r="E1471" s="25" t="s">
        <v>1976</v>
      </c>
      <c r="F1471" s="26" t="s">
        <v>90</v>
      </c>
      <c r="G1471" s="26" t="s">
        <v>90</v>
      </c>
      <c r="H1471" s="26"/>
      <c r="I1471" s="26"/>
      <c r="J1471" s="26">
        <v>1</v>
      </c>
      <c r="K1471" s="26">
        <v>138</v>
      </c>
      <c r="L1471" s="26" t="s">
        <v>28</v>
      </c>
      <c r="M1471" s="27">
        <v>2076</v>
      </c>
      <c r="N1471" s="28"/>
      <c r="O1471" s="26" t="s">
        <v>29</v>
      </c>
      <c r="P1471" s="29"/>
      <c r="Q1471" s="6"/>
      <c r="R1471" s="29"/>
      <c r="S1471" s="10"/>
      <c r="T1471" s="8"/>
    </row>
    <row r="1472" spans="1:20" ht="15.75" customHeight="1" x14ac:dyDescent="0.35">
      <c r="A1472" s="25" t="s">
        <v>1914</v>
      </c>
      <c r="B1472" s="25" t="s">
        <v>1964</v>
      </c>
      <c r="C1472" s="26">
        <v>128975</v>
      </c>
      <c r="D1472" s="25" t="s">
        <v>1981</v>
      </c>
      <c r="E1472" s="25" t="s">
        <v>1976</v>
      </c>
      <c r="F1472" s="26" t="s">
        <v>90</v>
      </c>
      <c r="G1472" s="26" t="s">
        <v>90</v>
      </c>
      <c r="H1472" s="26"/>
      <c r="I1472" s="26"/>
      <c r="J1472" s="26">
        <v>1</v>
      </c>
      <c r="K1472" s="26">
        <v>138</v>
      </c>
      <c r="L1472" s="26" t="s">
        <v>28</v>
      </c>
      <c r="M1472" s="27">
        <v>2077</v>
      </c>
      <c r="N1472" s="28"/>
      <c r="O1472" s="26" t="s">
        <v>29</v>
      </c>
      <c r="P1472" s="29"/>
      <c r="Q1472" s="6"/>
      <c r="R1472" s="29"/>
      <c r="S1472" s="10"/>
      <c r="T1472" s="8"/>
    </row>
    <row r="1473" spans="1:20" ht="15.75" customHeight="1" x14ac:dyDescent="0.35">
      <c r="A1473" s="25" t="s">
        <v>1914</v>
      </c>
      <c r="B1473" s="25" t="s">
        <v>1964</v>
      </c>
      <c r="C1473" s="26">
        <v>128976</v>
      </c>
      <c r="D1473" s="25" t="s">
        <v>1982</v>
      </c>
      <c r="E1473" s="25" t="s">
        <v>1976</v>
      </c>
      <c r="F1473" s="26" t="s">
        <v>90</v>
      </c>
      <c r="G1473" s="26" t="s">
        <v>90</v>
      </c>
      <c r="H1473" s="26"/>
      <c r="I1473" s="26"/>
      <c r="J1473" s="26">
        <v>1</v>
      </c>
      <c r="K1473" s="26">
        <v>138</v>
      </c>
      <c r="L1473" s="26" t="s">
        <v>28</v>
      </c>
      <c r="M1473" s="27">
        <v>2080</v>
      </c>
      <c r="N1473" s="28"/>
      <c r="O1473" s="26" t="s">
        <v>29</v>
      </c>
      <c r="P1473" s="29"/>
      <c r="Q1473" s="6"/>
      <c r="R1473" s="29"/>
      <c r="S1473" s="10"/>
      <c r="T1473" s="8"/>
    </row>
    <row r="1474" spans="1:20" ht="15.75" customHeight="1" x14ac:dyDescent="0.35">
      <c r="A1474" s="25" t="s">
        <v>1914</v>
      </c>
      <c r="B1474" s="25" t="s">
        <v>1964</v>
      </c>
      <c r="C1474" s="26">
        <v>128979</v>
      </c>
      <c r="D1474" s="25" t="s">
        <v>1983</v>
      </c>
      <c r="E1474" s="25" t="s">
        <v>1976</v>
      </c>
      <c r="F1474" s="26" t="s">
        <v>90</v>
      </c>
      <c r="G1474" s="26" t="s">
        <v>90</v>
      </c>
      <c r="H1474" s="26"/>
      <c r="I1474" s="26"/>
      <c r="J1474" s="26">
        <v>1</v>
      </c>
      <c r="K1474" s="26">
        <v>138</v>
      </c>
      <c r="L1474" s="26" t="s">
        <v>28</v>
      </c>
      <c r="M1474" s="27">
        <v>2086</v>
      </c>
      <c r="N1474" s="28"/>
      <c r="O1474" s="26" t="s">
        <v>29</v>
      </c>
      <c r="P1474" s="29"/>
      <c r="Q1474" s="6"/>
      <c r="R1474" s="29"/>
      <c r="S1474" s="10"/>
      <c r="T1474" s="8"/>
    </row>
    <row r="1475" spans="1:20" ht="15.75" customHeight="1" x14ac:dyDescent="0.35">
      <c r="A1475" s="25" t="s">
        <v>1914</v>
      </c>
      <c r="B1475" s="25" t="s">
        <v>1964</v>
      </c>
      <c r="C1475" s="26">
        <v>128980</v>
      </c>
      <c r="D1475" s="25" t="s">
        <v>1984</v>
      </c>
      <c r="E1475" s="25" t="s">
        <v>1976</v>
      </c>
      <c r="F1475" s="26" t="s">
        <v>90</v>
      </c>
      <c r="G1475" s="26" t="s">
        <v>90</v>
      </c>
      <c r="H1475" s="26"/>
      <c r="I1475" s="26"/>
      <c r="J1475" s="26">
        <v>1</v>
      </c>
      <c r="K1475" s="26">
        <v>138</v>
      </c>
      <c r="L1475" s="26" t="s">
        <v>28</v>
      </c>
      <c r="M1475" s="27">
        <v>2087</v>
      </c>
      <c r="N1475" s="28"/>
      <c r="O1475" s="26" t="s">
        <v>29</v>
      </c>
      <c r="P1475" s="29"/>
      <c r="Q1475" s="6"/>
      <c r="R1475" s="29"/>
      <c r="S1475" s="10"/>
      <c r="T1475" s="8"/>
    </row>
    <row r="1476" spans="1:20" ht="15.75" customHeight="1" x14ac:dyDescent="0.35">
      <c r="A1476" s="25" t="s">
        <v>1914</v>
      </c>
      <c r="B1476" s="25" t="s">
        <v>1964</v>
      </c>
      <c r="C1476" s="26">
        <v>128983</v>
      </c>
      <c r="D1476" s="25" t="s">
        <v>1985</v>
      </c>
      <c r="E1476" s="25" t="s">
        <v>1976</v>
      </c>
      <c r="F1476" s="26" t="s">
        <v>90</v>
      </c>
      <c r="G1476" s="26" t="s">
        <v>90</v>
      </c>
      <c r="H1476" s="26"/>
      <c r="I1476" s="26"/>
      <c r="J1476" s="26">
        <v>1</v>
      </c>
      <c r="K1476" s="26">
        <v>138</v>
      </c>
      <c r="L1476" s="26" t="s">
        <v>28</v>
      </c>
      <c r="M1476" s="27">
        <v>2090</v>
      </c>
      <c r="N1476" s="28"/>
      <c r="O1476" s="26" t="s">
        <v>29</v>
      </c>
      <c r="P1476" s="29"/>
      <c r="Q1476" s="6"/>
      <c r="R1476" s="29"/>
      <c r="S1476" s="10"/>
      <c r="T1476" s="8"/>
    </row>
    <row r="1477" spans="1:20" ht="15.75" customHeight="1" x14ac:dyDescent="0.35">
      <c r="A1477" s="25" t="s">
        <v>1914</v>
      </c>
      <c r="B1477" s="25" t="s">
        <v>1964</v>
      </c>
      <c r="C1477" s="26">
        <v>128990</v>
      </c>
      <c r="D1477" s="25" t="s">
        <v>1986</v>
      </c>
      <c r="E1477" s="25" t="s">
        <v>1976</v>
      </c>
      <c r="F1477" s="26" t="s">
        <v>90</v>
      </c>
      <c r="G1477" s="26" t="s">
        <v>90</v>
      </c>
      <c r="H1477" s="26"/>
      <c r="I1477" s="26"/>
      <c r="J1477" s="26">
        <v>1</v>
      </c>
      <c r="K1477" s="26">
        <v>138</v>
      </c>
      <c r="L1477" s="26" t="s">
        <v>28</v>
      </c>
      <c r="M1477" s="27">
        <v>2066</v>
      </c>
      <c r="N1477" s="28"/>
      <c r="O1477" s="26" t="s">
        <v>29</v>
      </c>
      <c r="P1477" s="29"/>
      <c r="Q1477" s="6"/>
      <c r="R1477" s="29"/>
      <c r="S1477" s="10"/>
      <c r="T1477" s="8"/>
    </row>
    <row r="1478" spans="1:20" ht="15.75" customHeight="1" x14ac:dyDescent="0.35">
      <c r="A1478" s="25" t="s">
        <v>1914</v>
      </c>
      <c r="B1478" s="25" t="s">
        <v>1964</v>
      </c>
      <c r="C1478" s="26">
        <v>129006</v>
      </c>
      <c r="D1478" s="25" t="s">
        <v>1987</v>
      </c>
      <c r="E1478" s="25" t="s">
        <v>1976</v>
      </c>
      <c r="F1478" s="26" t="s">
        <v>90</v>
      </c>
      <c r="G1478" s="26" t="s">
        <v>90</v>
      </c>
      <c r="H1478" s="26"/>
      <c r="I1478" s="26"/>
      <c r="J1478" s="26">
        <v>1</v>
      </c>
      <c r="K1478" s="26">
        <v>138</v>
      </c>
      <c r="L1478" s="26" t="s">
        <v>28</v>
      </c>
      <c r="M1478" s="27">
        <v>2089</v>
      </c>
      <c r="N1478" s="28"/>
      <c r="O1478" s="26" t="s">
        <v>29</v>
      </c>
      <c r="P1478" s="29"/>
      <c r="Q1478" s="6"/>
      <c r="R1478" s="29"/>
      <c r="S1478" s="10"/>
      <c r="T1478" s="8"/>
    </row>
    <row r="1479" spans="1:20" ht="15.75" customHeight="1" x14ac:dyDescent="0.35">
      <c r="A1479" s="25" t="s">
        <v>1914</v>
      </c>
      <c r="B1479" s="25" t="s">
        <v>1964</v>
      </c>
      <c r="C1479" s="26">
        <v>129007</v>
      </c>
      <c r="D1479" s="25" t="s">
        <v>1988</v>
      </c>
      <c r="E1479" s="25" t="s">
        <v>1976</v>
      </c>
      <c r="F1479" s="26" t="s">
        <v>90</v>
      </c>
      <c r="G1479" s="26" t="s">
        <v>90</v>
      </c>
      <c r="H1479" s="26"/>
      <c r="I1479" s="26"/>
      <c r="J1479" s="26">
        <v>1</v>
      </c>
      <c r="K1479" s="26">
        <v>138</v>
      </c>
      <c r="L1479" s="26" t="s">
        <v>28</v>
      </c>
      <c r="M1479" s="27">
        <v>2101</v>
      </c>
      <c r="N1479" s="28"/>
      <c r="O1479" s="26" t="s">
        <v>29</v>
      </c>
      <c r="P1479" s="29"/>
      <c r="Q1479" s="6"/>
      <c r="R1479" s="29"/>
      <c r="S1479" s="10"/>
      <c r="T1479" s="8"/>
    </row>
    <row r="1480" spans="1:20" ht="15.75" customHeight="1" x14ac:dyDescent="0.35">
      <c r="A1480" s="25" t="s">
        <v>1914</v>
      </c>
      <c r="B1480" s="25" t="s">
        <v>1964</v>
      </c>
      <c r="C1480" s="26">
        <v>129029</v>
      </c>
      <c r="D1480" s="25" t="s">
        <v>1989</v>
      </c>
      <c r="E1480" s="25" t="s">
        <v>1990</v>
      </c>
      <c r="F1480" s="26" t="s">
        <v>215</v>
      </c>
      <c r="G1480" s="26" t="s">
        <v>215</v>
      </c>
      <c r="H1480" s="26"/>
      <c r="I1480" s="26"/>
      <c r="J1480" s="26">
        <v>1</v>
      </c>
      <c r="K1480" s="26">
        <v>138</v>
      </c>
      <c r="L1480" s="26" t="s">
        <v>28</v>
      </c>
      <c r="M1480" s="27">
        <v>2058</v>
      </c>
      <c r="N1480" s="28"/>
      <c r="O1480" s="26" t="s">
        <v>29</v>
      </c>
      <c r="P1480" s="29"/>
      <c r="Q1480" s="6"/>
      <c r="R1480" s="29"/>
      <c r="S1480" s="10"/>
      <c r="T1480" s="8"/>
    </row>
    <row r="1481" spans="1:20" ht="15.75" customHeight="1" x14ac:dyDescent="0.35">
      <c r="A1481" s="25" t="s">
        <v>1914</v>
      </c>
      <c r="B1481" s="25" t="s">
        <v>1964</v>
      </c>
      <c r="C1481" s="26">
        <v>129039</v>
      </c>
      <c r="D1481" s="25" t="s">
        <v>1991</v>
      </c>
      <c r="E1481" s="25" t="s">
        <v>1990</v>
      </c>
      <c r="F1481" s="26" t="s">
        <v>215</v>
      </c>
      <c r="G1481" s="26" t="s">
        <v>215</v>
      </c>
      <c r="H1481" s="26"/>
      <c r="I1481" s="26"/>
      <c r="J1481" s="26">
        <v>1</v>
      </c>
      <c r="K1481" s="26">
        <v>138</v>
      </c>
      <c r="L1481" s="26" t="s">
        <v>28</v>
      </c>
      <c r="M1481" s="27">
        <v>2059</v>
      </c>
      <c r="N1481" s="28"/>
      <c r="O1481" s="26" t="s">
        <v>29</v>
      </c>
      <c r="P1481" s="29"/>
      <c r="Q1481" s="6"/>
      <c r="R1481" s="29"/>
      <c r="S1481" s="10"/>
      <c r="T1481" s="8"/>
    </row>
    <row r="1482" spans="1:20" ht="15.75" customHeight="1" x14ac:dyDescent="0.35">
      <c r="A1482" s="9" t="s">
        <v>1914</v>
      </c>
      <c r="B1482" s="25" t="s">
        <v>1964</v>
      </c>
      <c r="C1482" s="31">
        <v>129083</v>
      </c>
      <c r="D1482" s="32" t="s">
        <v>1992</v>
      </c>
      <c r="E1482" s="32" t="s">
        <v>759</v>
      </c>
      <c r="F1482" s="29">
        <v>1</v>
      </c>
      <c r="G1482" s="33"/>
      <c r="H1482" s="8">
        <v>1</v>
      </c>
      <c r="I1482" s="8">
        <v>5</v>
      </c>
      <c r="J1482" s="29"/>
      <c r="K1482" s="10"/>
      <c r="L1482" s="10"/>
      <c r="M1482" s="11"/>
      <c r="N1482" s="34">
        <v>737544.94</v>
      </c>
      <c r="O1482" s="26" t="s">
        <v>29</v>
      </c>
      <c r="P1482" s="29" t="s">
        <v>163</v>
      </c>
      <c r="Q1482" s="6"/>
      <c r="R1482" s="29"/>
      <c r="S1482" s="10"/>
      <c r="T1482" s="8">
        <v>1</v>
      </c>
    </row>
    <row r="1483" spans="1:20" ht="15.75" customHeight="1" x14ac:dyDescent="0.35">
      <c r="A1483" s="25" t="s">
        <v>1914</v>
      </c>
      <c r="B1483" s="25" t="s">
        <v>1964</v>
      </c>
      <c r="C1483" s="26">
        <v>129087</v>
      </c>
      <c r="D1483" s="25" t="s">
        <v>1993</v>
      </c>
      <c r="E1483" s="25" t="s">
        <v>759</v>
      </c>
      <c r="F1483" s="26" t="s">
        <v>215</v>
      </c>
      <c r="G1483" s="26" t="s">
        <v>215</v>
      </c>
      <c r="H1483" s="26">
        <v>1</v>
      </c>
      <c r="I1483" s="26">
        <v>4</v>
      </c>
      <c r="J1483" s="26">
        <v>1</v>
      </c>
      <c r="K1483" s="26">
        <v>138</v>
      </c>
      <c r="L1483" s="26" t="s">
        <v>28</v>
      </c>
      <c r="M1483" s="27">
        <v>2061</v>
      </c>
      <c r="N1483" s="28">
        <v>1713885.41</v>
      </c>
      <c r="O1483" s="26" t="s">
        <v>29</v>
      </c>
      <c r="P1483" s="29"/>
      <c r="Q1483" s="6"/>
      <c r="R1483" s="29"/>
      <c r="S1483" s="10"/>
      <c r="T1483" s="8">
        <v>1</v>
      </c>
    </row>
    <row r="1484" spans="1:20" ht="15.75" customHeight="1" x14ac:dyDescent="0.35">
      <c r="A1484" s="25" t="s">
        <v>1914</v>
      </c>
      <c r="B1484" s="25" t="s">
        <v>1964</v>
      </c>
      <c r="C1484" s="26">
        <v>129092</v>
      </c>
      <c r="D1484" s="25" t="s">
        <v>1791</v>
      </c>
      <c r="E1484" s="25" t="s">
        <v>759</v>
      </c>
      <c r="F1484" s="26" t="s">
        <v>215</v>
      </c>
      <c r="G1484" s="26" t="s">
        <v>215</v>
      </c>
      <c r="H1484" s="26"/>
      <c r="I1484" s="26"/>
      <c r="J1484" s="26">
        <v>1</v>
      </c>
      <c r="K1484" s="26">
        <v>138</v>
      </c>
      <c r="L1484" s="26" t="s">
        <v>28</v>
      </c>
      <c r="M1484" s="27">
        <v>2060</v>
      </c>
      <c r="N1484" s="28"/>
      <c r="O1484" s="26" t="s">
        <v>29</v>
      </c>
      <c r="P1484" s="29"/>
      <c r="Q1484" s="6"/>
      <c r="R1484" s="29"/>
      <c r="S1484" s="10"/>
      <c r="T1484" s="8"/>
    </row>
    <row r="1485" spans="1:20" ht="15.75" customHeight="1" x14ac:dyDescent="0.35">
      <c r="A1485" s="9" t="s">
        <v>1914</v>
      </c>
      <c r="B1485" s="25" t="s">
        <v>1964</v>
      </c>
      <c r="C1485" s="31">
        <v>129096</v>
      </c>
      <c r="D1485" s="32" t="s">
        <v>1994</v>
      </c>
      <c r="E1485" s="32" t="s">
        <v>759</v>
      </c>
      <c r="F1485" s="29">
        <v>1</v>
      </c>
      <c r="G1485" s="33"/>
      <c r="H1485" s="8">
        <v>1</v>
      </c>
      <c r="I1485" s="8">
        <v>16</v>
      </c>
      <c r="J1485" s="29"/>
      <c r="K1485" s="10"/>
      <c r="L1485" s="10"/>
      <c r="M1485" s="11"/>
      <c r="N1485" s="34">
        <v>842005.11</v>
      </c>
      <c r="O1485" s="26" t="s">
        <v>29</v>
      </c>
      <c r="P1485" s="29" t="s">
        <v>163</v>
      </c>
      <c r="Q1485" s="6"/>
      <c r="R1485" s="29"/>
      <c r="S1485" s="10"/>
      <c r="T1485" s="8">
        <v>1</v>
      </c>
    </row>
    <row r="1486" spans="1:20" ht="15.75" customHeight="1" x14ac:dyDescent="0.35">
      <c r="A1486" s="25" t="s">
        <v>1914</v>
      </c>
      <c r="B1486" s="25" t="s">
        <v>1964</v>
      </c>
      <c r="C1486" s="26">
        <v>129113</v>
      </c>
      <c r="D1486" s="25" t="s">
        <v>1995</v>
      </c>
      <c r="E1486" s="25" t="s">
        <v>695</v>
      </c>
      <c r="F1486" s="26" t="s">
        <v>90</v>
      </c>
      <c r="G1486" s="26" t="s">
        <v>90</v>
      </c>
      <c r="H1486" s="26"/>
      <c r="I1486" s="26"/>
      <c r="J1486" s="26">
        <v>1</v>
      </c>
      <c r="K1486" s="26">
        <v>138</v>
      </c>
      <c r="L1486" s="26" t="s">
        <v>28</v>
      </c>
      <c r="M1486" s="27">
        <v>2074</v>
      </c>
      <c r="N1486" s="28"/>
      <c r="O1486" s="26" t="s">
        <v>29</v>
      </c>
      <c r="P1486" s="29"/>
      <c r="Q1486" s="6"/>
      <c r="R1486" s="29"/>
      <c r="S1486" s="10"/>
      <c r="T1486" s="8"/>
    </row>
    <row r="1487" spans="1:20" ht="15.75" customHeight="1" x14ac:dyDescent="0.35">
      <c r="A1487" s="25" t="s">
        <v>1914</v>
      </c>
      <c r="B1487" s="25" t="s">
        <v>1964</v>
      </c>
      <c r="C1487" s="26">
        <v>129116</v>
      </c>
      <c r="D1487" s="25" t="s">
        <v>1996</v>
      </c>
      <c r="E1487" s="25" t="s">
        <v>695</v>
      </c>
      <c r="F1487" s="26" t="s">
        <v>90</v>
      </c>
      <c r="G1487" s="26" t="s">
        <v>90</v>
      </c>
      <c r="H1487" s="26"/>
      <c r="I1487" s="26"/>
      <c r="J1487" s="26">
        <v>1</v>
      </c>
      <c r="K1487" s="26">
        <v>138</v>
      </c>
      <c r="L1487" s="26" t="s">
        <v>28</v>
      </c>
      <c r="M1487" s="27">
        <v>2078</v>
      </c>
      <c r="N1487" s="28"/>
      <c r="O1487" s="26" t="s">
        <v>29</v>
      </c>
      <c r="P1487" s="29"/>
      <c r="Q1487" s="6"/>
      <c r="R1487" s="29"/>
      <c r="S1487" s="10"/>
      <c r="T1487" s="8"/>
    </row>
    <row r="1488" spans="1:20" ht="15.75" customHeight="1" x14ac:dyDescent="0.35">
      <c r="A1488" s="25" t="s">
        <v>1914</v>
      </c>
      <c r="B1488" s="25" t="s">
        <v>1964</v>
      </c>
      <c r="C1488" s="26">
        <v>205003</v>
      </c>
      <c r="D1488" s="25" t="s">
        <v>1105</v>
      </c>
      <c r="E1488" s="25" t="s">
        <v>1973</v>
      </c>
      <c r="F1488" s="26" t="s">
        <v>90</v>
      </c>
      <c r="G1488" s="26" t="s">
        <v>90</v>
      </c>
      <c r="H1488" s="26"/>
      <c r="I1488" s="26"/>
      <c r="J1488" s="26">
        <v>1</v>
      </c>
      <c r="K1488" s="26">
        <v>138</v>
      </c>
      <c r="L1488" s="26" t="s">
        <v>28</v>
      </c>
      <c r="M1488" s="27">
        <v>2063</v>
      </c>
      <c r="N1488" s="28"/>
      <c r="O1488" s="26" t="s">
        <v>29</v>
      </c>
      <c r="P1488" s="29"/>
      <c r="Q1488" s="6"/>
      <c r="R1488" s="29"/>
      <c r="S1488" s="10"/>
      <c r="T1488" s="8"/>
    </row>
    <row r="1489" spans="1:20" ht="15.75" customHeight="1" x14ac:dyDescent="0.35">
      <c r="A1489" s="25" t="s">
        <v>1914</v>
      </c>
      <c r="B1489" s="25" t="s">
        <v>1964</v>
      </c>
      <c r="C1489" s="26">
        <v>205021</v>
      </c>
      <c r="D1489" s="25" t="s">
        <v>1997</v>
      </c>
      <c r="E1489" s="25" t="s">
        <v>1976</v>
      </c>
      <c r="F1489" s="26" t="s">
        <v>90</v>
      </c>
      <c r="G1489" s="26" t="s">
        <v>90</v>
      </c>
      <c r="H1489" s="26"/>
      <c r="I1489" s="26"/>
      <c r="J1489" s="26">
        <v>1</v>
      </c>
      <c r="K1489" s="26">
        <v>138</v>
      </c>
      <c r="L1489" s="26" t="s">
        <v>28</v>
      </c>
      <c r="M1489" s="27">
        <v>2082</v>
      </c>
      <c r="N1489" s="28"/>
      <c r="O1489" s="26" t="s">
        <v>29</v>
      </c>
      <c r="P1489" s="29"/>
      <c r="Q1489" s="6"/>
      <c r="R1489" s="29"/>
      <c r="S1489" s="10"/>
      <c r="T1489" s="8"/>
    </row>
    <row r="1490" spans="1:20" ht="15.75" customHeight="1" x14ac:dyDescent="0.35">
      <c r="A1490" s="25" t="s">
        <v>1914</v>
      </c>
      <c r="B1490" s="25" t="s">
        <v>1964</v>
      </c>
      <c r="C1490" s="26">
        <v>205025</v>
      </c>
      <c r="D1490" s="25" t="s">
        <v>1998</v>
      </c>
      <c r="E1490" s="25" t="s">
        <v>1976</v>
      </c>
      <c r="F1490" s="26" t="s">
        <v>90</v>
      </c>
      <c r="G1490" s="26" t="s">
        <v>90</v>
      </c>
      <c r="H1490" s="26"/>
      <c r="I1490" s="26"/>
      <c r="J1490" s="26">
        <v>1</v>
      </c>
      <c r="K1490" s="26">
        <v>138</v>
      </c>
      <c r="L1490" s="26" t="s">
        <v>28</v>
      </c>
      <c r="M1490" s="27">
        <v>2073</v>
      </c>
      <c r="N1490" s="28"/>
      <c r="O1490" s="26" t="s">
        <v>29</v>
      </c>
      <c r="P1490" s="29"/>
      <c r="Q1490" s="6"/>
      <c r="R1490" s="29"/>
      <c r="S1490" s="10"/>
      <c r="T1490" s="8"/>
    </row>
    <row r="1491" spans="1:20" ht="15.75" customHeight="1" x14ac:dyDescent="0.35">
      <c r="A1491" s="25" t="s">
        <v>1914</v>
      </c>
      <c r="B1491" s="25" t="s">
        <v>1964</v>
      </c>
      <c r="C1491" s="26">
        <v>205026</v>
      </c>
      <c r="D1491" s="25" t="s">
        <v>1999</v>
      </c>
      <c r="E1491" s="25" t="s">
        <v>1976</v>
      </c>
      <c r="F1491" s="26" t="s">
        <v>90</v>
      </c>
      <c r="G1491" s="26" t="s">
        <v>90</v>
      </c>
      <c r="H1491" s="26"/>
      <c r="I1491" s="26"/>
      <c r="J1491" s="26">
        <v>1</v>
      </c>
      <c r="K1491" s="26">
        <v>138</v>
      </c>
      <c r="L1491" s="26" t="s">
        <v>28</v>
      </c>
      <c r="M1491" s="27">
        <v>2075</v>
      </c>
      <c r="N1491" s="28"/>
      <c r="O1491" s="26" t="s">
        <v>29</v>
      </c>
      <c r="P1491" s="29"/>
      <c r="Q1491" s="6"/>
      <c r="R1491" s="29"/>
      <c r="S1491" s="10"/>
      <c r="T1491" s="8"/>
    </row>
    <row r="1492" spans="1:20" ht="15.75" customHeight="1" x14ac:dyDescent="0.35">
      <c r="A1492" s="25" t="s">
        <v>1914</v>
      </c>
      <c r="B1492" s="25" t="s">
        <v>1964</v>
      </c>
      <c r="C1492" s="26">
        <v>205029</v>
      </c>
      <c r="D1492" s="25" t="s">
        <v>2000</v>
      </c>
      <c r="E1492" s="25" t="s">
        <v>1976</v>
      </c>
      <c r="F1492" s="26" t="s">
        <v>90</v>
      </c>
      <c r="G1492" s="26" t="s">
        <v>90</v>
      </c>
      <c r="H1492" s="26"/>
      <c r="I1492" s="26"/>
      <c r="J1492" s="26">
        <v>1</v>
      </c>
      <c r="K1492" s="26">
        <v>138</v>
      </c>
      <c r="L1492" s="26" t="s">
        <v>28</v>
      </c>
      <c r="M1492" s="27">
        <v>2091</v>
      </c>
      <c r="N1492" s="28"/>
      <c r="O1492" s="26" t="s">
        <v>29</v>
      </c>
      <c r="P1492" s="29"/>
      <c r="Q1492" s="6"/>
      <c r="R1492" s="29"/>
      <c r="S1492" s="10"/>
      <c r="T1492" s="8"/>
    </row>
    <row r="1493" spans="1:20" ht="15.75" customHeight="1" x14ac:dyDescent="0.35">
      <c r="A1493" s="25" t="s">
        <v>1914</v>
      </c>
      <c r="B1493" s="25" t="s">
        <v>1964</v>
      </c>
      <c r="C1493" s="26">
        <v>205032</v>
      </c>
      <c r="D1493" s="25" t="s">
        <v>2001</v>
      </c>
      <c r="E1493" s="25" t="s">
        <v>1976</v>
      </c>
      <c r="F1493" s="26" t="s">
        <v>90</v>
      </c>
      <c r="G1493" s="26" t="s">
        <v>90</v>
      </c>
      <c r="H1493" s="26"/>
      <c r="I1493" s="26"/>
      <c r="J1493" s="26">
        <v>1</v>
      </c>
      <c r="K1493" s="26">
        <v>138</v>
      </c>
      <c r="L1493" s="26" t="s">
        <v>28</v>
      </c>
      <c r="M1493" s="27">
        <v>2096</v>
      </c>
      <c r="N1493" s="28"/>
      <c r="O1493" s="26" t="s">
        <v>29</v>
      </c>
      <c r="P1493" s="29"/>
      <c r="Q1493" s="6"/>
      <c r="R1493" s="29"/>
      <c r="S1493" s="10"/>
      <c r="T1493" s="8"/>
    </row>
    <row r="1494" spans="1:20" ht="15.75" customHeight="1" x14ac:dyDescent="0.35">
      <c r="A1494" s="25" t="s">
        <v>1914</v>
      </c>
      <c r="B1494" s="25" t="s">
        <v>1964</v>
      </c>
      <c r="C1494" s="26">
        <v>205033</v>
      </c>
      <c r="D1494" s="25" t="s">
        <v>2002</v>
      </c>
      <c r="E1494" s="25" t="s">
        <v>1976</v>
      </c>
      <c r="F1494" s="26" t="s">
        <v>90</v>
      </c>
      <c r="G1494" s="26" t="s">
        <v>90</v>
      </c>
      <c r="H1494" s="26"/>
      <c r="I1494" s="26"/>
      <c r="J1494" s="26">
        <v>1</v>
      </c>
      <c r="K1494" s="26">
        <v>138</v>
      </c>
      <c r="L1494" s="26" t="s">
        <v>28</v>
      </c>
      <c r="M1494" s="27">
        <v>2065</v>
      </c>
      <c r="N1494" s="28"/>
      <c r="O1494" s="26" t="s">
        <v>29</v>
      </c>
      <c r="P1494" s="29"/>
      <c r="Q1494" s="6"/>
      <c r="R1494" s="29"/>
      <c r="S1494" s="10"/>
      <c r="T1494" s="8"/>
    </row>
    <row r="1495" spans="1:20" ht="15.75" customHeight="1" x14ac:dyDescent="0.35">
      <c r="A1495" s="25" t="s">
        <v>1914</v>
      </c>
      <c r="B1495" s="25" t="s">
        <v>1964</v>
      </c>
      <c r="C1495" s="26">
        <v>205035</v>
      </c>
      <c r="D1495" s="25" t="s">
        <v>2003</v>
      </c>
      <c r="E1495" s="25" t="s">
        <v>1976</v>
      </c>
      <c r="F1495" s="26" t="s">
        <v>90</v>
      </c>
      <c r="G1495" s="26" t="s">
        <v>90</v>
      </c>
      <c r="H1495" s="26"/>
      <c r="I1495" s="26"/>
      <c r="J1495" s="26">
        <v>1</v>
      </c>
      <c r="K1495" s="26">
        <v>138</v>
      </c>
      <c r="L1495" s="26" t="s">
        <v>28</v>
      </c>
      <c r="M1495" s="27">
        <v>2095</v>
      </c>
      <c r="N1495" s="28"/>
      <c r="O1495" s="26" t="s">
        <v>29</v>
      </c>
      <c r="P1495" s="29"/>
      <c r="Q1495" s="6"/>
      <c r="R1495" s="29"/>
      <c r="S1495" s="10"/>
      <c r="T1495" s="8"/>
    </row>
    <row r="1496" spans="1:20" ht="15.75" customHeight="1" x14ac:dyDescent="0.35">
      <c r="A1496" s="25" t="s">
        <v>1914</v>
      </c>
      <c r="B1496" s="25" t="s">
        <v>1964</v>
      </c>
      <c r="C1496" s="26">
        <v>205036</v>
      </c>
      <c r="D1496" s="25" t="s">
        <v>2004</v>
      </c>
      <c r="E1496" s="25" t="s">
        <v>1976</v>
      </c>
      <c r="F1496" s="26" t="s">
        <v>90</v>
      </c>
      <c r="G1496" s="26" t="s">
        <v>90</v>
      </c>
      <c r="H1496" s="26"/>
      <c r="I1496" s="26"/>
      <c r="J1496" s="26">
        <v>1</v>
      </c>
      <c r="K1496" s="26">
        <v>138</v>
      </c>
      <c r="L1496" s="26" t="s">
        <v>28</v>
      </c>
      <c r="M1496" s="27">
        <v>2097</v>
      </c>
      <c r="N1496" s="28"/>
      <c r="O1496" s="26" t="s">
        <v>29</v>
      </c>
      <c r="P1496" s="29"/>
      <c r="Q1496" s="6"/>
      <c r="R1496" s="29"/>
      <c r="S1496" s="10"/>
      <c r="T1496" s="8"/>
    </row>
    <row r="1497" spans="1:20" ht="15.75" customHeight="1" x14ac:dyDescent="0.35">
      <c r="A1497" s="25" t="s">
        <v>1914</v>
      </c>
      <c r="B1497" s="25" t="s">
        <v>1964</v>
      </c>
      <c r="C1497" s="26">
        <v>205037</v>
      </c>
      <c r="D1497" s="25" t="s">
        <v>2005</v>
      </c>
      <c r="E1497" s="25" t="s">
        <v>1976</v>
      </c>
      <c r="F1497" s="26" t="s">
        <v>90</v>
      </c>
      <c r="G1497" s="26" t="s">
        <v>90</v>
      </c>
      <c r="H1497" s="26"/>
      <c r="I1497" s="26"/>
      <c r="J1497" s="26">
        <v>1</v>
      </c>
      <c r="K1497" s="26">
        <v>138</v>
      </c>
      <c r="L1497" s="26" t="s">
        <v>28</v>
      </c>
      <c r="M1497" s="27">
        <v>2092</v>
      </c>
      <c r="N1497" s="28"/>
      <c r="O1497" s="26" t="s">
        <v>29</v>
      </c>
      <c r="P1497" s="29"/>
      <c r="Q1497" s="6"/>
      <c r="R1497" s="29"/>
      <c r="S1497" s="10"/>
      <c r="T1497" s="8"/>
    </row>
    <row r="1498" spans="1:20" ht="15.75" customHeight="1" x14ac:dyDescent="0.35">
      <c r="A1498" s="25" t="s">
        <v>1914</v>
      </c>
      <c r="B1498" s="25" t="s">
        <v>1964</v>
      </c>
      <c r="C1498" s="26">
        <v>205038</v>
      </c>
      <c r="D1498" s="25" t="s">
        <v>2006</v>
      </c>
      <c r="E1498" s="25" t="s">
        <v>1976</v>
      </c>
      <c r="F1498" s="26" t="s">
        <v>90</v>
      </c>
      <c r="G1498" s="26" t="s">
        <v>90</v>
      </c>
      <c r="H1498" s="26"/>
      <c r="I1498" s="26"/>
      <c r="J1498" s="26">
        <v>1</v>
      </c>
      <c r="K1498" s="26">
        <v>138</v>
      </c>
      <c r="L1498" s="26" t="s">
        <v>28</v>
      </c>
      <c r="M1498" s="27">
        <v>2098</v>
      </c>
      <c r="N1498" s="28"/>
      <c r="O1498" s="26" t="s">
        <v>29</v>
      </c>
      <c r="P1498" s="29"/>
      <c r="Q1498" s="6"/>
      <c r="R1498" s="29"/>
      <c r="S1498" s="10"/>
      <c r="T1498" s="8"/>
    </row>
    <row r="1499" spans="1:20" ht="15.75" customHeight="1" x14ac:dyDescent="0.35">
      <c r="A1499" s="25" t="s">
        <v>1914</v>
      </c>
      <c r="B1499" s="25" t="s">
        <v>1964</v>
      </c>
      <c r="C1499" s="26">
        <v>205040</v>
      </c>
      <c r="D1499" s="25" t="s">
        <v>2007</v>
      </c>
      <c r="E1499" s="25" t="s">
        <v>1976</v>
      </c>
      <c r="F1499" s="26" t="s">
        <v>90</v>
      </c>
      <c r="G1499" s="26" t="s">
        <v>90</v>
      </c>
      <c r="H1499" s="26"/>
      <c r="I1499" s="26"/>
      <c r="J1499" s="26">
        <v>1</v>
      </c>
      <c r="K1499" s="26">
        <v>138</v>
      </c>
      <c r="L1499" s="26" t="s">
        <v>28</v>
      </c>
      <c r="M1499" s="27">
        <v>2094</v>
      </c>
      <c r="N1499" s="28"/>
      <c r="O1499" s="26" t="s">
        <v>29</v>
      </c>
      <c r="P1499" s="29"/>
      <c r="Q1499" s="6"/>
      <c r="R1499" s="29"/>
      <c r="S1499" s="10"/>
      <c r="T1499" s="8"/>
    </row>
    <row r="1500" spans="1:20" ht="15.75" customHeight="1" x14ac:dyDescent="0.35">
      <c r="A1500" s="25" t="s">
        <v>1914</v>
      </c>
      <c r="B1500" s="25" t="s">
        <v>1964</v>
      </c>
      <c r="C1500" s="26">
        <v>205041</v>
      </c>
      <c r="D1500" s="25" t="s">
        <v>2008</v>
      </c>
      <c r="E1500" s="25" t="s">
        <v>1976</v>
      </c>
      <c r="F1500" s="26" t="s">
        <v>90</v>
      </c>
      <c r="G1500" s="26" t="s">
        <v>90</v>
      </c>
      <c r="H1500" s="26"/>
      <c r="I1500" s="26"/>
      <c r="J1500" s="26">
        <v>1</v>
      </c>
      <c r="K1500" s="26">
        <v>138</v>
      </c>
      <c r="L1500" s="26" t="s">
        <v>28</v>
      </c>
      <c r="M1500" s="27">
        <v>2099</v>
      </c>
      <c r="N1500" s="28"/>
      <c r="O1500" s="26" t="s">
        <v>29</v>
      </c>
      <c r="P1500" s="29"/>
      <c r="Q1500" s="6"/>
      <c r="R1500" s="29"/>
      <c r="S1500" s="10"/>
      <c r="T1500" s="8"/>
    </row>
    <row r="1501" spans="1:20" ht="15.75" customHeight="1" x14ac:dyDescent="0.35">
      <c r="A1501" s="25" t="s">
        <v>1914</v>
      </c>
      <c r="B1501" s="25" t="s">
        <v>1964</v>
      </c>
      <c r="C1501" s="26">
        <v>205042</v>
      </c>
      <c r="D1501" s="25" t="s">
        <v>2009</v>
      </c>
      <c r="E1501" s="25" t="s">
        <v>1976</v>
      </c>
      <c r="F1501" s="26" t="s">
        <v>90</v>
      </c>
      <c r="G1501" s="26" t="s">
        <v>90</v>
      </c>
      <c r="H1501" s="26"/>
      <c r="I1501" s="26"/>
      <c r="J1501" s="26">
        <v>1</v>
      </c>
      <c r="K1501" s="26">
        <v>138</v>
      </c>
      <c r="L1501" s="26" t="s">
        <v>28</v>
      </c>
      <c r="M1501" s="27">
        <v>2093</v>
      </c>
      <c r="N1501" s="28"/>
      <c r="O1501" s="26" t="s">
        <v>29</v>
      </c>
      <c r="P1501" s="29"/>
      <c r="Q1501" s="6"/>
      <c r="R1501" s="29"/>
      <c r="S1501" s="10"/>
      <c r="T1501" s="8"/>
    </row>
    <row r="1502" spans="1:20" ht="15.75" customHeight="1" x14ac:dyDescent="0.35">
      <c r="A1502" s="25" t="s">
        <v>1914</v>
      </c>
      <c r="B1502" s="25" t="s">
        <v>1964</v>
      </c>
      <c r="C1502" s="26">
        <v>205045</v>
      </c>
      <c r="D1502" s="25" t="s">
        <v>2010</v>
      </c>
      <c r="E1502" s="25" t="s">
        <v>1966</v>
      </c>
      <c r="F1502" s="26" t="s">
        <v>90</v>
      </c>
      <c r="G1502" s="26" t="s">
        <v>90</v>
      </c>
      <c r="H1502" s="26"/>
      <c r="I1502" s="26"/>
      <c r="J1502" s="26">
        <v>1</v>
      </c>
      <c r="K1502" s="26">
        <v>138</v>
      </c>
      <c r="L1502" s="26" t="s">
        <v>28</v>
      </c>
      <c r="M1502" s="27">
        <v>2072</v>
      </c>
      <c r="N1502" s="28"/>
      <c r="O1502" s="26" t="s">
        <v>29</v>
      </c>
      <c r="P1502" s="29"/>
      <c r="Q1502" s="6"/>
      <c r="R1502" s="29"/>
      <c r="S1502" s="10"/>
      <c r="T1502" s="8"/>
    </row>
    <row r="1503" spans="1:20" ht="15.75" customHeight="1" x14ac:dyDescent="0.35">
      <c r="A1503" s="25" t="s">
        <v>1914</v>
      </c>
      <c r="B1503" s="25" t="s">
        <v>1964</v>
      </c>
      <c r="C1503" s="26">
        <v>205055</v>
      </c>
      <c r="D1503" s="25" t="s">
        <v>2011</v>
      </c>
      <c r="E1503" s="25" t="s">
        <v>1976</v>
      </c>
      <c r="F1503" s="26" t="s">
        <v>90</v>
      </c>
      <c r="G1503" s="26" t="s">
        <v>90</v>
      </c>
      <c r="H1503" s="26"/>
      <c r="I1503" s="26"/>
      <c r="J1503" s="26">
        <v>1</v>
      </c>
      <c r="K1503" s="26">
        <v>138</v>
      </c>
      <c r="L1503" s="26" t="s">
        <v>28</v>
      </c>
      <c r="M1503" s="27">
        <v>2069</v>
      </c>
      <c r="N1503" s="28"/>
      <c r="O1503" s="26" t="s">
        <v>29</v>
      </c>
      <c r="P1503" s="29"/>
      <c r="Q1503" s="6"/>
      <c r="R1503" s="29"/>
      <c r="S1503" s="10"/>
      <c r="T1503" s="8"/>
    </row>
    <row r="1504" spans="1:20" ht="15.75" customHeight="1" x14ac:dyDescent="0.35">
      <c r="A1504" s="25" t="s">
        <v>1914</v>
      </c>
      <c r="B1504" s="25" t="s">
        <v>1964</v>
      </c>
      <c r="C1504" s="26">
        <v>205056</v>
      </c>
      <c r="D1504" s="25" t="s">
        <v>2012</v>
      </c>
      <c r="E1504" s="25" t="s">
        <v>1976</v>
      </c>
      <c r="F1504" s="26" t="s">
        <v>90</v>
      </c>
      <c r="G1504" s="26" t="s">
        <v>90</v>
      </c>
      <c r="H1504" s="26">
        <v>1</v>
      </c>
      <c r="I1504" s="26">
        <v>2</v>
      </c>
      <c r="J1504" s="26">
        <v>1</v>
      </c>
      <c r="K1504" s="26">
        <v>138</v>
      </c>
      <c r="L1504" s="26" t="s">
        <v>28</v>
      </c>
      <c r="M1504" s="27">
        <v>2083</v>
      </c>
      <c r="N1504" s="28">
        <v>821644.79</v>
      </c>
      <c r="O1504" s="26" t="s">
        <v>29</v>
      </c>
      <c r="P1504" s="29"/>
      <c r="Q1504" s="6"/>
      <c r="R1504" s="29"/>
      <c r="S1504" s="10"/>
      <c r="T1504" s="8">
        <v>1</v>
      </c>
    </row>
    <row r="1505" spans="1:20" ht="15.75" customHeight="1" x14ac:dyDescent="0.35">
      <c r="A1505" s="25" t="s">
        <v>1914</v>
      </c>
      <c r="B1505" s="25" t="s">
        <v>2013</v>
      </c>
      <c r="C1505" s="26">
        <v>129159</v>
      </c>
      <c r="D1505" s="25" t="s">
        <v>2014</v>
      </c>
      <c r="E1505" s="25" t="s">
        <v>2015</v>
      </c>
      <c r="F1505" s="26" t="s">
        <v>215</v>
      </c>
      <c r="G1505" s="26" t="s">
        <v>215</v>
      </c>
      <c r="H1505" s="26"/>
      <c r="I1505" s="26"/>
      <c r="J1505" s="26">
        <v>1</v>
      </c>
      <c r="K1505" s="26">
        <v>138</v>
      </c>
      <c r="L1505" s="26" t="s">
        <v>28</v>
      </c>
      <c r="M1505" s="27">
        <v>2140</v>
      </c>
      <c r="N1505" s="28"/>
      <c r="O1505" s="26" t="s">
        <v>29</v>
      </c>
      <c r="P1505" s="29"/>
      <c r="Q1505" s="6"/>
      <c r="R1505" s="29"/>
      <c r="S1505" s="10"/>
      <c r="T1505" s="8"/>
    </row>
    <row r="1506" spans="1:20" ht="15.75" customHeight="1" x14ac:dyDescent="0.35">
      <c r="A1506" s="25" t="s">
        <v>1914</v>
      </c>
      <c r="B1506" s="25" t="s">
        <v>2013</v>
      </c>
      <c r="C1506" s="26">
        <v>129160</v>
      </c>
      <c r="D1506" s="25" t="s">
        <v>239</v>
      </c>
      <c r="E1506" s="25" t="s">
        <v>2015</v>
      </c>
      <c r="F1506" s="26" t="s">
        <v>215</v>
      </c>
      <c r="G1506" s="26" t="s">
        <v>215</v>
      </c>
      <c r="H1506" s="26"/>
      <c r="I1506" s="26"/>
      <c r="J1506" s="26">
        <v>1</v>
      </c>
      <c r="K1506" s="26">
        <v>138</v>
      </c>
      <c r="L1506" s="26" t="s">
        <v>28</v>
      </c>
      <c r="M1506" s="27">
        <v>2143</v>
      </c>
      <c r="N1506" s="28"/>
      <c r="O1506" s="26" t="s">
        <v>29</v>
      </c>
      <c r="P1506" s="29"/>
      <c r="Q1506" s="6"/>
      <c r="R1506" s="29"/>
      <c r="S1506" s="10"/>
      <c r="T1506" s="8"/>
    </row>
    <row r="1507" spans="1:20" ht="15.75" customHeight="1" x14ac:dyDescent="0.35">
      <c r="A1507" s="25" t="s">
        <v>1914</v>
      </c>
      <c r="B1507" s="25" t="s">
        <v>2013</v>
      </c>
      <c r="C1507" s="26">
        <v>129162</v>
      </c>
      <c r="D1507" s="25" t="s">
        <v>1861</v>
      </c>
      <c r="E1507" s="25" t="s">
        <v>2015</v>
      </c>
      <c r="F1507" s="26" t="s">
        <v>215</v>
      </c>
      <c r="G1507" s="26" t="s">
        <v>215</v>
      </c>
      <c r="H1507" s="26"/>
      <c r="I1507" s="26"/>
      <c r="J1507" s="26">
        <v>1</v>
      </c>
      <c r="K1507" s="26">
        <v>138</v>
      </c>
      <c r="L1507" s="26" t="s">
        <v>28</v>
      </c>
      <c r="M1507" s="27">
        <v>2148</v>
      </c>
      <c r="N1507" s="28"/>
      <c r="O1507" s="26" t="s">
        <v>29</v>
      </c>
      <c r="P1507" s="29"/>
      <c r="Q1507" s="6"/>
      <c r="R1507" s="29"/>
      <c r="S1507" s="10"/>
      <c r="T1507" s="8"/>
    </row>
    <row r="1508" spans="1:20" ht="15.75" customHeight="1" x14ac:dyDescent="0.35">
      <c r="A1508" s="25" t="s">
        <v>1914</v>
      </c>
      <c r="B1508" s="25" t="s">
        <v>2013</v>
      </c>
      <c r="C1508" s="26">
        <v>129163</v>
      </c>
      <c r="D1508" s="25" t="s">
        <v>2016</v>
      </c>
      <c r="E1508" s="25" t="s">
        <v>2015</v>
      </c>
      <c r="F1508" s="26" t="s">
        <v>215</v>
      </c>
      <c r="G1508" s="26" t="s">
        <v>215</v>
      </c>
      <c r="H1508" s="26"/>
      <c r="I1508" s="26"/>
      <c r="J1508" s="26">
        <v>1</v>
      </c>
      <c r="K1508" s="26">
        <v>138</v>
      </c>
      <c r="L1508" s="26" t="s">
        <v>28</v>
      </c>
      <c r="M1508" s="27">
        <v>2149</v>
      </c>
      <c r="N1508" s="28"/>
      <c r="O1508" s="26" t="s">
        <v>29</v>
      </c>
      <c r="P1508" s="29"/>
      <c r="Q1508" s="6"/>
      <c r="R1508" s="29"/>
      <c r="S1508" s="10"/>
      <c r="T1508" s="8"/>
    </row>
    <row r="1509" spans="1:20" ht="15.75" customHeight="1" x14ac:dyDescent="0.35">
      <c r="A1509" s="25" t="s">
        <v>1914</v>
      </c>
      <c r="B1509" s="25" t="s">
        <v>2013</v>
      </c>
      <c r="C1509" s="26">
        <v>129167</v>
      </c>
      <c r="D1509" s="25" t="s">
        <v>2017</v>
      </c>
      <c r="E1509" s="25" t="s">
        <v>2015</v>
      </c>
      <c r="F1509" s="26" t="s">
        <v>215</v>
      </c>
      <c r="G1509" s="26" t="s">
        <v>215</v>
      </c>
      <c r="H1509" s="26"/>
      <c r="I1509" s="26"/>
      <c r="J1509" s="26">
        <v>1</v>
      </c>
      <c r="K1509" s="26">
        <v>138</v>
      </c>
      <c r="L1509" s="26" t="s">
        <v>28</v>
      </c>
      <c r="M1509" s="27">
        <v>2110</v>
      </c>
      <c r="N1509" s="28"/>
      <c r="O1509" s="26" t="s">
        <v>29</v>
      </c>
      <c r="P1509" s="29"/>
      <c r="Q1509" s="6"/>
      <c r="R1509" s="29"/>
      <c r="S1509" s="10"/>
      <c r="T1509" s="8"/>
    </row>
    <row r="1510" spans="1:20" ht="15.75" customHeight="1" x14ac:dyDescent="0.35">
      <c r="A1510" s="25" t="s">
        <v>1914</v>
      </c>
      <c r="B1510" s="25" t="s">
        <v>2013</v>
      </c>
      <c r="C1510" s="26">
        <v>129170</v>
      </c>
      <c r="D1510" s="25" t="s">
        <v>2018</v>
      </c>
      <c r="E1510" s="25" t="s">
        <v>2015</v>
      </c>
      <c r="F1510" s="26" t="s">
        <v>215</v>
      </c>
      <c r="G1510" s="26" t="s">
        <v>215</v>
      </c>
      <c r="H1510" s="26"/>
      <c r="I1510" s="26"/>
      <c r="J1510" s="26">
        <v>1</v>
      </c>
      <c r="K1510" s="26">
        <v>138</v>
      </c>
      <c r="L1510" s="26" t="s">
        <v>28</v>
      </c>
      <c r="M1510" s="27">
        <v>2122</v>
      </c>
      <c r="N1510" s="28"/>
      <c r="O1510" s="26" t="s">
        <v>29</v>
      </c>
      <c r="P1510" s="29"/>
      <c r="Q1510" s="6"/>
      <c r="R1510" s="29"/>
      <c r="S1510" s="10"/>
      <c r="T1510" s="8"/>
    </row>
    <row r="1511" spans="1:20" ht="15.75" customHeight="1" x14ac:dyDescent="0.35">
      <c r="A1511" s="25" t="s">
        <v>1914</v>
      </c>
      <c r="B1511" s="25" t="s">
        <v>2013</v>
      </c>
      <c r="C1511" s="26">
        <v>129176</v>
      </c>
      <c r="D1511" s="25" t="s">
        <v>2019</v>
      </c>
      <c r="E1511" s="25" t="s">
        <v>2015</v>
      </c>
      <c r="F1511" s="26" t="s">
        <v>215</v>
      </c>
      <c r="G1511" s="26" t="s">
        <v>215</v>
      </c>
      <c r="H1511" s="26"/>
      <c r="I1511" s="26"/>
      <c r="J1511" s="26">
        <v>1</v>
      </c>
      <c r="K1511" s="26">
        <v>138</v>
      </c>
      <c r="L1511" s="26" t="s">
        <v>28</v>
      </c>
      <c r="M1511" s="27">
        <v>2151</v>
      </c>
      <c r="N1511" s="28"/>
      <c r="O1511" s="26" t="s">
        <v>29</v>
      </c>
      <c r="P1511" s="29"/>
      <c r="Q1511" s="6"/>
      <c r="R1511" s="29"/>
      <c r="S1511" s="10"/>
      <c r="T1511" s="8"/>
    </row>
    <row r="1512" spans="1:20" ht="15.75" customHeight="1" x14ac:dyDescent="0.35">
      <c r="A1512" s="25" t="s">
        <v>1914</v>
      </c>
      <c r="B1512" s="25" t="s">
        <v>2013</v>
      </c>
      <c r="C1512" s="26">
        <v>129194</v>
      </c>
      <c r="D1512" s="25" t="s">
        <v>2020</v>
      </c>
      <c r="E1512" s="25" t="s">
        <v>2021</v>
      </c>
      <c r="F1512" s="26" t="s">
        <v>215</v>
      </c>
      <c r="G1512" s="26" t="s">
        <v>215</v>
      </c>
      <c r="H1512" s="26"/>
      <c r="I1512" s="26"/>
      <c r="J1512" s="26">
        <v>1</v>
      </c>
      <c r="K1512" s="26">
        <v>138</v>
      </c>
      <c r="L1512" s="26" t="s">
        <v>28</v>
      </c>
      <c r="M1512" s="27">
        <v>2106</v>
      </c>
      <c r="N1512" s="28"/>
      <c r="O1512" s="26" t="s">
        <v>29</v>
      </c>
      <c r="P1512" s="29"/>
      <c r="Q1512" s="6"/>
      <c r="R1512" s="29"/>
      <c r="S1512" s="10"/>
      <c r="T1512" s="8"/>
    </row>
    <row r="1513" spans="1:20" ht="15.75" customHeight="1" x14ac:dyDescent="0.35">
      <c r="A1513" s="25" t="s">
        <v>1914</v>
      </c>
      <c r="B1513" s="25" t="s">
        <v>2013</v>
      </c>
      <c r="C1513" s="26">
        <v>129196</v>
      </c>
      <c r="D1513" s="25" t="s">
        <v>2022</v>
      </c>
      <c r="E1513" s="25" t="s">
        <v>2021</v>
      </c>
      <c r="F1513" s="26" t="s">
        <v>215</v>
      </c>
      <c r="G1513" s="26" t="s">
        <v>215</v>
      </c>
      <c r="H1513" s="26"/>
      <c r="I1513" s="26"/>
      <c r="J1513" s="26">
        <v>1</v>
      </c>
      <c r="K1513" s="26">
        <v>138</v>
      </c>
      <c r="L1513" s="26" t="s">
        <v>28</v>
      </c>
      <c r="M1513" s="27">
        <v>2114</v>
      </c>
      <c r="N1513" s="28"/>
      <c r="O1513" s="26" t="s">
        <v>29</v>
      </c>
      <c r="P1513" s="29"/>
      <c r="Q1513" s="6"/>
      <c r="R1513" s="29"/>
      <c r="S1513" s="10"/>
      <c r="T1513" s="8"/>
    </row>
    <row r="1514" spans="1:20" ht="15.75" customHeight="1" x14ac:dyDescent="0.35">
      <c r="A1514" s="25" t="s">
        <v>1914</v>
      </c>
      <c r="B1514" s="25" t="s">
        <v>2013</v>
      </c>
      <c r="C1514" s="26">
        <v>129198</v>
      </c>
      <c r="D1514" s="25" t="s">
        <v>2023</v>
      </c>
      <c r="E1514" s="25" t="s">
        <v>2021</v>
      </c>
      <c r="F1514" s="26" t="s">
        <v>215</v>
      </c>
      <c r="G1514" s="26" t="s">
        <v>215</v>
      </c>
      <c r="H1514" s="26"/>
      <c r="I1514" s="26"/>
      <c r="J1514" s="26">
        <v>1</v>
      </c>
      <c r="K1514" s="26">
        <v>138</v>
      </c>
      <c r="L1514" s="26" t="s">
        <v>28</v>
      </c>
      <c r="M1514" s="27">
        <v>2115</v>
      </c>
      <c r="N1514" s="28"/>
      <c r="O1514" s="26" t="s">
        <v>29</v>
      </c>
      <c r="P1514" s="29"/>
      <c r="Q1514" s="6"/>
      <c r="R1514" s="29"/>
      <c r="S1514" s="10"/>
      <c r="T1514" s="8"/>
    </row>
    <row r="1515" spans="1:20" ht="15.75" customHeight="1" x14ac:dyDescent="0.35">
      <c r="A1515" s="25" t="s">
        <v>1914</v>
      </c>
      <c r="B1515" s="25" t="s">
        <v>2013</v>
      </c>
      <c r="C1515" s="26">
        <v>129199</v>
      </c>
      <c r="D1515" s="25" t="s">
        <v>2024</v>
      </c>
      <c r="E1515" s="25" t="s">
        <v>2021</v>
      </c>
      <c r="F1515" s="26" t="s">
        <v>215</v>
      </c>
      <c r="G1515" s="26" t="s">
        <v>215</v>
      </c>
      <c r="H1515" s="26"/>
      <c r="I1515" s="26"/>
      <c r="J1515" s="26">
        <v>1</v>
      </c>
      <c r="K1515" s="26">
        <v>138</v>
      </c>
      <c r="L1515" s="26" t="s">
        <v>28</v>
      </c>
      <c r="M1515" s="27">
        <v>2119</v>
      </c>
      <c r="N1515" s="28"/>
      <c r="O1515" s="26" t="s">
        <v>29</v>
      </c>
      <c r="P1515" s="29"/>
      <c r="Q1515" s="6"/>
      <c r="R1515" s="29"/>
      <c r="S1515" s="10"/>
      <c r="T1515" s="8"/>
    </row>
    <row r="1516" spans="1:20" ht="15.75" customHeight="1" x14ac:dyDescent="0.35">
      <c r="A1516" s="25" t="s">
        <v>1914</v>
      </c>
      <c r="B1516" s="25" t="s">
        <v>2013</v>
      </c>
      <c r="C1516" s="26">
        <v>129201</v>
      </c>
      <c r="D1516" s="25" t="s">
        <v>2025</v>
      </c>
      <c r="E1516" s="25" t="s">
        <v>2021</v>
      </c>
      <c r="F1516" s="26" t="s">
        <v>215</v>
      </c>
      <c r="G1516" s="26" t="s">
        <v>215</v>
      </c>
      <c r="H1516" s="26">
        <v>1</v>
      </c>
      <c r="I1516" s="26">
        <v>6</v>
      </c>
      <c r="J1516" s="26">
        <v>1</v>
      </c>
      <c r="K1516" s="26">
        <v>138</v>
      </c>
      <c r="L1516" s="26" t="s">
        <v>28</v>
      </c>
      <c r="M1516" s="27">
        <v>2121</v>
      </c>
      <c r="N1516" s="28">
        <v>745934.81</v>
      </c>
      <c r="O1516" s="26" t="s">
        <v>29</v>
      </c>
      <c r="P1516" s="29"/>
      <c r="Q1516" s="6"/>
      <c r="R1516" s="29"/>
      <c r="S1516" s="10"/>
      <c r="T1516" s="8">
        <v>1</v>
      </c>
    </row>
    <row r="1517" spans="1:20" ht="15.75" customHeight="1" x14ac:dyDescent="0.35">
      <c r="A1517" s="25" t="s">
        <v>1914</v>
      </c>
      <c r="B1517" s="25" t="s">
        <v>2013</v>
      </c>
      <c r="C1517" s="26">
        <v>129204</v>
      </c>
      <c r="D1517" s="25" t="s">
        <v>74</v>
      </c>
      <c r="E1517" s="25" t="s">
        <v>2021</v>
      </c>
      <c r="F1517" s="26" t="s">
        <v>215</v>
      </c>
      <c r="G1517" s="26" t="s">
        <v>215</v>
      </c>
      <c r="H1517" s="26"/>
      <c r="I1517" s="26"/>
      <c r="J1517" s="26">
        <v>1</v>
      </c>
      <c r="K1517" s="26">
        <v>138</v>
      </c>
      <c r="L1517" s="26" t="s">
        <v>28</v>
      </c>
      <c r="M1517" s="27">
        <v>2144</v>
      </c>
      <c r="N1517" s="28"/>
      <c r="O1517" s="26" t="s">
        <v>29</v>
      </c>
      <c r="P1517" s="29"/>
      <c r="Q1517" s="6"/>
      <c r="R1517" s="29"/>
      <c r="S1517" s="10"/>
      <c r="T1517" s="8"/>
    </row>
    <row r="1518" spans="1:20" ht="15.75" customHeight="1" x14ac:dyDescent="0.35">
      <c r="A1518" s="25" t="s">
        <v>1914</v>
      </c>
      <c r="B1518" s="25" t="s">
        <v>2013</v>
      </c>
      <c r="C1518" s="26">
        <v>129205</v>
      </c>
      <c r="D1518" s="25" t="s">
        <v>2026</v>
      </c>
      <c r="E1518" s="25" t="s">
        <v>2021</v>
      </c>
      <c r="F1518" s="26" t="s">
        <v>215</v>
      </c>
      <c r="G1518" s="26" t="s">
        <v>215</v>
      </c>
      <c r="H1518" s="26"/>
      <c r="I1518" s="26"/>
      <c r="J1518" s="26">
        <v>1</v>
      </c>
      <c r="K1518" s="26">
        <v>138</v>
      </c>
      <c r="L1518" s="26" t="s">
        <v>28</v>
      </c>
      <c r="M1518" s="27">
        <v>2146</v>
      </c>
      <c r="N1518" s="28"/>
      <c r="O1518" s="26" t="s">
        <v>29</v>
      </c>
      <c r="P1518" s="29"/>
      <c r="Q1518" s="6"/>
      <c r="R1518" s="29"/>
      <c r="S1518" s="10"/>
      <c r="T1518" s="8"/>
    </row>
    <row r="1519" spans="1:20" ht="15.75" customHeight="1" x14ac:dyDescent="0.35">
      <c r="A1519" s="25" t="s">
        <v>1914</v>
      </c>
      <c r="B1519" s="25" t="s">
        <v>2013</v>
      </c>
      <c r="C1519" s="26">
        <v>129212</v>
      </c>
      <c r="D1519" s="25" t="s">
        <v>2027</v>
      </c>
      <c r="E1519" s="25" t="s">
        <v>205</v>
      </c>
      <c r="F1519" s="26" t="s">
        <v>215</v>
      </c>
      <c r="G1519" s="26" t="s">
        <v>215</v>
      </c>
      <c r="H1519" s="26"/>
      <c r="I1519" s="26"/>
      <c r="J1519" s="26">
        <v>1</v>
      </c>
      <c r="K1519" s="26">
        <v>138</v>
      </c>
      <c r="L1519" s="26" t="s">
        <v>28</v>
      </c>
      <c r="M1519" s="27">
        <v>2125</v>
      </c>
      <c r="N1519" s="28"/>
      <c r="O1519" s="26" t="s">
        <v>29</v>
      </c>
      <c r="P1519" s="29"/>
      <c r="Q1519" s="6"/>
      <c r="R1519" s="29"/>
      <c r="S1519" s="10"/>
      <c r="T1519" s="8"/>
    </row>
    <row r="1520" spans="1:20" ht="15.75" customHeight="1" x14ac:dyDescent="0.35">
      <c r="A1520" s="25" t="s">
        <v>1914</v>
      </c>
      <c r="B1520" s="25" t="s">
        <v>2013</v>
      </c>
      <c r="C1520" s="26">
        <v>129220</v>
      </c>
      <c r="D1520" s="25" t="s">
        <v>2028</v>
      </c>
      <c r="E1520" s="25" t="s">
        <v>205</v>
      </c>
      <c r="F1520" s="26" t="s">
        <v>215</v>
      </c>
      <c r="G1520" s="26" t="s">
        <v>215</v>
      </c>
      <c r="H1520" s="26"/>
      <c r="I1520" s="26"/>
      <c r="J1520" s="26">
        <v>1</v>
      </c>
      <c r="K1520" s="26">
        <v>138</v>
      </c>
      <c r="L1520" s="26" t="s">
        <v>28</v>
      </c>
      <c r="M1520" s="27">
        <v>2130</v>
      </c>
      <c r="N1520" s="28"/>
      <c r="O1520" s="26" t="s">
        <v>29</v>
      </c>
      <c r="P1520" s="29"/>
      <c r="Q1520" s="6"/>
      <c r="R1520" s="29"/>
      <c r="S1520" s="10"/>
      <c r="T1520" s="8"/>
    </row>
    <row r="1521" spans="1:20" ht="15.75" customHeight="1" x14ac:dyDescent="0.35">
      <c r="A1521" s="25" t="s">
        <v>1914</v>
      </c>
      <c r="B1521" s="25" t="s">
        <v>2013</v>
      </c>
      <c r="C1521" s="26">
        <v>129223</v>
      </c>
      <c r="D1521" s="25" t="s">
        <v>2029</v>
      </c>
      <c r="E1521" s="25" t="s">
        <v>205</v>
      </c>
      <c r="F1521" s="26" t="s">
        <v>215</v>
      </c>
      <c r="G1521" s="26" t="s">
        <v>215</v>
      </c>
      <c r="H1521" s="26"/>
      <c r="I1521" s="26"/>
      <c r="J1521" s="26">
        <v>1</v>
      </c>
      <c r="K1521" s="26">
        <v>138</v>
      </c>
      <c r="L1521" s="26" t="s">
        <v>28</v>
      </c>
      <c r="M1521" s="27">
        <v>2136</v>
      </c>
      <c r="N1521" s="28"/>
      <c r="O1521" s="26" t="s">
        <v>29</v>
      </c>
      <c r="P1521" s="29"/>
      <c r="Q1521" s="6"/>
      <c r="R1521" s="29"/>
      <c r="S1521" s="10"/>
      <c r="T1521" s="8"/>
    </row>
    <row r="1522" spans="1:20" ht="15.75" customHeight="1" x14ac:dyDescent="0.35">
      <c r="A1522" s="25" t="s">
        <v>1914</v>
      </c>
      <c r="B1522" s="25" t="s">
        <v>2013</v>
      </c>
      <c r="C1522" s="26">
        <v>129224</v>
      </c>
      <c r="D1522" s="25" t="s">
        <v>2030</v>
      </c>
      <c r="E1522" s="25" t="s">
        <v>205</v>
      </c>
      <c r="F1522" s="26" t="s">
        <v>215</v>
      </c>
      <c r="G1522" s="26" t="s">
        <v>215</v>
      </c>
      <c r="H1522" s="26"/>
      <c r="I1522" s="26"/>
      <c r="J1522" s="26">
        <v>1</v>
      </c>
      <c r="K1522" s="26">
        <v>138</v>
      </c>
      <c r="L1522" s="26" t="s">
        <v>28</v>
      </c>
      <c r="M1522" s="27">
        <v>2138</v>
      </c>
      <c r="N1522" s="28"/>
      <c r="O1522" s="26" t="s">
        <v>29</v>
      </c>
      <c r="P1522" s="29"/>
      <c r="Q1522" s="6"/>
      <c r="R1522" s="29"/>
      <c r="S1522" s="10"/>
      <c r="T1522" s="8"/>
    </row>
    <row r="1523" spans="1:20" ht="15.75" customHeight="1" x14ac:dyDescent="0.35">
      <c r="A1523" s="25" t="s">
        <v>1914</v>
      </c>
      <c r="B1523" s="25" t="s">
        <v>2013</v>
      </c>
      <c r="C1523" s="26">
        <v>129230</v>
      </c>
      <c r="D1523" s="25" t="s">
        <v>2031</v>
      </c>
      <c r="E1523" s="25" t="s">
        <v>205</v>
      </c>
      <c r="F1523" s="26" t="s">
        <v>215</v>
      </c>
      <c r="G1523" s="26" t="s">
        <v>215</v>
      </c>
      <c r="H1523" s="26">
        <v>1</v>
      </c>
      <c r="I1523" s="26">
        <v>2</v>
      </c>
      <c r="J1523" s="26">
        <v>1</v>
      </c>
      <c r="K1523" s="26">
        <v>138</v>
      </c>
      <c r="L1523" s="26" t="s">
        <v>28</v>
      </c>
      <c r="M1523" s="27">
        <v>2108</v>
      </c>
      <c r="N1523" s="28">
        <v>437974.54</v>
      </c>
      <c r="O1523" s="26" t="s">
        <v>29</v>
      </c>
      <c r="P1523" s="29"/>
      <c r="Q1523" s="6"/>
      <c r="R1523" s="29"/>
      <c r="S1523" s="10"/>
      <c r="T1523" s="8">
        <v>1</v>
      </c>
    </row>
    <row r="1524" spans="1:20" ht="15.75" customHeight="1" x14ac:dyDescent="0.35">
      <c r="A1524" s="25" t="s">
        <v>1914</v>
      </c>
      <c r="B1524" s="25" t="s">
        <v>2013</v>
      </c>
      <c r="C1524" s="26">
        <v>129231</v>
      </c>
      <c r="D1524" s="25" t="s">
        <v>2032</v>
      </c>
      <c r="E1524" s="25" t="s">
        <v>205</v>
      </c>
      <c r="F1524" s="26" t="s">
        <v>215</v>
      </c>
      <c r="G1524" s="26" t="s">
        <v>215</v>
      </c>
      <c r="H1524" s="26"/>
      <c r="I1524" s="26"/>
      <c r="J1524" s="26">
        <v>1</v>
      </c>
      <c r="K1524" s="26">
        <v>138</v>
      </c>
      <c r="L1524" s="26" t="s">
        <v>28</v>
      </c>
      <c r="M1524" s="27">
        <v>2109</v>
      </c>
      <c r="N1524" s="28"/>
      <c r="O1524" s="26" t="s">
        <v>29</v>
      </c>
      <c r="P1524" s="29"/>
      <c r="Q1524" s="6"/>
      <c r="R1524" s="29"/>
      <c r="S1524" s="10"/>
      <c r="T1524" s="8"/>
    </row>
    <row r="1525" spans="1:20" ht="15.75" customHeight="1" x14ac:dyDescent="0.35">
      <c r="A1525" s="25" t="s">
        <v>1914</v>
      </c>
      <c r="B1525" s="25" t="s">
        <v>2013</v>
      </c>
      <c r="C1525" s="26">
        <v>129234</v>
      </c>
      <c r="D1525" s="25" t="s">
        <v>2033</v>
      </c>
      <c r="E1525" s="25" t="s">
        <v>205</v>
      </c>
      <c r="F1525" s="26" t="s">
        <v>215</v>
      </c>
      <c r="G1525" s="26" t="s">
        <v>215</v>
      </c>
      <c r="H1525" s="26"/>
      <c r="I1525" s="26"/>
      <c r="J1525" s="26">
        <v>1</v>
      </c>
      <c r="K1525" s="26">
        <v>138</v>
      </c>
      <c r="L1525" s="26" t="s">
        <v>28</v>
      </c>
      <c r="M1525" s="27">
        <v>2118</v>
      </c>
      <c r="N1525" s="28"/>
      <c r="O1525" s="26" t="s">
        <v>29</v>
      </c>
      <c r="P1525" s="29"/>
      <c r="Q1525" s="6"/>
      <c r="R1525" s="29"/>
      <c r="S1525" s="10"/>
      <c r="T1525" s="8"/>
    </row>
    <row r="1526" spans="1:20" ht="15.75" customHeight="1" x14ac:dyDescent="0.35">
      <c r="A1526" s="25" t="s">
        <v>1914</v>
      </c>
      <c r="B1526" s="25" t="s">
        <v>2013</v>
      </c>
      <c r="C1526" s="26">
        <v>129236</v>
      </c>
      <c r="D1526" s="25" t="s">
        <v>2034</v>
      </c>
      <c r="E1526" s="25" t="s">
        <v>205</v>
      </c>
      <c r="F1526" s="26" t="s">
        <v>215</v>
      </c>
      <c r="G1526" s="26" t="s">
        <v>215</v>
      </c>
      <c r="H1526" s="26"/>
      <c r="I1526" s="26"/>
      <c r="J1526" s="26">
        <v>1</v>
      </c>
      <c r="K1526" s="26">
        <v>138</v>
      </c>
      <c r="L1526" s="26" t="s">
        <v>28</v>
      </c>
      <c r="M1526" s="27">
        <v>2124</v>
      </c>
      <c r="N1526" s="28"/>
      <c r="O1526" s="26" t="s">
        <v>29</v>
      </c>
      <c r="P1526" s="29"/>
      <c r="Q1526" s="6"/>
      <c r="R1526" s="29"/>
      <c r="S1526" s="10"/>
      <c r="T1526" s="8"/>
    </row>
    <row r="1527" spans="1:20" ht="15.75" customHeight="1" x14ac:dyDescent="0.35">
      <c r="A1527" s="25" t="s">
        <v>1914</v>
      </c>
      <c r="B1527" s="25" t="s">
        <v>2013</v>
      </c>
      <c r="C1527" s="26">
        <v>129238</v>
      </c>
      <c r="D1527" s="25" t="s">
        <v>2035</v>
      </c>
      <c r="E1527" s="25" t="s">
        <v>205</v>
      </c>
      <c r="F1527" s="26" t="s">
        <v>215</v>
      </c>
      <c r="G1527" s="26" t="s">
        <v>215</v>
      </c>
      <c r="H1527" s="26"/>
      <c r="I1527" s="26"/>
      <c r="J1527" s="26">
        <v>1</v>
      </c>
      <c r="K1527" s="26">
        <v>138</v>
      </c>
      <c r="L1527" s="26" t="s">
        <v>28</v>
      </c>
      <c r="M1527" s="27">
        <v>2127</v>
      </c>
      <c r="N1527" s="28"/>
      <c r="O1527" s="26" t="s">
        <v>29</v>
      </c>
      <c r="P1527" s="29"/>
      <c r="Q1527" s="6"/>
      <c r="R1527" s="29"/>
      <c r="S1527" s="10"/>
      <c r="T1527" s="8"/>
    </row>
    <row r="1528" spans="1:20" ht="15.75" customHeight="1" x14ac:dyDescent="0.35">
      <c r="A1528" s="25" t="s">
        <v>1914</v>
      </c>
      <c r="B1528" s="25" t="s">
        <v>2013</v>
      </c>
      <c r="C1528" s="26">
        <v>129239</v>
      </c>
      <c r="D1528" s="25" t="s">
        <v>2036</v>
      </c>
      <c r="E1528" s="25" t="s">
        <v>205</v>
      </c>
      <c r="F1528" s="26" t="s">
        <v>215</v>
      </c>
      <c r="G1528" s="26" t="s">
        <v>215</v>
      </c>
      <c r="H1528" s="26"/>
      <c r="I1528" s="26"/>
      <c r="J1528" s="26">
        <v>1</v>
      </c>
      <c r="K1528" s="26">
        <v>138</v>
      </c>
      <c r="L1528" s="26" t="s">
        <v>28</v>
      </c>
      <c r="M1528" s="27">
        <v>2129</v>
      </c>
      <c r="N1528" s="28"/>
      <c r="O1528" s="26" t="s">
        <v>29</v>
      </c>
      <c r="P1528" s="29"/>
      <c r="Q1528" s="6"/>
      <c r="R1528" s="29"/>
      <c r="S1528" s="10"/>
      <c r="T1528" s="8"/>
    </row>
    <row r="1529" spans="1:20" ht="15.75" customHeight="1" x14ac:dyDescent="0.35">
      <c r="A1529" s="25" t="s">
        <v>1914</v>
      </c>
      <c r="B1529" s="25" t="s">
        <v>2013</v>
      </c>
      <c r="C1529" s="26">
        <v>129249</v>
      </c>
      <c r="D1529" s="25" t="s">
        <v>2037</v>
      </c>
      <c r="E1529" s="25" t="s">
        <v>2038</v>
      </c>
      <c r="F1529" s="26" t="s">
        <v>215</v>
      </c>
      <c r="G1529" s="26" t="s">
        <v>215</v>
      </c>
      <c r="H1529" s="26"/>
      <c r="I1529" s="26"/>
      <c r="J1529" s="26">
        <v>1</v>
      </c>
      <c r="K1529" s="26">
        <v>138</v>
      </c>
      <c r="L1529" s="26" t="s">
        <v>28</v>
      </c>
      <c r="M1529" s="27">
        <v>2103</v>
      </c>
      <c r="N1529" s="28"/>
      <c r="O1529" s="26" t="s">
        <v>29</v>
      </c>
      <c r="P1529" s="29"/>
      <c r="Q1529" s="6"/>
      <c r="R1529" s="29"/>
      <c r="S1529" s="10"/>
      <c r="T1529" s="8"/>
    </row>
    <row r="1530" spans="1:20" ht="15.75" customHeight="1" x14ac:dyDescent="0.35">
      <c r="A1530" s="25" t="s">
        <v>1914</v>
      </c>
      <c r="B1530" s="25" t="s">
        <v>2013</v>
      </c>
      <c r="C1530" s="26">
        <v>129250</v>
      </c>
      <c r="D1530" s="25" t="s">
        <v>2039</v>
      </c>
      <c r="E1530" s="25" t="s">
        <v>2038</v>
      </c>
      <c r="F1530" s="26" t="s">
        <v>215</v>
      </c>
      <c r="G1530" s="26" t="s">
        <v>215</v>
      </c>
      <c r="H1530" s="26"/>
      <c r="I1530" s="26"/>
      <c r="J1530" s="26">
        <v>1</v>
      </c>
      <c r="K1530" s="26">
        <v>138</v>
      </c>
      <c r="L1530" s="26" t="s">
        <v>28</v>
      </c>
      <c r="M1530" s="27">
        <v>2111</v>
      </c>
      <c r="N1530" s="28"/>
      <c r="O1530" s="26" t="s">
        <v>29</v>
      </c>
      <c r="P1530" s="29"/>
      <c r="Q1530" s="6"/>
      <c r="R1530" s="29"/>
      <c r="S1530" s="10"/>
      <c r="T1530" s="8"/>
    </row>
    <row r="1531" spans="1:20" ht="15.75" customHeight="1" x14ac:dyDescent="0.35">
      <c r="A1531" s="25" t="s">
        <v>1914</v>
      </c>
      <c r="B1531" s="25" t="s">
        <v>2013</v>
      </c>
      <c r="C1531" s="26">
        <v>129254</v>
      </c>
      <c r="D1531" s="25" t="s">
        <v>2040</v>
      </c>
      <c r="E1531" s="25" t="s">
        <v>2038</v>
      </c>
      <c r="F1531" s="26" t="s">
        <v>215</v>
      </c>
      <c r="G1531" s="26" t="s">
        <v>215</v>
      </c>
      <c r="H1531" s="26"/>
      <c r="I1531" s="26"/>
      <c r="J1531" s="26">
        <v>1</v>
      </c>
      <c r="K1531" s="26">
        <v>138</v>
      </c>
      <c r="L1531" s="26" t="s">
        <v>28</v>
      </c>
      <c r="M1531" s="27">
        <v>2126</v>
      </c>
      <c r="N1531" s="28"/>
      <c r="O1531" s="26" t="s">
        <v>29</v>
      </c>
      <c r="P1531" s="29"/>
      <c r="Q1531" s="6"/>
      <c r="R1531" s="29"/>
      <c r="S1531" s="10"/>
      <c r="T1531" s="8"/>
    </row>
    <row r="1532" spans="1:20" ht="15.75" customHeight="1" x14ac:dyDescent="0.35">
      <c r="A1532" s="25" t="s">
        <v>1914</v>
      </c>
      <c r="B1532" s="25" t="s">
        <v>2013</v>
      </c>
      <c r="C1532" s="26">
        <v>129255</v>
      </c>
      <c r="D1532" s="25" t="s">
        <v>2041</v>
      </c>
      <c r="E1532" s="25" t="s">
        <v>2038</v>
      </c>
      <c r="F1532" s="26" t="s">
        <v>215</v>
      </c>
      <c r="G1532" s="26" t="s">
        <v>215</v>
      </c>
      <c r="H1532" s="26"/>
      <c r="I1532" s="26"/>
      <c r="J1532" s="26">
        <v>1</v>
      </c>
      <c r="K1532" s="26">
        <v>138</v>
      </c>
      <c r="L1532" s="26" t="s">
        <v>28</v>
      </c>
      <c r="M1532" s="27">
        <v>2131</v>
      </c>
      <c r="N1532" s="28"/>
      <c r="O1532" s="26" t="s">
        <v>29</v>
      </c>
      <c r="P1532" s="29"/>
      <c r="Q1532" s="6"/>
      <c r="R1532" s="29"/>
      <c r="S1532" s="10"/>
      <c r="T1532" s="8"/>
    </row>
    <row r="1533" spans="1:20" ht="15.75" customHeight="1" x14ac:dyDescent="0.35">
      <c r="A1533" s="25" t="s">
        <v>1914</v>
      </c>
      <c r="B1533" s="25" t="s">
        <v>2013</v>
      </c>
      <c r="C1533" s="26">
        <v>129259</v>
      </c>
      <c r="D1533" s="25" t="s">
        <v>342</v>
      </c>
      <c r="E1533" s="25" t="s">
        <v>2038</v>
      </c>
      <c r="F1533" s="26" t="s">
        <v>215</v>
      </c>
      <c r="G1533" s="26" t="s">
        <v>215</v>
      </c>
      <c r="H1533" s="26"/>
      <c r="I1533" s="26"/>
      <c r="J1533" s="26">
        <v>1</v>
      </c>
      <c r="K1533" s="26">
        <v>138</v>
      </c>
      <c r="L1533" s="26" t="s">
        <v>28</v>
      </c>
      <c r="M1533" s="27">
        <v>2104</v>
      </c>
      <c r="N1533" s="28"/>
      <c r="O1533" s="26" t="s">
        <v>29</v>
      </c>
      <c r="P1533" s="29"/>
      <c r="Q1533" s="6"/>
      <c r="R1533" s="29"/>
      <c r="S1533" s="10"/>
      <c r="T1533" s="8"/>
    </row>
    <row r="1534" spans="1:20" ht="15.75" customHeight="1" x14ac:dyDescent="0.35">
      <c r="A1534" s="25" t="s">
        <v>1914</v>
      </c>
      <c r="B1534" s="25" t="s">
        <v>2013</v>
      </c>
      <c r="C1534" s="26">
        <v>129260</v>
      </c>
      <c r="D1534" s="25" t="s">
        <v>2042</v>
      </c>
      <c r="E1534" s="25" t="s">
        <v>2038</v>
      </c>
      <c r="F1534" s="26" t="s">
        <v>215</v>
      </c>
      <c r="G1534" s="26" t="s">
        <v>215</v>
      </c>
      <c r="H1534" s="26"/>
      <c r="I1534" s="26"/>
      <c r="J1534" s="26">
        <v>1</v>
      </c>
      <c r="K1534" s="26">
        <v>138</v>
      </c>
      <c r="L1534" s="26" t="s">
        <v>28</v>
      </c>
      <c r="M1534" s="27">
        <v>2105</v>
      </c>
      <c r="N1534" s="28"/>
      <c r="O1534" s="26" t="s">
        <v>29</v>
      </c>
      <c r="P1534" s="29"/>
      <c r="Q1534" s="6"/>
      <c r="R1534" s="29"/>
      <c r="S1534" s="10"/>
      <c r="T1534" s="8"/>
    </row>
    <row r="1535" spans="1:20" ht="15.75" customHeight="1" x14ac:dyDescent="0.35">
      <c r="A1535" s="25" t="s">
        <v>1914</v>
      </c>
      <c r="B1535" s="25" t="s">
        <v>2013</v>
      </c>
      <c r="C1535" s="26">
        <v>129265</v>
      </c>
      <c r="D1535" s="25" t="s">
        <v>2043</v>
      </c>
      <c r="E1535" s="25" t="s">
        <v>2038</v>
      </c>
      <c r="F1535" s="26" t="s">
        <v>215</v>
      </c>
      <c r="G1535" s="26" t="s">
        <v>215</v>
      </c>
      <c r="H1535" s="26"/>
      <c r="I1535" s="26"/>
      <c r="J1535" s="26">
        <v>1</v>
      </c>
      <c r="K1535" s="26">
        <v>138</v>
      </c>
      <c r="L1535" s="26" t="s">
        <v>28</v>
      </c>
      <c r="M1535" s="27">
        <v>2128</v>
      </c>
      <c r="N1535" s="28"/>
      <c r="O1535" s="26" t="s">
        <v>29</v>
      </c>
      <c r="P1535" s="29"/>
      <c r="Q1535" s="6"/>
      <c r="R1535" s="29"/>
      <c r="S1535" s="10"/>
      <c r="T1535" s="8"/>
    </row>
    <row r="1536" spans="1:20" ht="15.75" customHeight="1" x14ac:dyDescent="0.35">
      <c r="A1536" s="25" t="s">
        <v>1914</v>
      </c>
      <c r="B1536" s="25" t="s">
        <v>2013</v>
      </c>
      <c r="C1536" s="26">
        <v>129266</v>
      </c>
      <c r="D1536" s="25" t="s">
        <v>2044</v>
      </c>
      <c r="E1536" s="25" t="s">
        <v>2038</v>
      </c>
      <c r="F1536" s="26" t="s">
        <v>215</v>
      </c>
      <c r="G1536" s="26" t="s">
        <v>215</v>
      </c>
      <c r="H1536" s="26"/>
      <c r="I1536" s="26"/>
      <c r="J1536" s="26">
        <v>1</v>
      </c>
      <c r="K1536" s="26">
        <v>138</v>
      </c>
      <c r="L1536" s="26" t="s">
        <v>28</v>
      </c>
      <c r="M1536" s="27">
        <v>2132</v>
      </c>
      <c r="N1536" s="28"/>
      <c r="O1536" s="26" t="s">
        <v>29</v>
      </c>
      <c r="P1536" s="29"/>
      <c r="Q1536" s="6"/>
      <c r="R1536" s="29"/>
      <c r="S1536" s="10"/>
      <c r="T1536" s="8"/>
    </row>
    <row r="1537" spans="1:20" ht="15.75" customHeight="1" x14ac:dyDescent="0.35">
      <c r="A1537" s="25" t="s">
        <v>1914</v>
      </c>
      <c r="B1537" s="25" t="s">
        <v>2013</v>
      </c>
      <c r="C1537" s="26">
        <v>129267</v>
      </c>
      <c r="D1537" s="25" t="s">
        <v>2045</v>
      </c>
      <c r="E1537" s="25" t="s">
        <v>2038</v>
      </c>
      <c r="F1537" s="26" t="s">
        <v>215</v>
      </c>
      <c r="G1537" s="26" t="s">
        <v>215</v>
      </c>
      <c r="H1537" s="26"/>
      <c r="I1537" s="26"/>
      <c r="J1537" s="26">
        <v>1</v>
      </c>
      <c r="K1537" s="26">
        <v>138</v>
      </c>
      <c r="L1537" s="26" t="s">
        <v>28</v>
      </c>
      <c r="M1537" s="27">
        <v>2137</v>
      </c>
      <c r="N1537" s="28"/>
      <c r="O1537" s="26" t="s">
        <v>29</v>
      </c>
      <c r="P1537" s="29"/>
      <c r="Q1537" s="6"/>
      <c r="R1537" s="29"/>
      <c r="S1537" s="10"/>
      <c r="T1537" s="8"/>
    </row>
    <row r="1538" spans="1:20" ht="15.75" customHeight="1" x14ac:dyDescent="0.35">
      <c r="A1538" s="25" t="s">
        <v>1914</v>
      </c>
      <c r="B1538" s="25" t="s">
        <v>2013</v>
      </c>
      <c r="C1538" s="26">
        <v>129268</v>
      </c>
      <c r="D1538" s="25" t="s">
        <v>2014</v>
      </c>
      <c r="E1538" s="25" t="s">
        <v>2038</v>
      </c>
      <c r="F1538" s="26" t="s">
        <v>215</v>
      </c>
      <c r="G1538" s="26" t="s">
        <v>215</v>
      </c>
      <c r="H1538" s="26"/>
      <c r="I1538" s="26"/>
      <c r="J1538" s="26">
        <v>1</v>
      </c>
      <c r="K1538" s="26">
        <v>138</v>
      </c>
      <c r="L1538" s="26" t="s">
        <v>28</v>
      </c>
      <c r="M1538" s="27">
        <v>2141</v>
      </c>
      <c r="N1538" s="28"/>
      <c r="O1538" s="26" t="s">
        <v>29</v>
      </c>
      <c r="P1538" s="29"/>
      <c r="Q1538" s="6"/>
      <c r="R1538" s="29"/>
      <c r="S1538" s="10"/>
      <c r="T1538" s="8"/>
    </row>
    <row r="1539" spans="1:20" ht="15.75" customHeight="1" x14ac:dyDescent="0.35">
      <c r="A1539" s="25" t="s">
        <v>1914</v>
      </c>
      <c r="B1539" s="25" t="s">
        <v>2013</v>
      </c>
      <c r="C1539" s="26">
        <v>129269</v>
      </c>
      <c r="D1539" s="25" t="s">
        <v>2046</v>
      </c>
      <c r="E1539" s="25" t="s">
        <v>2038</v>
      </c>
      <c r="F1539" s="26" t="s">
        <v>215</v>
      </c>
      <c r="G1539" s="26" t="s">
        <v>215</v>
      </c>
      <c r="H1539" s="26"/>
      <c r="I1539" s="26"/>
      <c r="J1539" s="26">
        <v>1</v>
      </c>
      <c r="K1539" s="26">
        <v>138</v>
      </c>
      <c r="L1539" s="26" t="s">
        <v>28</v>
      </c>
      <c r="M1539" s="27">
        <v>2142</v>
      </c>
      <c r="N1539" s="28"/>
      <c r="O1539" s="26" t="s">
        <v>29</v>
      </c>
      <c r="P1539" s="29"/>
      <c r="Q1539" s="6"/>
      <c r="R1539" s="29"/>
      <c r="S1539" s="10"/>
      <c r="T1539" s="8"/>
    </row>
    <row r="1540" spans="1:20" ht="15.75" customHeight="1" x14ac:dyDescent="0.35">
      <c r="A1540" s="25" t="s">
        <v>1914</v>
      </c>
      <c r="B1540" s="25" t="s">
        <v>2013</v>
      </c>
      <c r="C1540" s="26">
        <v>129271</v>
      </c>
      <c r="D1540" s="25" t="s">
        <v>2047</v>
      </c>
      <c r="E1540" s="25" t="s">
        <v>2038</v>
      </c>
      <c r="F1540" s="26" t="s">
        <v>215</v>
      </c>
      <c r="G1540" s="26" t="s">
        <v>215</v>
      </c>
      <c r="H1540" s="26"/>
      <c r="I1540" s="26"/>
      <c r="J1540" s="26">
        <v>1</v>
      </c>
      <c r="K1540" s="26">
        <v>138</v>
      </c>
      <c r="L1540" s="26" t="s">
        <v>28</v>
      </c>
      <c r="M1540" s="27">
        <v>2145</v>
      </c>
      <c r="N1540" s="28"/>
      <c r="O1540" s="26" t="s">
        <v>29</v>
      </c>
      <c r="P1540" s="29"/>
      <c r="Q1540" s="6"/>
      <c r="R1540" s="29"/>
      <c r="S1540" s="10"/>
      <c r="T1540" s="8"/>
    </row>
    <row r="1541" spans="1:20" ht="15.75" customHeight="1" x14ac:dyDescent="0.35">
      <c r="A1541" s="25" t="s">
        <v>1914</v>
      </c>
      <c r="B1541" s="25" t="s">
        <v>2013</v>
      </c>
      <c r="C1541" s="26">
        <v>129274</v>
      </c>
      <c r="D1541" s="25" t="s">
        <v>2048</v>
      </c>
      <c r="E1541" s="25" t="s">
        <v>2038</v>
      </c>
      <c r="F1541" s="26" t="s">
        <v>215</v>
      </c>
      <c r="G1541" s="26" t="s">
        <v>215</v>
      </c>
      <c r="H1541" s="26"/>
      <c r="I1541" s="26"/>
      <c r="J1541" s="26">
        <v>1</v>
      </c>
      <c r="K1541" s="26">
        <v>138</v>
      </c>
      <c r="L1541" s="26" t="s">
        <v>28</v>
      </c>
      <c r="M1541" s="27">
        <v>2147</v>
      </c>
      <c r="N1541" s="28"/>
      <c r="O1541" s="26" t="s">
        <v>29</v>
      </c>
      <c r="P1541" s="29"/>
      <c r="Q1541" s="6"/>
      <c r="R1541" s="29"/>
      <c r="S1541" s="10"/>
      <c r="T1541" s="8"/>
    </row>
    <row r="1542" spans="1:20" ht="15.75" customHeight="1" x14ac:dyDescent="0.35">
      <c r="A1542" s="25" t="s">
        <v>1914</v>
      </c>
      <c r="B1542" s="25" t="s">
        <v>2013</v>
      </c>
      <c r="C1542" s="26">
        <v>129277</v>
      </c>
      <c r="D1542" s="25" t="s">
        <v>2049</v>
      </c>
      <c r="E1542" s="25" t="s">
        <v>2038</v>
      </c>
      <c r="F1542" s="26" t="s">
        <v>215</v>
      </c>
      <c r="G1542" s="26" t="s">
        <v>215</v>
      </c>
      <c r="H1542" s="26"/>
      <c r="I1542" s="26"/>
      <c r="J1542" s="26">
        <v>1</v>
      </c>
      <c r="K1542" s="26">
        <v>138</v>
      </c>
      <c r="L1542" s="26" t="s">
        <v>28</v>
      </c>
      <c r="M1542" s="27">
        <v>2152</v>
      </c>
      <c r="N1542" s="28"/>
      <c r="O1542" s="26" t="s">
        <v>29</v>
      </c>
      <c r="P1542" s="29"/>
      <c r="Q1542" s="6"/>
      <c r="R1542" s="29"/>
      <c r="S1542" s="10"/>
      <c r="T1542" s="8"/>
    </row>
    <row r="1543" spans="1:20" ht="15.75" customHeight="1" x14ac:dyDescent="0.35">
      <c r="A1543" s="25" t="s">
        <v>1914</v>
      </c>
      <c r="B1543" s="25" t="s">
        <v>2050</v>
      </c>
      <c r="C1543" s="26">
        <v>129279</v>
      </c>
      <c r="D1543" s="25" t="s">
        <v>2051</v>
      </c>
      <c r="E1543" s="25" t="s">
        <v>2052</v>
      </c>
      <c r="F1543" s="26" t="s">
        <v>90</v>
      </c>
      <c r="G1543" s="26" t="s">
        <v>90</v>
      </c>
      <c r="H1543" s="26"/>
      <c r="I1543" s="26"/>
      <c r="J1543" s="26">
        <v>1</v>
      </c>
      <c r="K1543" s="26">
        <v>138</v>
      </c>
      <c r="L1543" s="26" t="s">
        <v>28</v>
      </c>
      <c r="M1543" s="27">
        <v>2157</v>
      </c>
      <c r="N1543" s="28"/>
      <c r="O1543" s="26" t="s">
        <v>29</v>
      </c>
      <c r="P1543" s="29"/>
      <c r="Q1543" s="6"/>
      <c r="R1543" s="29"/>
      <c r="S1543" s="10"/>
      <c r="T1543" s="8"/>
    </row>
    <row r="1544" spans="1:20" ht="15.75" customHeight="1" x14ac:dyDescent="0.35">
      <c r="A1544" s="25" t="s">
        <v>1914</v>
      </c>
      <c r="B1544" s="25" t="s">
        <v>2050</v>
      </c>
      <c r="C1544" s="26">
        <v>129295</v>
      </c>
      <c r="D1544" s="25" t="s">
        <v>2053</v>
      </c>
      <c r="E1544" s="25" t="s">
        <v>2054</v>
      </c>
      <c r="F1544" s="26" t="s">
        <v>90</v>
      </c>
      <c r="G1544" s="26" t="s">
        <v>90</v>
      </c>
      <c r="H1544" s="26"/>
      <c r="I1544" s="26"/>
      <c r="J1544" s="26">
        <v>1</v>
      </c>
      <c r="K1544" s="26">
        <v>138</v>
      </c>
      <c r="L1544" s="26" t="s">
        <v>28</v>
      </c>
      <c r="M1544" s="27">
        <v>2161</v>
      </c>
      <c r="N1544" s="28"/>
      <c r="O1544" s="26" t="s">
        <v>29</v>
      </c>
      <c r="P1544" s="29"/>
      <c r="Q1544" s="6"/>
      <c r="R1544" s="29"/>
      <c r="S1544" s="10"/>
      <c r="T1544" s="8"/>
    </row>
    <row r="1545" spans="1:20" ht="15.75" customHeight="1" x14ac:dyDescent="0.35">
      <c r="A1545" s="25" t="s">
        <v>1914</v>
      </c>
      <c r="B1545" s="25" t="s">
        <v>2050</v>
      </c>
      <c r="C1545" s="26">
        <v>129306</v>
      </c>
      <c r="D1545" s="25" t="s">
        <v>2055</v>
      </c>
      <c r="E1545" s="25" t="s">
        <v>2054</v>
      </c>
      <c r="F1545" s="26" t="s">
        <v>90</v>
      </c>
      <c r="G1545" s="26" t="s">
        <v>90</v>
      </c>
      <c r="H1545" s="26"/>
      <c r="I1545" s="26"/>
      <c r="J1545" s="26">
        <v>1</v>
      </c>
      <c r="K1545" s="26">
        <v>138</v>
      </c>
      <c r="L1545" s="26" t="s">
        <v>28</v>
      </c>
      <c r="M1545" s="27">
        <v>2159</v>
      </c>
      <c r="N1545" s="28"/>
      <c r="O1545" s="26" t="s">
        <v>29</v>
      </c>
      <c r="P1545" s="29"/>
      <c r="Q1545" s="6"/>
      <c r="R1545" s="29"/>
      <c r="S1545" s="10"/>
      <c r="T1545" s="8"/>
    </row>
    <row r="1546" spans="1:20" ht="15.75" customHeight="1" x14ac:dyDescent="0.35">
      <c r="A1546" s="25" t="s">
        <v>1914</v>
      </c>
      <c r="B1546" s="25" t="s">
        <v>2050</v>
      </c>
      <c r="C1546" s="26">
        <v>129313</v>
      </c>
      <c r="D1546" s="25" t="s">
        <v>2056</v>
      </c>
      <c r="E1546" s="25" t="s">
        <v>2054</v>
      </c>
      <c r="F1546" s="26" t="s">
        <v>90</v>
      </c>
      <c r="G1546" s="26" t="s">
        <v>90</v>
      </c>
      <c r="H1546" s="26"/>
      <c r="I1546" s="26"/>
      <c r="J1546" s="26">
        <v>1</v>
      </c>
      <c r="K1546" s="26">
        <v>138</v>
      </c>
      <c r="L1546" s="26" t="s">
        <v>28</v>
      </c>
      <c r="M1546" s="27">
        <v>2160</v>
      </c>
      <c r="N1546" s="28"/>
      <c r="O1546" s="26" t="s">
        <v>29</v>
      </c>
      <c r="P1546" s="29"/>
      <c r="Q1546" s="6"/>
      <c r="R1546" s="29"/>
      <c r="S1546" s="10"/>
      <c r="T1546" s="8"/>
    </row>
    <row r="1547" spans="1:20" ht="15.75" customHeight="1" x14ac:dyDescent="0.35">
      <c r="A1547" s="25" t="s">
        <v>1914</v>
      </c>
      <c r="B1547" s="25" t="s">
        <v>2050</v>
      </c>
      <c r="C1547" s="26">
        <v>129320</v>
      </c>
      <c r="D1547" s="25" t="s">
        <v>2057</v>
      </c>
      <c r="E1547" s="25" t="s">
        <v>2054</v>
      </c>
      <c r="F1547" s="26" t="s">
        <v>90</v>
      </c>
      <c r="G1547" s="26" t="s">
        <v>90</v>
      </c>
      <c r="H1547" s="26"/>
      <c r="I1547" s="26"/>
      <c r="J1547" s="26">
        <v>1</v>
      </c>
      <c r="K1547" s="26">
        <v>138</v>
      </c>
      <c r="L1547" s="26" t="s">
        <v>28</v>
      </c>
      <c r="M1547" s="27">
        <v>2163</v>
      </c>
      <c r="N1547" s="28"/>
      <c r="O1547" s="26" t="s">
        <v>29</v>
      </c>
      <c r="P1547" s="29"/>
      <c r="Q1547" s="6"/>
      <c r="R1547" s="29"/>
      <c r="S1547" s="10"/>
      <c r="T1547" s="8"/>
    </row>
    <row r="1548" spans="1:20" ht="15.75" customHeight="1" x14ac:dyDescent="0.35">
      <c r="A1548" s="25" t="s">
        <v>1914</v>
      </c>
      <c r="B1548" s="25" t="s">
        <v>2013</v>
      </c>
      <c r="C1548" s="26">
        <v>129339</v>
      </c>
      <c r="D1548" s="25" t="s">
        <v>2058</v>
      </c>
      <c r="E1548" s="25" t="s">
        <v>2059</v>
      </c>
      <c r="F1548" s="26" t="s">
        <v>215</v>
      </c>
      <c r="G1548" s="26" t="s">
        <v>215</v>
      </c>
      <c r="H1548" s="26"/>
      <c r="I1548" s="26"/>
      <c r="J1548" s="26">
        <v>1</v>
      </c>
      <c r="K1548" s="26">
        <v>138</v>
      </c>
      <c r="L1548" s="26" t="s">
        <v>28</v>
      </c>
      <c r="M1548" s="27">
        <v>2112</v>
      </c>
      <c r="N1548" s="28"/>
      <c r="O1548" s="26" t="s">
        <v>29</v>
      </c>
      <c r="P1548" s="29"/>
      <c r="Q1548" s="6"/>
      <c r="R1548" s="29"/>
      <c r="S1548" s="10"/>
      <c r="T1548" s="8"/>
    </row>
    <row r="1549" spans="1:20" ht="15.75" customHeight="1" x14ac:dyDescent="0.35">
      <c r="A1549" s="25" t="s">
        <v>1914</v>
      </c>
      <c r="B1549" s="25" t="s">
        <v>2013</v>
      </c>
      <c r="C1549" s="26">
        <v>129340</v>
      </c>
      <c r="D1549" s="25" t="s">
        <v>2060</v>
      </c>
      <c r="E1549" s="25" t="s">
        <v>2059</v>
      </c>
      <c r="F1549" s="26" t="s">
        <v>215</v>
      </c>
      <c r="G1549" s="26" t="s">
        <v>215</v>
      </c>
      <c r="H1549" s="26"/>
      <c r="I1549" s="26"/>
      <c r="J1549" s="26">
        <v>1</v>
      </c>
      <c r="K1549" s="26">
        <v>138</v>
      </c>
      <c r="L1549" s="26" t="s">
        <v>28</v>
      </c>
      <c r="M1549" s="27">
        <v>2116</v>
      </c>
      <c r="N1549" s="28"/>
      <c r="O1549" s="26" t="s">
        <v>29</v>
      </c>
      <c r="P1549" s="29"/>
      <c r="Q1549" s="6"/>
      <c r="R1549" s="29"/>
      <c r="S1549" s="10"/>
      <c r="T1549" s="8"/>
    </row>
    <row r="1550" spans="1:20" ht="15.75" customHeight="1" x14ac:dyDescent="0.35">
      <c r="A1550" s="25" t="s">
        <v>1914</v>
      </c>
      <c r="B1550" s="25" t="s">
        <v>2013</v>
      </c>
      <c r="C1550" s="26">
        <v>129341</v>
      </c>
      <c r="D1550" s="25" t="s">
        <v>2061</v>
      </c>
      <c r="E1550" s="25" t="s">
        <v>2059</v>
      </c>
      <c r="F1550" s="26" t="s">
        <v>215</v>
      </c>
      <c r="G1550" s="26" t="s">
        <v>215</v>
      </c>
      <c r="H1550" s="26"/>
      <c r="I1550" s="26"/>
      <c r="J1550" s="26">
        <v>1</v>
      </c>
      <c r="K1550" s="26">
        <v>138</v>
      </c>
      <c r="L1550" s="26" t="s">
        <v>28</v>
      </c>
      <c r="M1550" s="27">
        <v>2117</v>
      </c>
      <c r="N1550" s="28"/>
      <c r="O1550" s="26" t="s">
        <v>29</v>
      </c>
      <c r="P1550" s="29"/>
      <c r="Q1550" s="6"/>
      <c r="R1550" s="29"/>
      <c r="S1550" s="10"/>
      <c r="T1550" s="8"/>
    </row>
    <row r="1551" spans="1:20" ht="15.75" customHeight="1" x14ac:dyDescent="0.35">
      <c r="A1551" s="25" t="s">
        <v>1914</v>
      </c>
      <c r="B1551" s="25" t="s">
        <v>2013</v>
      </c>
      <c r="C1551" s="26">
        <v>129343</v>
      </c>
      <c r="D1551" s="25" t="s">
        <v>2062</v>
      </c>
      <c r="E1551" s="25" t="s">
        <v>2059</v>
      </c>
      <c r="F1551" s="26" t="s">
        <v>215</v>
      </c>
      <c r="G1551" s="26" t="s">
        <v>215</v>
      </c>
      <c r="H1551" s="26"/>
      <c r="I1551" s="26"/>
      <c r="J1551" s="26">
        <v>1</v>
      </c>
      <c r="K1551" s="26">
        <v>138</v>
      </c>
      <c r="L1551" s="26" t="s">
        <v>28</v>
      </c>
      <c r="M1551" s="27">
        <v>2120</v>
      </c>
      <c r="N1551" s="28"/>
      <c r="O1551" s="26" t="s">
        <v>29</v>
      </c>
      <c r="P1551" s="29"/>
      <c r="Q1551" s="6"/>
      <c r="R1551" s="29"/>
      <c r="S1551" s="10"/>
      <c r="T1551" s="8"/>
    </row>
    <row r="1552" spans="1:20" ht="15.75" customHeight="1" x14ac:dyDescent="0.35">
      <c r="A1552" s="25" t="s">
        <v>1914</v>
      </c>
      <c r="B1552" s="25" t="s">
        <v>2013</v>
      </c>
      <c r="C1552" s="26">
        <v>129361</v>
      </c>
      <c r="D1552" s="25" t="s">
        <v>2063</v>
      </c>
      <c r="E1552" s="25" t="s">
        <v>2059</v>
      </c>
      <c r="F1552" s="26" t="s">
        <v>215</v>
      </c>
      <c r="G1552" s="26" t="s">
        <v>215</v>
      </c>
      <c r="H1552" s="26"/>
      <c r="I1552" s="26"/>
      <c r="J1552" s="26">
        <v>1</v>
      </c>
      <c r="K1552" s="26">
        <v>138</v>
      </c>
      <c r="L1552" s="26" t="s">
        <v>28</v>
      </c>
      <c r="M1552" s="27">
        <v>2133</v>
      </c>
      <c r="N1552" s="28"/>
      <c r="O1552" s="26" t="s">
        <v>29</v>
      </c>
      <c r="P1552" s="29"/>
      <c r="Q1552" s="6"/>
      <c r="R1552" s="29"/>
      <c r="S1552" s="10"/>
      <c r="T1552" s="8"/>
    </row>
    <row r="1553" spans="1:20" ht="15.75" customHeight="1" x14ac:dyDescent="0.35">
      <c r="A1553" s="25" t="s">
        <v>1914</v>
      </c>
      <c r="B1553" s="25" t="s">
        <v>2013</v>
      </c>
      <c r="C1553" s="26">
        <v>129362</v>
      </c>
      <c r="D1553" s="25" t="s">
        <v>2064</v>
      </c>
      <c r="E1553" s="25" t="s">
        <v>2059</v>
      </c>
      <c r="F1553" s="26" t="s">
        <v>215</v>
      </c>
      <c r="G1553" s="26" t="s">
        <v>215</v>
      </c>
      <c r="H1553" s="26"/>
      <c r="I1553" s="26"/>
      <c r="J1553" s="26">
        <v>1</v>
      </c>
      <c r="K1553" s="26">
        <v>138</v>
      </c>
      <c r="L1553" s="26" t="s">
        <v>28</v>
      </c>
      <c r="M1553" s="27">
        <v>2134</v>
      </c>
      <c r="N1553" s="28"/>
      <c r="O1553" s="26" t="s">
        <v>29</v>
      </c>
      <c r="P1553" s="29"/>
      <c r="Q1553" s="6"/>
      <c r="R1553" s="29"/>
      <c r="S1553" s="10"/>
      <c r="T1553" s="8"/>
    </row>
    <row r="1554" spans="1:20" ht="15.75" customHeight="1" x14ac:dyDescent="0.35">
      <c r="A1554" s="25" t="s">
        <v>1914</v>
      </c>
      <c r="B1554" s="25" t="s">
        <v>2013</v>
      </c>
      <c r="C1554" s="26">
        <v>129365</v>
      </c>
      <c r="D1554" s="25" t="s">
        <v>2065</v>
      </c>
      <c r="E1554" s="25" t="s">
        <v>2059</v>
      </c>
      <c r="F1554" s="26" t="s">
        <v>215</v>
      </c>
      <c r="G1554" s="26" t="s">
        <v>215</v>
      </c>
      <c r="H1554" s="26"/>
      <c r="I1554" s="26"/>
      <c r="J1554" s="26">
        <v>1</v>
      </c>
      <c r="K1554" s="26">
        <v>138</v>
      </c>
      <c r="L1554" s="26" t="s">
        <v>28</v>
      </c>
      <c r="M1554" s="27">
        <v>2135</v>
      </c>
      <c r="N1554" s="28"/>
      <c r="O1554" s="26" t="s">
        <v>29</v>
      </c>
      <c r="P1554" s="29"/>
      <c r="Q1554" s="6"/>
      <c r="R1554" s="29"/>
      <c r="S1554" s="10"/>
      <c r="T1554" s="8"/>
    </row>
    <row r="1555" spans="1:20" ht="15.75" customHeight="1" x14ac:dyDescent="0.35">
      <c r="A1555" s="25" t="s">
        <v>1914</v>
      </c>
      <c r="B1555" s="25" t="s">
        <v>2013</v>
      </c>
      <c r="C1555" s="26">
        <v>129372</v>
      </c>
      <c r="D1555" s="25" t="s">
        <v>2066</v>
      </c>
      <c r="E1555" s="25" t="s">
        <v>2059</v>
      </c>
      <c r="F1555" s="26" t="s">
        <v>215</v>
      </c>
      <c r="G1555" s="26" t="s">
        <v>215</v>
      </c>
      <c r="H1555" s="26"/>
      <c r="I1555" s="26"/>
      <c r="J1555" s="26">
        <v>1</v>
      </c>
      <c r="K1555" s="26">
        <v>138</v>
      </c>
      <c r="L1555" s="26" t="s">
        <v>28</v>
      </c>
      <c r="M1555" s="27">
        <v>2150</v>
      </c>
      <c r="N1555" s="28"/>
      <c r="O1555" s="26" t="s">
        <v>29</v>
      </c>
      <c r="P1555" s="29"/>
      <c r="Q1555" s="6"/>
      <c r="R1555" s="29"/>
      <c r="S1555" s="10"/>
      <c r="T1555" s="8"/>
    </row>
    <row r="1556" spans="1:20" ht="15.75" customHeight="1" x14ac:dyDescent="0.35">
      <c r="A1556" s="25" t="s">
        <v>1914</v>
      </c>
      <c r="B1556" s="25" t="s">
        <v>2013</v>
      </c>
      <c r="C1556" s="26">
        <v>129443</v>
      </c>
      <c r="D1556" s="25" t="s">
        <v>2067</v>
      </c>
      <c r="E1556" s="25" t="s">
        <v>2068</v>
      </c>
      <c r="F1556" s="26" t="s">
        <v>215</v>
      </c>
      <c r="G1556" s="26" t="s">
        <v>215</v>
      </c>
      <c r="H1556" s="26"/>
      <c r="I1556" s="26"/>
      <c r="J1556" s="26">
        <v>1</v>
      </c>
      <c r="K1556" s="26">
        <v>138</v>
      </c>
      <c r="L1556" s="26" t="s">
        <v>28</v>
      </c>
      <c r="M1556" s="27">
        <v>2102</v>
      </c>
      <c r="N1556" s="28"/>
      <c r="O1556" s="26" t="s">
        <v>29</v>
      </c>
      <c r="P1556" s="29"/>
      <c r="Q1556" s="6"/>
      <c r="R1556" s="29"/>
      <c r="S1556" s="10"/>
      <c r="T1556" s="8"/>
    </row>
    <row r="1557" spans="1:20" ht="15.75" customHeight="1" x14ac:dyDescent="0.35">
      <c r="A1557" s="25" t="s">
        <v>1914</v>
      </c>
      <c r="B1557" s="25" t="s">
        <v>2013</v>
      </c>
      <c r="C1557" s="26">
        <v>129444</v>
      </c>
      <c r="D1557" s="25" t="s">
        <v>2069</v>
      </c>
      <c r="E1557" s="25" t="s">
        <v>2068</v>
      </c>
      <c r="F1557" s="26" t="s">
        <v>215</v>
      </c>
      <c r="G1557" s="26" t="s">
        <v>215</v>
      </c>
      <c r="H1557" s="26"/>
      <c r="I1557" s="26"/>
      <c r="J1557" s="26">
        <v>1</v>
      </c>
      <c r="K1557" s="26">
        <v>138</v>
      </c>
      <c r="L1557" s="26" t="s">
        <v>28</v>
      </c>
      <c r="M1557" s="27">
        <v>2107</v>
      </c>
      <c r="N1557" s="28"/>
      <c r="O1557" s="26" t="s">
        <v>29</v>
      </c>
      <c r="P1557" s="29"/>
      <c r="Q1557" s="6"/>
      <c r="R1557" s="29"/>
      <c r="S1557" s="10"/>
      <c r="T1557" s="8"/>
    </row>
    <row r="1558" spans="1:20" ht="15.75" customHeight="1" x14ac:dyDescent="0.35">
      <c r="A1558" s="25" t="s">
        <v>1914</v>
      </c>
      <c r="B1558" s="25" t="s">
        <v>2013</v>
      </c>
      <c r="C1558" s="26">
        <v>129447</v>
      </c>
      <c r="D1558" s="25" t="s">
        <v>2070</v>
      </c>
      <c r="E1558" s="25" t="s">
        <v>2068</v>
      </c>
      <c r="F1558" s="26" t="s">
        <v>215</v>
      </c>
      <c r="G1558" s="26" t="s">
        <v>215</v>
      </c>
      <c r="H1558" s="26"/>
      <c r="I1558" s="26"/>
      <c r="J1558" s="26">
        <v>1</v>
      </c>
      <c r="K1558" s="26">
        <v>138</v>
      </c>
      <c r="L1558" s="26" t="s">
        <v>28</v>
      </c>
      <c r="M1558" s="27">
        <v>2123</v>
      </c>
      <c r="N1558" s="28"/>
      <c r="O1558" s="26" t="s">
        <v>29</v>
      </c>
      <c r="P1558" s="29"/>
      <c r="Q1558" s="6"/>
      <c r="R1558" s="29"/>
      <c r="S1558" s="10"/>
      <c r="T1558" s="8"/>
    </row>
    <row r="1559" spans="1:20" ht="15.75" customHeight="1" x14ac:dyDescent="0.35">
      <c r="A1559" s="25" t="s">
        <v>1914</v>
      </c>
      <c r="B1559" s="25" t="s">
        <v>2013</v>
      </c>
      <c r="C1559" s="26">
        <v>129459</v>
      </c>
      <c r="D1559" s="25" t="s">
        <v>2071</v>
      </c>
      <c r="E1559" s="25" t="s">
        <v>2068</v>
      </c>
      <c r="F1559" s="26" t="s">
        <v>215</v>
      </c>
      <c r="G1559" s="26" t="s">
        <v>215</v>
      </c>
      <c r="H1559" s="26"/>
      <c r="I1559" s="26"/>
      <c r="J1559" s="26">
        <v>1</v>
      </c>
      <c r="K1559" s="26">
        <v>138</v>
      </c>
      <c r="L1559" s="26" t="s">
        <v>28</v>
      </c>
      <c r="M1559" s="27">
        <v>2139</v>
      </c>
      <c r="N1559" s="28"/>
      <c r="O1559" s="26" t="s">
        <v>29</v>
      </c>
      <c r="P1559" s="29"/>
      <c r="Q1559" s="6"/>
      <c r="R1559" s="29"/>
      <c r="S1559" s="10"/>
      <c r="T1559" s="8"/>
    </row>
    <row r="1560" spans="1:20" ht="15.75" customHeight="1" x14ac:dyDescent="0.35">
      <c r="A1560" s="25" t="s">
        <v>1914</v>
      </c>
      <c r="B1560" s="25" t="s">
        <v>2050</v>
      </c>
      <c r="C1560" s="26">
        <v>205505</v>
      </c>
      <c r="D1560" s="25" t="s">
        <v>2072</v>
      </c>
      <c r="E1560" s="25" t="s">
        <v>2054</v>
      </c>
      <c r="F1560" s="26" t="s">
        <v>90</v>
      </c>
      <c r="G1560" s="26" t="s">
        <v>90</v>
      </c>
      <c r="H1560" s="26"/>
      <c r="I1560" s="26"/>
      <c r="J1560" s="26">
        <v>1</v>
      </c>
      <c r="K1560" s="26">
        <v>138</v>
      </c>
      <c r="L1560" s="26" t="s">
        <v>28</v>
      </c>
      <c r="M1560" s="27">
        <v>2162</v>
      </c>
      <c r="N1560" s="28"/>
      <c r="O1560" s="26" t="s">
        <v>29</v>
      </c>
      <c r="P1560" s="29"/>
      <c r="Q1560" s="6"/>
      <c r="R1560" s="29"/>
      <c r="S1560" s="10"/>
      <c r="T1560" s="8"/>
    </row>
    <row r="1561" spans="1:20" ht="15.75" customHeight="1" x14ac:dyDescent="0.35">
      <c r="A1561" s="25" t="s">
        <v>1914</v>
      </c>
      <c r="B1561" s="25" t="s">
        <v>2013</v>
      </c>
      <c r="C1561" s="26">
        <v>304304</v>
      </c>
      <c r="D1561" s="25" t="s">
        <v>2073</v>
      </c>
      <c r="E1561" s="25" t="s">
        <v>2021</v>
      </c>
      <c r="F1561" s="26" t="s">
        <v>215</v>
      </c>
      <c r="G1561" s="26" t="s">
        <v>215</v>
      </c>
      <c r="H1561" s="26"/>
      <c r="I1561" s="26"/>
      <c r="J1561" s="26">
        <v>1</v>
      </c>
      <c r="K1561" s="26">
        <v>138</v>
      </c>
      <c r="L1561" s="26" t="s">
        <v>28</v>
      </c>
      <c r="M1561" s="27">
        <v>2113</v>
      </c>
      <c r="N1561" s="28"/>
      <c r="O1561" s="26" t="s">
        <v>29</v>
      </c>
      <c r="P1561" s="29"/>
      <c r="Q1561" s="6"/>
      <c r="R1561" s="29"/>
      <c r="S1561" s="10"/>
      <c r="T1561" s="8"/>
    </row>
    <row r="1562" spans="1:20" ht="15.75" customHeight="1" x14ac:dyDescent="0.35">
      <c r="A1562" s="25" t="s">
        <v>1914</v>
      </c>
      <c r="B1562" s="25" t="s">
        <v>2074</v>
      </c>
      <c r="C1562" s="26">
        <v>316303</v>
      </c>
      <c r="D1562" s="25" t="s">
        <v>2075</v>
      </c>
      <c r="E1562" s="25" t="s">
        <v>2076</v>
      </c>
      <c r="F1562" s="26" t="s">
        <v>215</v>
      </c>
      <c r="G1562" s="26" t="s">
        <v>215</v>
      </c>
      <c r="H1562" s="26"/>
      <c r="I1562" s="26"/>
      <c r="J1562" s="26">
        <v>1</v>
      </c>
      <c r="K1562" s="26">
        <v>138</v>
      </c>
      <c r="L1562" s="26" t="s">
        <v>28</v>
      </c>
      <c r="M1562" s="27">
        <v>2153</v>
      </c>
      <c r="N1562" s="28"/>
      <c r="O1562" s="26" t="s">
        <v>29</v>
      </c>
      <c r="P1562" s="29"/>
      <c r="Q1562" s="6"/>
      <c r="R1562" s="29"/>
      <c r="S1562" s="10"/>
      <c r="T1562" s="8"/>
    </row>
    <row r="1563" spans="1:20" ht="15.75" customHeight="1" x14ac:dyDescent="0.35">
      <c r="A1563" s="25" t="s">
        <v>1914</v>
      </c>
      <c r="B1563" s="25" t="s">
        <v>2074</v>
      </c>
      <c r="C1563" s="26">
        <v>316304</v>
      </c>
      <c r="D1563" s="25" t="s">
        <v>2077</v>
      </c>
      <c r="E1563" s="25" t="s">
        <v>2076</v>
      </c>
      <c r="F1563" s="26" t="s">
        <v>215</v>
      </c>
      <c r="G1563" s="26" t="s">
        <v>215</v>
      </c>
      <c r="H1563" s="26"/>
      <c r="I1563" s="26"/>
      <c r="J1563" s="26">
        <v>1</v>
      </c>
      <c r="K1563" s="26">
        <v>138</v>
      </c>
      <c r="L1563" s="26" t="s">
        <v>28</v>
      </c>
      <c r="M1563" s="27">
        <v>2154</v>
      </c>
      <c r="N1563" s="28"/>
      <c r="O1563" s="26" t="s">
        <v>29</v>
      </c>
      <c r="P1563" s="29"/>
      <c r="Q1563" s="6"/>
      <c r="R1563" s="29"/>
      <c r="S1563" s="10"/>
      <c r="T1563" s="8"/>
    </row>
    <row r="1564" spans="1:20" ht="15.75" customHeight="1" x14ac:dyDescent="0.35">
      <c r="A1564" s="25" t="s">
        <v>1914</v>
      </c>
      <c r="B1564" s="25" t="s">
        <v>2078</v>
      </c>
      <c r="C1564" s="26">
        <v>128741</v>
      </c>
      <c r="D1564" s="25" t="s">
        <v>2079</v>
      </c>
      <c r="E1564" s="25" t="s">
        <v>2080</v>
      </c>
      <c r="F1564" s="26" t="s">
        <v>90</v>
      </c>
      <c r="G1564" s="26" t="s">
        <v>90</v>
      </c>
      <c r="H1564" s="26">
        <v>1</v>
      </c>
      <c r="I1564" s="26">
        <v>2</v>
      </c>
      <c r="J1564" s="26">
        <v>1</v>
      </c>
      <c r="K1564" s="26">
        <v>138</v>
      </c>
      <c r="L1564" s="26" t="s">
        <v>28</v>
      </c>
      <c r="M1564" s="27">
        <v>2155</v>
      </c>
      <c r="N1564" s="28">
        <v>849741.28</v>
      </c>
      <c r="O1564" s="26" t="s">
        <v>29</v>
      </c>
      <c r="P1564" s="29"/>
      <c r="Q1564" s="6"/>
      <c r="R1564" s="29"/>
      <c r="S1564" s="10"/>
      <c r="T1564" s="8">
        <v>1</v>
      </c>
    </row>
    <row r="1565" spans="1:20" ht="15.75" customHeight="1" x14ac:dyDescent="0.35">
      <c r="A1565" s="25" t="s">
        <v>1914</v>
      </c>
      <c r="B1565" s="25" t="s">
        <v>2078</v>
      </c>
      <c r="C1565" s="26">
        <v>128742</v>
      </c>
      <c r="D1565" s="25" t="s">
        <v>2081</v>
      </c>
      <c r="E1565" s="25" t="s">
        <v>2080</v>
      </c>
      <c r="F1565" s="26" t="s">
        <v>90</v>
      </c>
      <c r="G1565" s="26" t="s">
        <v>90</v>
      </c>
      <c r="H1565" s="26">
        <v>1</v>
      </c>
      <c r="I1565" s="26">
        <v>2</v>
      </c>
      <c r="J1565" s="26">
        <v>1</v>
      </c>
      <c r="K1565" s="26">
        <v>138</v>
      </c>
      <c r="L1565" s="26" t="s">
        <v>28</v>
      </c>
      <c r="M1565" s="27">
        <v>2156</v>
      </c>
      <c r="N1565" s="28">
        <v>461553.36</v>
      </c>
      <c r="O1565" s="26" t="s">
        <v>29</v>
      </c>
      <c r="P1565" s="29"/>
      <c r="Q1565" s="6"/>
      <c r="R1565" s="29"/>
      <c r="S1565" s="10"/>
      <c r="T1565" s="8">
        <v>1</v>
      </c>
    </row>
    <row r="1566" spans="1:20" ht="15.75" customHeight="1" x14ac:dyDescent="0.35">
      <c r="A1566" s="25" t="s">
        <v>1914</v>
      </c>
      <c r="B1566" s="25" t="s">
        <v>2050</v>
      </c>
      <c r="C1566" s="26">
        <v>129393</v>
      </c>
      <c r="D1566" s="25" t="s">
        <v>2082</v>
      </c>
      <c r="E1566" s="25" t="s">
        <v>2083</v>
      </c>
      <c r="F1566" s="26" t="s">
        <v>90</v>
      </c>
      <c r="G1566" s="26" t="s">
        <v>90</v>
      </c>
      <c r="H1566" s="26"/>
      <c r="I1566" s="26"/>
      <c r="J1566" s="26">
        <v>1</v>
      </c>
      <c r="K1566" s="26">
        <v>138</v>
      </c>
      <c r="L1566" s="26" t="s">
        <v>28</v>
      </c>
      <c r="M1566" s="27">
        <v>2158</v>
      </c>
      <c r="N1566" s="28"/>
      <c r="O1566" s="26" t="s">
        <v>29</v>
      </c>
      <c r="P1566" s="29"/>
      <c r="Q1566" s="6"/>
      <c r="R1566" s="29"/>
      <c r="S1566" s="10"/>
      <c r="T1566" s="8"/>
    </row>
    <row r="1567" spans="1:20" ht="15.75" customHeight="1" x14ac:dyDescent="0.35">
      <c r="A1567" s="25" t="s">
        <v>2084</v>
      </c>
      <c r="B1567" s="25" t="s">
        <v>2085</v>
      </c>
      <c r="C1567" s="26">
        <v>317105</v>
      </c>
      <c r="D1567" s="25" t="s">
        <v>2086</v>
      </c>
      <c r="E1567" s="25" t="s">
        <v>2087</v>
      </c>
      <c r="F1567" s="26" t="s">
        <v>90</v>
      </c>
      <c r="G1567" s="26" t="s">
        <v>90</v>
      </c>
      <c r="H1567" s="26"/>
      <c r="I1567" s="26"/>
      <c r="J1567" s="26">
        <v>1</v>
      </c>
      <c r="K1567" s="26">
        <v>138</v>
      </c>
      <c r="L1567" s="26" t="s">
        <v>28</v>
      </c>
      <c r="M1567" s="27">
        <v>2164</v>
      </c>
      <c r="N1567" s="28"/>
      <c r="O1567" s="26" t="s">
        <v>29</v>
      </c>
      <c r="P1567" s="29"/>
      <c r="Q1567" s="6"/>
      <c r="R1567" s="29"/>
      <c r="S1567" s="10"/>
      <c r="T1567" s="8"/>
    </row>
    <row r="1568" spans="1:20" ht="15.75" customHeight="1" x14ac:dyDescent="0.35">
      <c r="A1568" s="25" t="s">
        <v>2084</v>
      </c>
      <c r="B1568" s="25" t="s">
        <v>2085</v>
      </c>
      <c r="C1568" s="26">
        <v>317109</v>
      </c>
      <c r="D1568" s="25" t="s">
        <v>2088</v>
      </c>
      <c r="E1568" s="25" t="s">
        <v>2087</v>
      </c>
      <c r="F1568" s="26" t="s">
        <v>90</v>
      </c>
      <c r="G1568" s="26" t="s">
        <v>90</v>
      </c>
      <c r="H1568" s="26"/>
      <c r="I1568" s="26"/>
      <c r="J1568" s="26">
        <v>1</v>
      </c>
      <c r="K1568" s="26">
        <v>138</v>
      </c>
      <c r="L1568" s="26" t="s">
        <v>28</v>
      </c>
      <c r="M1568" s="27">
        <v>2165</v>
      </c>
      <c r="N1568" s="28"/>
      <c r="O1568" s="26" t="s">
        <v>29</v>
      </c>
      <c r="P1568" s="29"/>
      <c r="Q1568" s="6"/>
      <c r="R1568" s="29"/>
      <c r="S1568" s="10"/>
      <c r="T1568" s="8"/>
    </row>
    <row r="1569" spans="1:20" ht="15.75" customHeight="1" x14ac:dyDescent="0.35">
      <c r="A1569" s="25" t="s">
        <v>2084</v>
      </c>
      <c r="B1569" s="25" t="s">
        <v>2085</v>
      </c>
      <c r="C1569" s="26">
        <v>317204</v>
      </c>
      <c r="D1569" s="25" t="s">
        <v>2089</v>
      </c>
      <c r="E1569" s="25" t="s">
        <v>2087</v>
      </c>
      <c r="F1569" s="26" t="s">
        <v>90</v>
      </c>
      <c r="G1569" s="26" t="s">
        <v>90</v>
      </c>
      <c r="H1569" s="26"/>
      <c r="I1569" s="26"/>
      <c r="J1569" s="26">
        <v>1</v>
      </c>
      <c r="K1569" s="26">
        <v>138</v>
      </c>
      <c r="L1569" s="26" t="s">
        <v>28</v>
      </c>
      <c r="M1569" s="27">
        <v>2166</v>
      </c>
      <c r="N1569" s="28"/>
      <c r="O1569" s="26" t="s">
        <v>29</v>
      </c>
      <c r="P1569" s="29"/>
      <c r="Q1569" s="6"/>
      <c r="R1569" s="29"/>
      <c r="S1569" s="10"/>
      <c r="T1569" s="8"/>
    </row>
    <row r="1570" spans="1:20" ht="15.75" customHeight="1" x14ac:dyDescent="0.35">
      <c r="A1570" s="25" t="s">
        <v>2084</v>
      </c>
      <c r="B1570" s="25" t="s">
        <v>2090</v>
      </c>
      <c r="C1570" s="26">
        <v>131412</v>
      </c>
      <c r="D1570" s="25" t="s">
        <v>2091</v>
      </c>
      <c r="E1570" s="25" t="s">
        <v>2092</v>
      </c>
      <c r="F1570" s="26" t="s">
        <v>90</v>
      </c>
      <c r="G1570" s="26" t="s">
        <v>90</v>
      </c>
      <c r="H1570" s="26"/>
      <c r="I1570" s="26"/>
      <c r="J1570" s="26">
        <v>1</v>
      </c>
      <c r="K1570" s="26">
        <v>138</v>
      </c>
      <c r="L1570" s="26" t="s">
        <v>28</v>
      </c>
      <c r="M1570" s="27">
        <v>2168</v>
      </c>
      <c r="N1570" s="28"/>
      <c r="O1570" s="26" t="s">
        <v>29</v>
      </c>
      <c r="P1570" s="29"/>
      <c r="Q1570" s="6"/>
      <c r="R1570" s="29"/>
      <c r="S1570" s="10"/>
      <c r="T1570" s="8"/>
    </row>
    <row r="1571" spans="1:20" ht="15.75" customHeight="1" x14ac:dyDescent="0.35">
      <c r="A1571" s="25" t="s">
        <v>2084</v>
      </c>
      <c r="B1571" s="25" t="s">
        <v>2090</v>
      </c>
      <c r="C1571" s="26">
        <v>211001</v>
      </c>
      <c r="D1571" s="25" t="s">
        <v>2093</v>
      </c>
      <c r="E1571" s="25" t="s">
        <v>2092</v>
      </c>
      <c r="F1571" s="26" t="s">
        <v>90</v>
      </c>
      <c r="G1571" s="26" t="s">
        <v>90</v>
      </c>
      <c r="H1571" s="26"/>
      <c r="I1571" s="26"/>
      <c r="J1571" s="26">
        <v>1</v>
      </c>
      <c r="K1571" s="26">
        <v>138</v>
      </c>
      <c r="L1571" s="26" t="s">
        <v>28</v>
      </c>
      <c r="M1571" s="27">
        <v>2167</v>
      </c>
      <c r="N1571" s="28"/>
      <c r="O1571" s="26" t="s">
        <v>29</v>
      </c>
      <c r="P1571" s="29"/>
      <c r="Q1571" s="6"/>
      <c r="R1571" s="29"/>
      <c r="S1571" s="10"/>
      <c r="T1571" s="8"/>
    </row>
    <row r="1572" spans="1:20" ht="15.75" customHeight="1" x14ac:dyDescent="0.35">
      <c r="A1572" s="25" t="s">
        <v>2084</v>
      </c>
      <c r="B1572" s="25" t="s">
        <v>2094</v>
      </c>
      <c r="C1572" s="26">
        <v>129829</v>
      </c>
      <c r="D1572" s="25" t="s">
        <v>2095</v>
      </c>
      <c r="E1572" s="25" t="s">
        <v>2096</v>
      </c>
      <c r="F1572" s="26" t="s">
        <v>215</v>
      </c>
      <c r="G1572" s="26" t="s">
        <v>215</v>
      </c>
      <c r="H1572" s="26">
        <v>1</v>
      </c>
      <c r="I1572" s="26">
        <v>1</v>
      </c>
      <c r="J1572" s="26">
        <v>1</v>
      </c>
      <c r="K1572" s="26">
        <v>138</v>
      </c>
      <c r="L1572" s="26" t="s">
        <v>28</v>
      </c>
      <c r="M1572" s="27">
        <v>2200</v>
      </c>
      <c r="N1572" s="28">
        <v>130441.77</v>
      </c>
      <c r="O1572" s="26" t="s">
        <v>29</v>
      </c>
      <c r="P1572" s="29"/>
      <c r="Q1572" s="6"/>
      <c r="R1572" s="29"/>
      <c r="S1572" s="10"/>
      <c r="T1572" s="8">
        <v>1</v>
      </c>
    </row>
    <row r="1573" spans="1:20" ht="15.75" customHeight="1" x14ac:dyDescent="0.35">
      <c r="A1573" s="25" t="s">
        <v>2084</v>
      </c>
      <c r="B1573" s="25" t="s">
        <v>2094</v>
      </c>
      <c r="C1573" s="26">
        <v>129860</v>
      </c>
      <c r="D1573" s="25" t="s">
        <v>2097</v>
      </c>
      <c r="E1573" s="25" t="s">
        <v>2098</v>
      </c>
      <c r="F1573" s="26" t="s">
        <v>215</v>
      </c>
      <c r="G1573" s="26" t="s">
        <v>215</v>
      </c>
      <c r="H1573" s="26">
        <v>1</v>
      </c>
      <c r="I1573" s="26">
        <v>3</v>
      </c>
      <c r="J1573" s="26">
        <v>1</v>
      </c>
      <c r="K1573" s="26">
        <v>138</v>
      </c>
      <c r="L1573" s="26" t="s">
        <v>28</v>
      </c>
      <c r="M1573" s="27">
        <v>2182</v>
      </c>
      <c r="N1573" s="28">
        <v>271936.64000000001</v>
      </c>
      <c r="O1573" s="26" t="s">
        <v>29</v>
      </c>
      <c r="P1573" s="29"/>
      <c r="Q1573" s="6"/>
      <c r="R1573" s="29"/>
      <c r="S1573" s="10"/>
      <c r="T1573" s="8">
        <v>1</v>
      </c>
    </row>
    <row r="1574" spans="1:20" ht="15.75" customHeight="1" x14ac:dyDescent="0.35">
      <c r="A1574" s="25" t="s">
        <v>2084</v>
      </c>
      <c r="B1574" s="25" t="s">
        <v>2094</v>
      </c>
      <c r="C1574" s="26">
        <v>129882</v>
      </c>
      <c r="D1574" s="25" t="s">
        <v>2099</v>
      </c>
      <c r="E1574" s="25" t="s">
        <v>2100</v>
      </c>
      <c r="F1574" s="26" t="s">
        <v>90</v>
      </c>
      <c r="G1574" s="26" t="s">
        <v>90</v>
      </c>
      <c r="H1574" s="26">
        <v>1</v>
      </c>
      <c r="I1574" s="26">
        <v>1</v>
      </c>
      <c r="J1574" s="26">
        <v>1</v>
      </c>
      <c r="K1574" s="26">
        <v>138</v>
      </c>
      <c r="L1574" s="26" t="s">
        <v>28</v>
      </c>
      <c r="M1574" s="27">
        <v>2229</v>
      </c>
      <c r="N1574" s="30">
        <v>130441.77</v>
      </c>
      <c r="O1574" s="26" t="s">
        <v>29</v>
      </c>
      <c r="P1574" s="29"/>
      <c r="Q1574" s="6"/>
      <c r="R1574" s="29"/>
      <c r="S1574" s="10"/>
      <c r="T1574" s="8">
        <v>1</v>
      </c>
    </row>
    <row r="1575" spans="1:20" ht="15.75" customHeight="1" x14ac:dyDescent="0.35">
      <c r="A1575" s="25" t="s">
        <v>2084</v>
      </c>
      <c r="B1575" s="25" t="s">
        <v>2094</v>
      </c>
      <c r="C1575" s="26">
        <v>129894</v>
      </c>
      <c r="D1575" s="25" t="s">
        <v>2101</v>
      </c>
      <c r="E1575" s="25" t="s">
        <v>2102</v>
      </c>
      <c r="F1575" s="26" t="s">
        <v>90</v>
      </c>
      <c r="G1575" s="26" t="s">
        <v>90</v>
      </c>
      <c r="H1575" s="26">
        <v>1</v>
      </c>
      <c r="I1575" s="26">
        <v>1</v>
      </c>
      <c r="J1575" s="26">
        <v>1</v>
      </c>
      <c r="K1575" s="26">
        <v>138</v>
      </c>
      <c r="L1575" s="26" t="s">
        <v>28</v>
      </c>
      <c r="M1575" s="27">
        <v>2219</v>
      </c>
      <c r="N1575" s="28">
        <v>130441.77</v>
      </c>
      <c r="O1575" s="26" t="s">
        <v>29</v>
      </c>
      <c r="P1575" s="29"/>
      <c r="Q1575" s="6"/>
      <c r="R1575" s="29"/>
      <c r="S1575" s="10"/>
      <c r="T1575" s="8">
        <v>1</v>
      </c>
    </row>
    <row r="1576" spans="1:20" ht="15.75" customHeight="1" x14ac:dyDescent="0.35">
      <c r="A1576" s="25" t="s">
        <v>2084</v>
      </c>
      <c r="B1576" s="25" t="s">
        <v>2094</v>
      </c>
      <c r="C1576" s="26">
        <v>129907</v>
      </c>
      <c r="D1576" s="25" t="s">
        <v>2103</v>
      </c>
      <c r="E1576" s="25" t="s">
        <v>2102</v>
      </c>
      <c r="F1576" s="26" t="s">
        <v>90</v>
      </c>
      <c r="G1576" s="26" t="s">
        <v>90</v>
      </c>
      <c r="H1576" s="26">
        <v>1</v>
      </c>
      <c r="I1576" s="26">
        <v>1</v>
      </c>
      <c r="J1576" s="26">
        <v>1</v>
      </c>
      <c r="K1576" s="26">
        <v>138</v>
      </c>
      <c r="L1576" s="26" t="s">
        <v>28</v>
      </c>
      <c r="M1576" s="27">
        <v>2238</v>
      </c>
      <c r="N1576" s="30">
        <v>130441.77</v>
      </c>
      <c r="O1576" s="26" t="s">
        <v>29</v>
      </c>
      <c r="P1576" s="29"/>
      <c r="Q1576" s="6"/>
      <c r="R1576" s="29"/>
      <c r="S1576" s="10"/>
      <c r="T1576" s="8">
        <v>1</v>
      </c>
    </row>
    <row r="1577" spans="1:20" ht="15.75" customHeight="1" x14ac:dyDescent="0.35">
      <c r="A1577" s="25" t="s">
        <v>2084</v>
      </c>
      <c r="B1577" s="25" t="s">
        <v>2094</v>
      </c>
      <c r="C1577" s="26">
        <v>129908</v>
      </c>
      <c r="D1577" s="25" t="s">
        <v>2104</v>
      </c>
      <c r="E1577" s="25" t="s">
        <v>2102</v>
      </c>
      <c r="F1577" s="26" t="s">
        <v>90</v>
      </c>
      <c r="G1577" s="26" t="s">
        <v>90</v>
      </c>
      <c r="H1577" s="26">
        <v>1</v>
      </c>
      <c r="I1577" s="26">
        <v>3</v>
      </c>
      <c r="J1577" s="26">
        <v>1</v>
      </c>
      <c r="K1577" s="26">
        <v>138</v>
      </c>
      <c r="L1577" s="26" t="s">
        <v>28</v>
      </c>
      <c r="M1577" s="27">
        <v>2239</v>
      </c>
      <c r="N1577" s="30">
        <v>271936.64000000001</v>
      </c>
      <c r="O1577" s="26" t="s">
        <v>29</v>
      </c>
      <c r="P1577" s="29"/>
      <c r="Q1577" s="6"/>
      <c r="R1577" s="29"/>
      <c r="S1577" s="10"/>
      <c r="T1577" s="8">
        <v>1</v>
      </c>
    </row>
    <row r="1578" spans="1:20" ht="15.75" customHeight="1" x14ac:dyDescent="0.35">
      <c r="A1578" s="25" t="s">
        <v>2084</v>
      </c>
      <c r="B1578" s="25" t="s">
        <v>2094</v>
      </c>
      <c r="C1578" s="26">
        <v>129910</v>
      </c>
      <c r="D1578" s="25" t="s">
        <v>2105</v>
      </c>
      <c r="E1578" s="25" t="s">
        <v>2102</v>
      </c>
      <c r="F1578" s="26" t="s">
        <v>90</v>
      </c>
      <c r="G1578" s="26" t="s">
        <v>90</v>
      </c>
      <c r="H1578" s="26">
        <v>1</v>
      </c>
      <c r="I1578" s="26">
        <v>1</v>
      </c>
      <c r="J1578" s="26">
        <v>1</v>
      </c>
      <c r="K1578" s="26">
        <v>138</v>
      </c>
      <c r="L1578" s="26" t="s">
        <v>28</v>
      </c>
      <c r="M1578" s="27">
        <v>2240</v>
      </c>
      <c r="N1578" s="30">
        <v>130441.77</v>
      </c>
      <c r="O1578" s="26" t="s">
        <v>29</v>
      </c>
      <c r="P1578" s="29"/>
      <c r="Q1578" s="6"/>
      <c r="R1578" s="29"/>
      <c r="S1578" s="10"/>
      <c r="T1578" s="8">
        <v>1</v>
      </c>
    </row>
    <row r="1579" spans="1:20" ht="15.75" customHeight="1" x14ac:dyDescent="0.35">
      <c r="A1579" s="25" t="s">
        <v>2084</v>
      </c>
      <c r="B1579" s="25" t="s">
        <v>2094</v>
      </c>
      <c r="C1579" s="26">
        <v>129913</v>
      </c>
      <c r="D1579" s="25" t="s">
        <v>2106</v>
      </c>
      <c r="E1579" s="25" t="s">
        <v>2102</v>
      </c>
      <c r="F1579" s="26" t="s">
        <v>90</v>
      </c>
      <c r="G1579" s="26" t="s">
        <v>90</v>
      </c>
      <c r="H1579" s="26">
        <v>1</v>
      </c>
      <c r="I1579" s="26">
        <v>1</v>
      </c>
      <c r="J1579" s="26">
        <v>1</v>
      </c>
      <c r="K1579" s="26">
        <v>138</v>
      </c>
      <c r="L1579" s="26" t="s">
        <v>28</v>
      </c>
      <c r="M1579" s="27">
        <v>2242</v>
      </c>
      <c r="N1579" s="30">
        <v>130441.77</v>
      </c>
      <c r="O1579" s="26" t="s">
        <v>29</v>
      </c>
      <c r="P1579" s="29"/>
      <c r="Q1579" s="6"/>
      <c r="R1579" s="29"/>
      <c r="S1579" s="10"/>
      <c r="T1579" s="8">
        <v>1</v>
      </c>
    </row>
    <row r="1580" spans="1:20" ht="15.75" customHeight="1" x14ac:dyDescent="0.35">
      <c r="A1580" s="25" t="s">
        <v>2084</v>
      </c>
      <c r="B1580" s="25" t="s">
        <v>2094</v>
      </c>
      <c r="C1580" s="26">
        <v>129916</v>
      </c>
      <c r="D1580" s="25" t="s">
        <v>2107</v>
      </c>
      <c r="E1580" s="25" t="s">
        <v>2102</v>
      </c>
      <c r="F1580" s="26" t="s">
        <v>90</v>
      </c>
      <c r="G1580" s="26" t="s">
        <v>90</v>
      </c>
      <c r="H1580" s="26">
        <v>1</v>
      </c>
      <c r="I1580" s="26">
        <v>1</v>
      </c>
      <c r="J1580" s="26">
        <v>1</v>
      </c>
      <c r="K1580" s="26">
        <v>138</v>
      </c>
      <c r="L1580" s="26" t="s">
        <v>28</v>
      </c>
      <c r="M1580" s="27">
        <v>2249</v>
      </c>
      <c r="N1580" s="30">
        <v>130441.77</v>
      </c>
      <c r="O1580" s="26" t="s">
        <v>29</v>
      </c>
      <c r="P1580" s="29"/>
      <c r="Q1580" s="6"/>
      <c r="R1580" s="29"/>
      <c r="S1580" s="10"/>
      <c r="T1580" s="8">
        <v>1</v>
      </c>
    </row>
    <row r="1581" spans="1:20" ht="15.75" customHeight="1" x14ac:dyDescent="0.35">
      <c r="A1581" s="25" t="s">
        <v>2084</v>
      </c>
      <c r="B1581" s="25" t="s">
        <v>2094</v>
      </c>
      <c r="C1581" s="26">
        <v>129931</v>
      </c>
      <c r="D1581" s="25" t="s">
        <v>2108</v>
      </c>
      <c r="E1581" s="25" t="s">
        <v>2109</v>
      </c>
      <c r="F1581" s="26" t="s">
        <v>215</v>
      </c>
      <c r="G1581" s="26" t="s">
        <v>215</v>
      </c>
      <c r="H1581" s="26">
        <v>1</v>
      </c>
      <c r="I1581" s="26">
        <v>1</v>
      </c>
      <c r="J1581" s="26">
        <v>1</v>
      </c>
      <c r="K1581" s="26">
        <v>138</v>
      </c>
      <c r="L1581" s="26" t="s">
        <v>28</v>
      </c>
      <c r="M1581" s="27">
        <v>2171</v>
      </c>
      <c r="N1581" s="28">
        <v>130441.77</v>
      </c>
      <c r="O1581" s="26" t="s">
        <v>29</v>
      </c>
      <c r="P1581" s="29"/>
      <c r="Q1581" s="6"/>
      <c r="R1581" s="29"/>
      <c r="S1581" s="10"/>
      <c r="T1581" s="8">
        <v>1</v>
      </c>
    </row>
    <row r="1582" spans="1:20" ht="15.75" customHeight="1" x14ac:dyDescent="0.35">
      <c r="A1582" s="25" t="s">
        <v>2084</v>
      </c>
      <c r="B1582" s="25" t="s">
        <v>2094</v>
      </c>
      <c r="C1582" s="26">
        <v>129939</v>
      </c>
      <c r="D1582" s="25" t="s">
        <v>2110</v>
      </c>
      <c r="E1582" s="25" t="s">
        <v>2109</v>
      </c>
      <c r="F1582" s="26" t="s">
        <v>215</v>
      </c>
      <c r="G1582" s="26" t="s">
        <v>215</v>
      </c>
      <c r="H1582" s="26">
        <v>1</v>
      </c>
      <c r="I1582" s="26">
        <v>1</v>
      </c>
      <c r="J1582" s="26">
        <v>1</v>
      </c>
      <c r="K1582" s="26">
        <v>138</v>
      </c>
      <c r="L1582" s="26" t="s">
        <v>28</v>
      </c>
      <c r="M1582" s="27">
        <v>2192</v>
      </c>
      <c r="N1582" s="28">
        <v>130441.77</v>
      </c>
      <c r="O1582" s="26" t="s">
        <v>29</v>
      </c>
      <c r="P1582" s="29"/>
      <c r="Q1582" s="6"/>
      <c r="R1582" s="29"/>
      <c r="S1582" s="10"/>
      <c r="T1582" s="8">
        <v>1</v>
      </c>
    </row>
    <row r="1583" spans="1:20" ht="15.75" customHeight="1" x14ac:dyDescent="0.35">
      <c r="A1583" s="25" t="s">
        <v>2084</v>
      </c>
      <c r="B1583" s="25" t="s">
        <v>2094</v>
      </c>
      <c r="C1583" s="26">
        <v>129950</v>
      </c>
      <c r="D1583" s="25" t="s">
        <v>2111</v>
      </c>
      <c r="E1583" s="25" t="s">
        <v>2109</v>
      </c>
      <c r="F1583" s="26" t="s">
        <v>215</v>
      </c>
      <c r="G1583" s="26" t="s">
        <v>215</v>
      </c>
      <c r="H1583" s="26">
        <v>1</v>
      </c>
      <c r="I1583" s="26">
        <v>1</v>
      </c>
      <c r="J1583" s="26">
        <v>1</v>
      </c>
      <c r="K1583" s="26">
        <v>138</v>
      </c>
      <c r="L1583" s="26" t="s">
        <v>28</v>
      </c>
      <c r="M1583" s="27">
        <v>2209</v>
      </c>
      <c r="N1583" s="28">
        <v>130441.77</v>
      </c>
      <c r="O1583" s="26" t="s">
        <v>29</v>
      </c>
      <c r="P1583" s="29"/>
      <c r="Q1583" s="6"/>
      <c r="R1583" s="29"/>
      <c r="S1583" s="10"/>
      <c r="T1583" s="8">
        <v>1</v>
      </c>
    </row>
    <row r="1584" spans="1:20" ht="15.75" customHeight="1" x14ac:dyDescent="0.35">
      <c r="A1584" s="25" t="s">
        <v>2084</v>
      </c>
      <c r="B1584" s="25" t="s">
        <v>2094</v>
      </c>
      <c r="C1584" s="26">
        <v>129957</v>
      </c>
      <c r="D1584" s="25" t="s">
        <v>2112</v>
      </c>
      <c r="E1584" s="25" t="s">
        <v>208</v>
      </c>
      <c r="F1584" s="26" t="s">
        <v>215</v>
      </c>
      <c r="G1584" s="26" t="s">
        <v>215</v>
      </c>
      <c r="H1584" s="26">
        <v>1</v>
      </c>
      <c r="I1584" s="26">
        <v>1</v>
      </c>
      <c r="J1584" s="26">
        <v>1</v>
      </c>
      <c r="K1584" s="26">
        <v>138</v>
      </c>
      <c r="L1584" s="26" t="s">
        <v>28</v>
      </c>
      <c r="M1584" s="27">
        <v>2173</v>
      </c>
      <c r="N1584" s="28">
        <v>130441.77</v>
      </c>
      <c r="O1584" s="26" t="s">
        <v>29</v>
      </c>
      <c r="P1584" s="29"/>
      <c r="Q1584" s="6"/>
      <c r="R1584" s="29"/>
      <c r="S1584" s="10"/>
      <c r="T1584" s="8">
        <v>1</v>
      </c>
    </row>
    <row r="1585" spans="1:20" ht="15.75" customHeight="1" x14ac:dyDescent="0.35">
      <c r="A1585" s="25" t="s">
        <v>2084</v>
      </c>
      <c r="B1585" s="25" t="s">
        <v>2094</v>
      </c>
      <c r="C1585" s="26">
        <v>129964</v>
      </c>
      <c r="D1585" s="25" t="s">
        <v>2113</v>
      </c>
      <c r="E1585" s="25" t="s">
        <v>208</v>
      </c>
      <c r="F1585" s="26" t="s">
        <v>215</v>
      </c>
      <c r="G1585" s="26" t="s">
        <v>215</v>
      </c>
      <c r="H1585" s="26">
        <v>1</v>
      </c>
      <c r="I1585" s="26">
        <v>1</v>
      </c>
      <c r="J1585" s="26">
        <v>1</v>
      </c>
      <c r="K1585" s="26">
        <v>138</v>
      </c>
      <c r="L1585" s="26" t="s">
        <v>28</v>
      </c>
      <c r="M1585" s="27">
        <v>2196</v>
      </c>
      <c r="N1585" s="28">
        <v>130441.77</v>
      </c>
      <c r="O1585" s="26" t="s">
        <v>29</v>
      </c>
      <c r="P1585" s="29"/>
      <c r="Q1585" s="6"/>
      <c r="R1585" s="29"/>
      <c r="S1585" s="10"/>
      <c r="T1585" s="8">
        <v>1</v>
      </c>
    </row>
    <row r="1586" spans="1:20" ht="15.75" customHeight="1" x14ac:dyDescent="0.35">
      <c r="A1586" s="25" t="s">
        <v>2084</v>
      </c>
      <c r="B1586" s="25" t="s">
        <v>2094</v>
      </c>
      <c r="C1586" s="26">
        <v>129969</v>
      </c>
      <c r="D1586" s="25" t="s">
        <v>2114</v>
      </c>
      <c r="E1586" s="25" t="s">
        <v>208</v>
      </c>
      <c r="F1586" s="26" t="s">
        <v>215</v>
      </c>
      <c r="G1586" s="26" t="s">
        <v>215</v>
      </c>
      <c r="H1586" s="26">
        <v>1</v>
      </c>
      <c r="I1586" s="26">
        <v>1</v>
      </c>
      <c r="J1586" s="26">
        <v>1</v>
      </c>
      <c r="K1586" s="26">
        <v>138</v>
      </c>
      <c r="L1586" s="26" t="s">
        <v>28</v>
      </c>
      <c r="M1586" s="27">
        <v>2203</v>
      </c>
      <c r="N1586" s="28">
        <v>130441.77</v>
      </c>
      <c r="O1586" s="26" t="s">
        <v>29</v>
      </c>
      <c r="P1586" s="29"/>
      <c r="Q1586" s="6"/>
      <c r="R1586" s="29"/>
      <c r="S1586" s="10"/>
      <c r="T1586" s="8">
        <v>1</v>
      </c>
    </row>
    <row r="1587" spans="1:20" ht="15.75" customHeight="1" x14ac:dyDescent="0.35">
      <c r="A1587" s="25" t="s">
        <v>2084</v>
      </c>
      <c r="B1587" s="25" t="s">
        <v>2094</v>
      </c>
      <c r="C1587" s="26">
        <v>129970</v>
      </c>
      <c r="D1587" s="25" t="s">
        <v>2115</v>
      </c>
      <c r="E1587" s="25" t="s">
        <v>208</v>
      </c>
      <c r="F1587" s="26" t="s">
        <v>215</v>
      </c>
      <c r="G1587" s="26" t="s">
        <v>215</v>
      </c>
      <c r="H1587" s="26">
        <v>1</v>
      </c>
      <c r="I1587" s="26">
        <v>1</v>
      </c>
      <c r="J1587" s="26">
        <v>1</v>
      </c>
      <c r="K1587" s="26">
        <v>138</v>
      </c>
      <c r="L1587" s="26" t="s">
        <v>28</v>
      </c>
      <c r="M1587" s="27">
        <v>2205</v>
      </c>
      <c r="N1587" s="28">
        <v>130441.77</v>
      </c>
      <c r="O1587" s="26" t="s">
        <v>29</v>
      </c>
      <c r="P1587" s="29"/>
      <c r="Q1587" s="6"/>
      <c r="R1587" s="29"/>
      <c r="S1587" s="10"/>
      <c r="T1587" s="8">
        <v>1</v>
      </c>
    </row>
    <row r="1588" spans="1:20" ht="15.75" customHeight="1" x14ac:dyDescent="0.35">
      <c r="A1588" s="25" t="s">
        <v>2084</v>
      </c>
      <c r="B1588" s="25" t="s">
        <v>2094</v>
      </c>
      <c r="C1588" s="26">
        <v>129971</v>
      </c>
      <c r="D1588" s="25" t="s">
        <v>2116</v>
      </c>
      <c r="E1588" s="25" t="s">
        <v>208</v>
      </c>
      <c r="F1588" s="26" t="s">
        <v>215</v>
      </c>
      <c r="G1588" s="26" t="s">
        <v>215</v>
      </c>
      <c r="H1588" s="26">
        <v>1</v>
      </c>
      <c r="I1588" s="26">
        <v>1</v>
      </c>
      <c r="J1588" s="26">
        <v>1</v>
      </c>
      <c r="K1588" s="26">
        <v>138</v>
      </c>
      <c r="L1588" s="26" t="s">
        <v>28</v>
      </c>
      <c r="M1588" s="27">
        <v>2206</v>
      </c>
      <c r="N1588" s="28">
        <v>130441.77</v>
      </c>
      <c r="O1588" s="26" t="s">
        <v>29</v>
      </c>
      <c r="P1588" s="29"/>
      <c r="Q1588" s="6"/>
      <c r="R1588" s="29"/>
      <c r="S1588" s="10"/>
      <c r="T1588" s="8">
        <v>1</v>
      </c>
    </row>
    <row r="1589" spans="1:20" ht="15.75" customHeight="1" x14ac:dyDescent="0.35">
      <c r="A1589" s="25" t="s">
        <v>2084</v>
      </c>
      <c r="B1589" s="25" t="s">
        <v>2094</v>
      </c>
      <c r="C1589" s="26">
        <v>129974</v>
      </c>
      <c r="D1589" s="25" t="s">
        <v>2117</v>
      </c>
      <c r="E1589" s="25" t="s">
        <v>208</v>
      </c>
      <c r="F1589" s="26" t="s">
        <v>215</v>
      </c>
      <c r="G1589" s="26" t="s">
        <v>215</v>
      </c>
      <c r="H1589" s="26">
        <v>1</v>
      </c>
      <c r="I1589" s="26">
        <v>1</v>
      </c>
      <c r="J1589" s="26">
        <v>1</v>
      </c>
      <c r="K1589" s="26">
        <v>138</v>
      </c>
      <c r="L1589" s="26" t="s">
        <v>28</v>
      </c>
      <c r="M1589" s="27">
        <v>2216</v>
      </c>
      <c r="N1589" s="30">
        <v>130441.77</v>
      </c>
      <c r="O1589" s="26" t="s">
        <v>29</v>
      </c>
      <c r="P1589" s="29"/>
      <c r="Q1589" s="6"/>
      <c r="R1589" s="29"/>
      <c r="S1589" s="10"/>
      <c r="T1589" s="8">
        <v>1</v>
      </c>
    </row>
    <row r="1590" spans="1:20" ht="15.75" customHeight="1" x14ac:dyDescent="0.35">
      <c r="A1590" s="25" t="s">
        <v>2084</v>
      </c>
      <c r="B1590" s="25" t="s">
        <v>2094</v>
      </c>
      <c r="C1590" s="26">
        <v>129976</v>
      </c>
      <c r="D1590" s="25" t="s">
        <v>2118</v>
      </c>
      <c r="E1590" s="25" t="s">
        <v>208</v>
      </c>
      <c r="F1590" s="26" t="s">
        <v>215</v>
      </c>
      <c r="G1590" s="26" t="s">
        <v>215</v>
      </c>
      <c r="H1590" s="26">
        <v>1</v>
      </c>
      <c r="I1590" s="26">
        <v>1</v>
      </c>
      <c r="J1590" s="26">
        <v>1</v>
      </c>
      <c r="K1590" s="26">
        <v>138</v>
      </c>
      <c r="L1590" s="26" t="s">
        <v>28</v>
      </c>
      <c r="M1590" s="27">
        <v>2169</v>
      </c>
      <c r="N1590" s="28">
        <v>130441.77</v>
      </c>
      <c r="O1590" s="26" t="s">
        <v>29</v>
      </c>
      <c r="P1590" s="29"/>
      <c r="Q1590" s="6"/>
      <c r="R1590" s="29"/>
      <c r="S1590" s="10"/>
      <c r="T1590" s="8">
        <v>1</v>
      </c>
    </row>
    <row r="1591" spans="1:20" ht="15.75" customHeight="1" x14ac:dyDescent="0.35">
      <c r="A1591" s="25" t="s">
        <v>2084</v>
      </c>
      <c r="B1591" s="25" t="s">
        <v>2094</v>
      </c>
      <c r="C1591" s="26">
        <v>129983</v>
      </c>
      <c r="D1591" s="25" t="s">
        <v>2119</v>
      </c>
      <c r="E1591" s="25" t="s">
        <v>208</v>
      </c>
      <c r="F1591" s="26" t="s">
        <v>215</v>
      </c>
      <c r="G1591" s="26" t="s">
        <v>215</v>
      </c>
      <c r="H1591" s="26">
        <v>1</v>
      </c>
      <c r="I1591" s="26">
        <v>1</v>
      </c>
      <c r="J1591" s="26">
        <v>1</v>
      </c>
      <c r="K1591" s="26">
        <v>138</v>
      </c>
      <c r="L1591" s="26" t="s">
        <v>28</v>
      </c>
      <c r="M1591" s="27">
        <v>2188</v>
      </c>
      <c r="N1591" s="28">
        <v>130441.77</v>
      </c>
      <c r="O1591" s="26" t="s">
        <v>29</v>
      </c>
      <c r="P1591" s="29"/>
      <c r="Q1591" s="6"/>
      <c r="R1591" s="29"/>
      <c r="S1591" s="10"/>
      <c r="T1591" s="8">
        <v>1</v>
      </c>
    </row>
    <row r="1592" spans="1:20" ht="15.75" customHeight="1" x14ac:dyDescent="0.35">
      <c r="A1592" s="25" t="s">
        <v>2084</v>
      </c>
      <c r="B1592" s="25" t="s">
        <v>2094</v>
      </c>
      <c r="C1592" s="26">
        <v>129985</v>
      </c>
      <c r="D1592" s="25" t="s">
        <v>2120</v>
      </c>
      <c r="E1592" s="25" t="s">
        <v>208</v>
      </c>
      <c r="F1592" s="26" t="s">
        <v>215</v>
      </c>
      <c r="G1592" s="26" t="s">
        <v>215</v>
      </c>
      <c r="H1592" s="26">
        <v>1</v>
      </c>
      <c r="I1592" s="26">
        <v>1</v>
      </c>
      <c r="J1592" s="26">
        <v>1</v>
      </c>
      <c r="K1592" s="26">
        <v>138</v>
      </c>
      <c r="L1592" s="26" t="s">
        <v>28</v>
      </c>
      <c r="M1592" s="27">
        <v>2195</v>
      </c>
      <c r="N1592" s="28">
        <v>130441.77</v>
      </c>
      <c r="O1592" s="26" t="s">
        <v>29</v>
      </c>
      <c r="P1592" s="29"/>
      <c r="Q1592" s="6"/>
      <c r="R1592" s="29"/>
      <c r="S1592" s="10"/>
      <c r="T1592" s="8">
        <v>1</v>
      </c>
    </row>
    <row r="1593" spans="1:20" ht="15.75" customHeight="1" x14ac:dyDescent="0.35">
      <c r="A1593" s="25" t="s">
        <v>2084</v>
      </c>
      <c r="B1593" s="25" t="s">
        <v>2094</v>
      </c>
      <c r="C1593" s="26">
        <v>129988</v>
      </c>
      <c r="D1593" s="25" t="s">
        <v>2121</v>
      </c>
      <c r="E1593" s="25" t="s">
        <v>208</v>
      </c>
      <c r="F1593" s="26" t="s">
        <v>215</v>
      </c>
      <c r="G1593" s="26" t="s">
        <v>215</v>
      </c>
      <c r="H1593" s="26">
        <v>1</v>
      </c>
      <c r="I1593" s="26">
        <v>1</v>
      </c>
      <c r="J1593" s="26">
        <v>1</v>
      </c>
      <c r="K1593" s="26">
        <v>138</v>
      </c>
      <c r="L1593" s="26" t="s">
        <v>28</v>
      </c>
      <c r="M1593" s="27">
        <v>2207</v>
      </c>
      <c r="N1593" s="28">
        <v>130441.77</v>
      </c>
      <c r="O1593" s="26" t="s">
        <v>29</v>
      </c>
      <c r="P1593" s="29"/>
      <c r="Q1593" s="6"/>
      <c r="R1593" s="29"/>
      <c r="S1593" s="10"/>
      <c r="T1593" s="8">
        <v>1</v>
      </c>
    </row>
    <row r="1594" spans="1:20" ht="15.75" customHeight="1" x14ac:dyDescent="0.35">
      <c r="A1594" s="25" t="s">
        <v>2084</v>
      </c>
      <c r="B1594" s="25" t="s">
        <v>2094</v>
      </c>
      <c r="C1594" s="26">
        <v>129990</v>
      </c>
      <c r="D1594" s="25" t="s">
        <v>2122</v>
      </c>
      <c r="E1594" s="25" t="s">
        <v>208</v>
      </c>
      <c r="F1594" s="26" t="s">
        <v>215</v>
      </c>
      <c r="G1594" s="26" t="s">
        <v>215</v>
      </c>
      <c r="H1594" s="26">
        <v>1</v>
      </c>
      <c r="I1594" s="26">
        <v>1</v>
      </c>
      <c r="J1594" s="26">
        <v>1</v>
      </c>
      <c r="K1594" s="26">
        <v>138</v>
      </c>
      <c r="L1594" s="26" t="s">
        <v>28</v>
      </c>
      <c r="M1594" s="27">
        <v>2211</v>
      </c>
      <c r="N1594" s="28">
        <v>130441.77</v>
      </c>
      <c r="O1594" s="26" t="s">
        <v>29</v>
      </c>
      <c r="P1594" s="29"/>
      <c r="Q1594" s="6"/>
      <c r="R1594" s="29"/>
      <c r="S1594" s="10"/>
      <c r="T1594" s="8">
        <v>1</v>
      </c>
    </row>
    <row r="1595" spans="1:20" ht="15.75" customHeight="1" x14ac:dyDescent="0.35">
      <c r="A1595" s="25" t="s">
        <v>2084</v>
      </c>
      <c r="B1595" s="25" t="s">
        <v>2094</v>
      </c>
      <c r="C1595" s="26">
        <v>130012</v>
      </c>
      <c r="D1595" s="25" t="s">
        <v>2123</v>
      </c>
      <c r="E1595" s="25" t="s">
        <v>2124</v>
      </c>
      <c r="F1595" s="26" t="s">
        <v>491</v>
      </c>
      <c r="G1595" s="26" t="s">
        <v>491</v>
      </c>
      <c r="H1595" s="26">
        <v>1</v>
      </c>
      <c r="I1595" s="26">
        <v>1</v>
      </c>
      <c r="J1595" s="26">
        <v>1</v>
      </c>
      <c r="K1595" s="26">
        <v>138</v>
      </c>
      <c r="L1595" s="26" t="s">
        <v>28</v>
      </c>
      <c r="M1595" s="27">
        <v>2266</v>
      </c>
      <c r="N1595" s="28">
        <v>130441.77</v>
      </c>
      <c r="O1595" s="26" t="s">
        <v>29</v>
      </c>
      <c r="P1595" s="29"/>
      <c r="Q1595" s="6"/>
      <c r="R1595" s="29"/>
      <c r="S1595" s="10"/>
      <c r="T1595" s="8">
        <v>1</v>
      </c>
    </row>
    <row r="1596" spans="1:20" ht="15.75" customHeight="1" x14ac:dyDescent="0.35">
      <c r="A1596" s="25" t="s">
        <v>2084</v>
      </c>
      <c r="B1596" s="25" t="s">
        <v>2094</v>
      </c>
      <c r="C1596" s="26">
        <v>130016</v>
      </c>
      <c r="D1596" s="25" t="s">
        <v>2125</v>
      </c>
      <c r="E1596" s="25" t="s">
        <v>2124</v>
      </c>
      <c r="F1596" s="26" t="s">
        <v>491</v>
      </c>
      <c r="G1596" s="26" t="s">
        <v>491</v>
      </c>
      <c r="H1596" s="26">
        <v>1</v>
      </c>
      <c r="I1596" s="26">
        <v>1</v>
      </c>
      <c r="J1596" s="26">
        <v>1</v>
      </c>
      <c r="K1596" s="26">
        <v>138</v>
      </c>
      <c r="L1596" s="26" t="s">
        <v>28</v>
      </c>
      <c r="M1596" s="27">
        <v>2269</v>
      </c>
      <c r="N1596" s="28">
        <v>130441.77</v>
      </c>
      <c r="O1596" s="26" t="s">
        <v>29</v>
      </c>
      <c r="P1596" s="29"/>
      <c r="Q1596" s="6"/>
      <c r="R1596" s="29"/>
      <c r="S1596" s="10"/>
      <c r="T1596" s="8">
        <v>1</v>
      </c>
    </row>
    <row r="1597" spans="1:20" ht="15.75" customHeight="1" x14ac:dyDescent="0.35">
      <c r="A1597" s="25" t="s">
        <v>2084</v>
      </c>
      <c r="B1597" s="25" t="s">
        <v>2094</v>
      </c>
      <c r="C1597" s="26">
        <v>130053</v>
      </c>
      <c r="D1597" s="25" t="s">
        <v>2126</v>
      </c>
      <c r="E1597" s="25" t="s">
        <v>2127</v>
      </c>
      <c r="F1597" s="26" t="s">
        <v>90</v>
      </c>
      <c r="G1597" s="26" t="s">
        <v>90</v>
      </c>
      <c r="H1597" s="26">
        <v>1</v>
      </c>
      <c r="I1597" s="26">
        <v>1</v>
      </c>
      <c r="J1597" s="26">
        <v>1</v>
      </c>
      <c r="K1597" s="26">
        <v>138</v>
      </c>
      <c r="L1597" s="26" t="s">
        <v>28</v>
      </c>
      <c r="M1597" s="27">
        <v>2232</v>
      </c>
      <c r="N1597" s="30">
        <v>130441.77</v>
      </c>
      <c r="O1597" s="26" t="s">
        <v>29</v>
      </c>
      <c r="P1597" s="29"/>
      <c r="Q1597" s="6"/>
      <c r="R1597" s="29"/>
      <c r="S1597" s="10"/>
      <c r="T1597" s="8">
        <v>1</v>
      </c>
    </row>
    <row r="1598" spans="1:20" ht="15.75" customHeight="1" x14ac:dyDescent="0.35">
      <c r="A1598" s="25" t="s">
        <v>2084</v>
      </c>
      <c r="B1598" s="25" t="s">
        <v>2094</v>
      </c>
      <c r="C1598" s="26">
        <v>130059</v>
      </c>
      <c r="D1598" s="25" t="s">
        <v>2128</v>
      </c>
      <c r="E1598" s="25" t="s">
        <v>2127</v>
      </c>
      <c r="F1598" s="26" t="s">
        <v>90</v>
      </c>
      <c r="G1598" s="26" t="s">
        <v>90</v>
      </c>
      <c r="H1598" s="26">
        <v>1</v>
      </c>
      <c r="I1598" s="26">
        <v>1</v>
      </c>
      <c r="J1598" s="26">
        <v>1</v>
      </c>
      <c r="K1598" s="26">
        <v>138</v>
      </c>
      <c r="L1598" s="26" t="s">
        <v>28</v>
      </c>
      <c r="M1598" s="27">
        <v>2248</v>
      </c>
      <c r="N1598" s="30">
        <v>130441.77</v>
      </c>
      <c r="O1598" s="26" t="s">
        <v>29</v>
      </c>
      <c r="P1598" s="29"/>
      <c r="Q1598" s="6"/>
      <c r="R1598" s="29"/>
      <c r="S1598" s="10"/>
      <c r="T1598" s="8">
        <v>1</v>
      </c>
    </row>
    <row r="1599" spans="1:20" ht="15.75" customHeight="1" x14ac:dyDescent="0.35">
      <c r="A1599" s="25" t="s">
        <v>2084</v>
      </c>
      <c r="B1599" s="25" t="s">
        <v>2094</v>
      </c>
      <c r="C1599" s="26">
        <v>130063</v>
      </c>
      <c r="D1599" s="25" t="s">
        <v>2129</v>
      </c>
      <c r="E1599" s="25" t="s">
        <v>2127</v>
      </c>
      <c r="F1599" s="26" t="s">
        <v>90</v>
      </c>
      <c r="G1599" s="26" t="s">
        <v>90</v>
      </c>
      <c r="H1599" s="26">
        <v>1</v>
      </c>
      <c r="I1599" s="26">
        <v>1</v>
      </c>
      <c r="J1599" s="26">
        <v>1</v>
      </c>
      <c r="K1599" s="26">
        <v>138</v>
      </c>
      <c r="L1599" s="26" t="s">
        <v>28</v>
      </c>
      <c r="M1599" s="27">
        <v>2254</v>
      </c>
      <c r="N1599" s="28">
        <v>130441.77</v>
      </c>
      <c r="O1599" s="26" t="s">
        <v>29</v>
      </c>
      <c r="P1599" s="29"/>
      <c r="Q1599" s="6"/>
      <c r="R1599" s="29"/>
      <c r="S1599" s="10"/>
      <c r="T1599" s="8">
        <v>1</v>
      </c>
    </row>
    <row r="1600" spans="1:20" ht="15.75" customHeight="1" x14ac:dyDescent="0.35">
      <c r="A1600" s="25" t="s">
        <v>2084</v>
      </c>
      <c r="B1600" s="25" t="s">
        <v>2094</v>
      </c>
      <c r="C1600" s="26">
        <v>130067</v>
      </c>
      <c r="D1600" s="25" t="s">
        <v>2130</v>
      </c>
      <c r="E1600" s="25" t="s">
        <v>2127</v>
      </c>
      <c r="F1600" s="26" t="s">
        <v>90</v>
      </c>
      <c r="G1600" s="26" t="s">
        <v>90</v>
      </c>
      <c r="H1600" s="26">
        <v>1</v>
      </c>
      <c r="I1600" s="26">
        <v>1</v>
      </c>
      <c r="J1600" s="37">
        <v>130441.77</v>
      </c>
      <c r="K1600" s="26">
        <v>138</v>
      </c>
      <c r="L1600" s="26" t="s">
        <v>28</v>
      </c>
      <c r="M1600" s="27">
        <v>2264</v>
      </c>
      <c r="N1600" s="30">
        <v>130441.77</v>
      </c>
      <c r="O1600" s="26" t="s">
        <v>29</v>
      </c>
      <c r="P1600" s="29"/>
      <c r="Q1600" s="6"/>
      <c r="R1600" s="29"/>
      <c r="S1600" s="10"/>
      <c r="T1600" s="8">
        <v>1</v>
      </c>
    </row>
    <row r="1601" spans="1:20" ht="15.75" customHeight="1" x14ac:dyDescent="0.35">
      <c r="A1601" s="25" t="s">
        <v>2084</v>
      </c>
      <c r="B1601" s="25" t="s">
        <v>2094</v>
      </c>
      <c r="C1601" s="26">
        <v>130075</v>
      </c>
      <c r="D1601" s="25" t="s">
        <v>2131</v>
      </c>
      <c r="E1601" s="25" t="s">
        <v>2127</v>
      </c>
      <c r="F1601" s="26" t="s">
        <v>90</v>
      </c>
      <c r="G1601" s="26" t="s">
        <v>90</v>
      </c>
      <c r="H1601" s="26">
        <v>1</v>
      </c>
      <c r="I1601" s="26">
        <v>1</v>
      </c>
      <c r="J1601" s="26">
        <v>1</v>
      </c>
      <c r="K1601" s="26">
        <v>138</v>
      </c>
      <c r="L1601" s="26" t="s">
        <v>28</v>
      </c>
      <c r="M1601" s="27">
        <v>2228</v>
      </c>
      <c r="N1601" s="30">
        <v>130441.77</v>
      </c>
      <c r="O1601" s="26" t="s">
        <v>29</v>
      </c>
      <c r="P1601" s="29"/>
      <c r="Q1601" s="6"/>
      <c r="R1601" s="29"/>
      <c r="S1601" s="10"/>
      <c r="T1601" s="8">
        <v>1</v>
      </c>
    </row>
    <row r="1602" spans="1:20" ht="15.75" customHeight="1" x14ac:dyDescent="0.35">
      <c r="A1602" s="25" t="s">
        <v>2084</v>
      </c>
      <c r="B1602" s="25" t="s">
        <v>2094</v>
      </c>
      <c r="C1602" s="26">
        <v>130084</v>
      </c>
      <c r="D1602" s="25" t="s">
        <v>2132</v>
      </c>
      <c r="E1602" s="25" t="s">
        <v>2133</v>
      </c>
      <c r="F1602" s="26" t="s">
        <v>90</v>
      </c>
      <c r="G1602" s="26" t="s">
        <v>90</v>
      </c>
      <c r="H1602" s="26">
        <v>1</v>
      </c>
      <c r="I1602" s="26">
        <v>1</v>
      </c>
      <c r="J1602" s="26">
        <v>1</v>
      </c>
      <c r="K1602" s="26">
        <v>138</v>
      </c>
      <c r="L1602" s="26" t="s">
        <v>28</v>
      </c>
      <c r="M1602" s="27">
        <v>2222</v>
      </c>
      <c r="N1602" s="30">
        <v>130441.77</v>
      </c>
      <c r="O1602" s="26" t="s">
        <v>29</v>
      </c>
      <c r="P1602" s="29"/>
      <c r="Q1602" s="6"/>
      <c r="R1602" s="29"/>
      <c r="S1602" s="10"/>
      <c r="T1602" s="8">
        <v>1</v>
      </c>
    </row>
    <row r="1603" spans="1:20" ht="15.75" customHeight="1" x14ac:dyDescent="0.35">
      <c r="A1603" s="25" t="s">
        <v>2084</v>
      </c>
      <c r="B1603" s="25" t="s">
        <v>2094</v>
      </c>
      <c r="C1603" s="26">
        <v>130105</v>
      </c>
      <c r="D1603" s="25" t="s">
        <v>299</v>
      </c>
      <c r="E1603" s="25" t="s">
        <v>2133</v>
      </c>
      <c r="F1603" s="26" t="s">
        <v>90</v>
      </c>
      <c r="G1603" s="26" t="s">
        <v>90</v>
      </c>
      <c r="H1603" s="26">
        <v>1</v>
      </c>
      <c r="I1603" s="26">
        <v>1</v>
      </c>
      <c r="J1603" s="26">
        <v>1</v>
      </c>
      <c r="K1603" s="26">
        <v>138</v>
      </c>
      <c r="L1603" s="26" t="s">
        <v>28</v>
      </c>
      <c r="M1603" s="27">
        <v>2257</v>
      </c>
      <c r="N1603" s="30">
        <v>130441.77</v>
      </c>
      <c r="O1603" s="26" t="s">
        <v>29</v>
      </c>
      <c r="P1603" s="29"/>
      <c r="Q1603" s="6"/>
      <c r="R1603" s="29"/>
      <c r="S1603" s="10"/>
      <c r="T1603" s="8">
        <v>1</v>
      </c>
    </row>
    <row r="1604" spans="1:20" ht="15.75" customHeight="1" x14ac:dyDescent="0.35">
      <c r="A1604" s="25" t="s">
        <v>2084</v>
      </c>
      <c r="B1604" s="25" t="s">
        <v>2094</v>
      </c>
      <c r="C1604" s="26">
        <v>130132</v>
      </c>
      <c r="D1604" s="25" t="s">
        <v>2134</v>
      </c>
      <c r="E1604" s="25" t="s">
        <v>2135</v>
      </c>
      <c r="F1604" s="26" t="s">
        <v>90</v>
      </c>
      <c r="G1604" s="26" t="s">
        <v>90</v>
      </c>
      <c r="H1604" s="26">
        <v>1</v>
      </c>
      <c r="I1604" s="26">
        <v>1</v>
      </c>
      <c r="J1604" s="26">
        <v>1</v>
      </c>
      <c r="K1604" s="26">
        <v>138</v>
      </c>
      <c r="L1604" s="26" t="s">
        <v>28</v>
      </c>
      <c r="M1604" s="27">
        <v>2246</v>
      </c>
      <c r="N1604" s="30">
        <v>130441.77</v>
      </c>
      <c r="O1604" s="26" t="s">
        <v>29</v>
      </c>
      <c r="P1604" s="29"/>
      <c r="Q1604" s="6"/>
      <c r="R1604" s="29"/>
      <c r="S1604" s="10"/>
      <c r="T1604" s="8">
        <v>1</v>
      </c>
    </row>
    <row r="1605" spans="1:20" ht="15.75" customHeight="1" x14ac:dyDescent="0.35">
      <c r="A1605" s="25" t="s">
        <v>2084</v>
      </c>
      <c r="B1605" s="25" t="s">
        <v>2094</v>
      </c>
      <c r="C1605" s="26">
        <v>130138</v>
      </c>
      <c r="D1605" s="25" t="s">
        <v>2136</v>
      </c>
      <c r="E1605" s="25" t="s">
        <v>2135</v>
      </c>
      <c r="F1605" s="26" t="s">
        <v>90</v>
      </c>
      <c r="G1605" s="26" t="s">
        <v>90</v>
      </c>
      <c r="H1605" s="26">
        <v>1</v>
      </c>
      <c r="I1605" s="26">
        <v>1</v>
      </c>
      <c r="J1605" s="37">
        <v>130441.77</v>
      </c>
      <c r="K1605" s="26">
        <v>138</v>
      </c>
      <c r="L1605" s="26" t="s">
        <v>28</v>
      </c>
      <c r="M1605" s="27">
        <v>2252</v>
      </c>
      <c r="N1605" s="30">
        <v>130441.77</v>
      </c>
      <c r="O1605" s="26" t="s">
        <v>29</v>
      </c>
      <c r="P1605" s="29"/>
      <c r="Q1605" s="6"/>
      <c r="R1605" s="29"/>
      <c r="S1605" s="10"/>
      <c r="T1605" s="8">
        <v>1</v>
      </c>
    </row>
    <row r="1606" spans="1:20" ht="15.75" customHeight="1" x14ac:dyDescent="0.35">
      <c r="A1606" s="25" t="s">
        <v>2084</v>
      </c>
      <c r="B1606" s="25" t="s">
        <v>2094</v>
      </c>
      <c r="C1606" s="26">
        <v>130144</v>
      </c>
      <c r="D1606" s="25" t="s">
        <v>2137</v>
      </c>
      <c r="E1606" s="25" t="s">
        <v>2135</v>
      </c>
      <c r="F1606" s="26" t="s">
        <v>90</v>
      </c>
      <c r="G1606" s="26" t="s">
        <v>90</v>
      </c>
      <c r="H1606" s="26">
        <v>1</v>
      </c>
      <c r="I1606" s="26">
        <v>1</v>
      </c>
      <c r="J1606" s="26">
        <v>1</v>
      </c>
      <c r="K1606" s="26">
        <v>138</v>
      </c>
      <c r="L1606" s="26" t="s">
        <v>28</v>
      </c>
      <c r="M1606" s="27">
        <v>2220</v>
      </c>
      <c r="N1606" s="30">
        <v>130441.77</v>
      </c>
      <c r="O1606" s="26" t="s">
        <v>29</v>
      </c>
      <c r="P1606" s="29"/>
      <c r="Q1606" s="6"/>
      <c r="R1606" s="29"/>
      <c r="S1606" s="10"/>
      <c r="T1606" s="8">
        <v>1</v>
      </c>
    </row>
    <row r="1607" spans="1:20" ht="15.75" customHeight="1" x14ac:dyDescent="0.35">
      <c r="A1607" s="25" t="s">
        <v>2084</v>
      </c>
      <c r="B1607" s="25" t="s">
        <v>2094</v>
      </c>
      <c r="C1607" s="26">
        <v>130149</v>
      </c>
      <c r="D1607" s="25" t="s">
        <v>2138</v>
      </c>
      <c r="E1607" s="25" t="s">
        <v>2135</v>
      </c>
      <c r="F1607" s="26" t="s">
        <v>90</v>
      </c>
      <c r="G1607" s="26" t="s">
        <v>90</v>
      </c>
      <c r="H1607" s="26">
        <v>1</v>
      </c>
      <c r="I1607" s="26">
        <v>1</v>
      </c>
      <c r="J1607" s="26">
        <v>1</v>
      </c>
      <c r="K1607" s="26">
        <v>138</v>
      </c>
      <c r="L1607" s="26" t="s">
        <v>28</v>
      </c>
      <c r="M1607" s="27">
        <v>2236</v>
      </c>
      <c r="N1607" s="28">
        <v>130441.77</v>
      </c>
      <c r="O1607" s="26" t="s">
        <v>29</v>
      </c>
      <c r="P1607" s="29"/>
      <c r="Q1607" s="6"/>
      <c r="R1607" s="29"/>
      <c r="S1607" s="10"/>
      <c r="T1607" s="8">
        <v>1</v>
      </c>
    </row>
    <row r="1608" spans="1:20" ht="15.75" customHeight="1" x14ac:dyDescent="0.35">
      <c r="A1608" s="25" t="s">
        <v>2084</v>
      </c>
      <c r="B1608" s="25" t="s">
        <v>2094</v>
      </c>
      <c r="C1608" s="26">
        <v>130213</v>
      </c>
      <c r="D1608" s="25" t="s">
        <v>2139</v>
      </c>
      <c r="E1608" s="25" t="s">
        <v>2140</v>
      </c>
      <c r="F1608" s="26" t="s">
        <v>215</v>
      </c>
      <c r="G1608" s="26" t="s">
        <v>215</v>
      </c>
      <c r="H1608" s="26">
        <v>1</v>
      </c>
      <c r="I1608" s="26">
        <v>1</v>
      </c>
      <c r="J1608" s="26">
        <v>1</v>
      </c>
      <c r="K1608" s="26">
        <v>138</v>
      </c>
      <c r="L1608" s="26" t="s">
        <v>28</v>
      </c>
      <c r="M1608" s="27">
        <v>2191</v>
      </c>
      <c r="N1608" s="28">
        <v>130441.77</v>
      </c>
      <c r="O1608" s="26" t="s">
        <v>29</v>
      </c>
      <c r="P1608" s="29"/>
      <c r="Q1608" s="6"/>
      <c r="R1608" s="29"/>
      <c r="S1608" s="10"/>
      <c r="T1608" s="8">
        <v>1</v>
      </c>
    </row>
    <row r="1609" spans="1:20" ht="15.75" customHeight="1" x14ac:dyDescent="0.35">
      <c r="A1609" s="25" t="s">
        <v>2084</v>
      </c>
      <c r="B1609" s="25" t="s">
        <v>2094</v>
      </c>
      <c r="C1609" s="26">
        <v>130216</v>
      </c>
      <c r="D1609" s="25" t="s">
        <v>2141</v>
      </c>
      <c r="E1609" s="25" t="s">
        <v>2140</v>
      </c>
      <c r="F1609" s="26" t="s">
        <v>215</v>
      </c>
      <c r="G1609" s="26" t="s">
        <v>215</v>
      </c>
      <c r="H1609" s="26">
        <v>1</v>
      </c>
      <c r="I1609" s="26">
        <v>1</v>
      </c>
      <c r="J1609" s="26">
        <v>1</v>
      </c>
      <c r="K1609" s="26">
        <v>138</v>
      </c>
      <c r="L1609" s="26" t="s">
        <v>28</v>
      </c>
      <c r="M1609" s="27">
        <v>2197</v>
      </c>
      <c r="N1609" s="28">
        <v>130441.77</v>
      </c>
      <c r="O1609" s="26" t="s">
        <v>29</v>
      </c>
      <c r="P1609" s="29"/>
      <c r="Q1609" s="6"/>
      <c r="R1609" s="29"/>
      <c r="S1609" s="10"/>
      <c r="T1609" s="8">
        <v>1</v>
      </c>
    </row>
    <row r="1610" spans="1:20" ht="15.75" customHeight="1" x14ac:dyDescent="0.35">
      <c r="A1610" s="25" t="s">
        <v>2084</v>
      </c>
      <c r="B1610" s="25" t="s">
        <v>2094</v>
      </c>
      <c r="C1610" s="26">
        <v>130218</v>
      </c>
      <c r="D1610" s="25" t="s">
        <v>2142</v>
      </c>
      <c r="E1610" s="25" t="s">
        <v>2140</v>
      </c>
      <c r="F1610" s="26" t="s">
        <v>215</v>
      </c>
      <c r="G1610" s="26" t="s">
        <v>215</v>
      </c>
      <c r="H1610" s="26">
        <v>1</v>
      </c>
      <c r="I1610" s="26">
        <v>1</v>
      </c>
      <c r="J1610" s="26">
        <v>1</v>
      </c>
      <c r="K1610" s="26">
        <v>138</v>
      </c>
      <c r="L1610" s="26" t="s">
        <v>28</v>
      </c>
      <c r="M1610" s="27">
        <v>2204</v>
      </c>
      <c r="N1610" s="28">
        <v>200221.98</v>
      </c>
      <c r="O1610" s="26" t="s">
        <v>29</v>
      </c>
      <c r="P1610" s="29"/>
      <c r="Q1610" s="6"/>
      <c r="R1610" s="29"/>
      <c r="S1610" s="10"/>
      <c r="T1610" s="8">
        <v>1</v>
      </c>
    </row>
    <row r="1611" spans="1:20" ht="15.75" customHeight="1" x14ac:dyDescent="0.35">
      <c r="A1611" s="25" t="s">
        <v>2084</v>
      </c>
      <c r="B1611" s="25" t="s">
        <v>2094</v>
      </c>
      <c r="C1611" s="26">
        <v>130221</v>
      </c>
      <c r="D1611" s="25" t="s">
        <v>2143</v>
      </c>
      <c r="E1611" s="25" t="s">
        <v>2140</v>
      </c>
      <c r="F1611" s="26" t="s">
        <v>215</v>
      </c>
      <c r="G1611" s="26" t="s">
        <v>215</v>
      </c>
      <c r="H1611" s="26">
        <v>1</v>
      </c>
      <c r="I1611" s="26">
        <v>1</v>
      </c>
      <c r="J1611" s="26">
        <v>1</v>
      </c>
      <c r="K1611" s="26">
        <v>138</v>
      </c>
      <c r="L1611" s="26" t="s">
        <v>28</v>
      </c>
      <c r="M1611" s="27">
        <v>2185</v>
      </c>
      <c r="N1611" s="28">
        <v>130441.77</v>
      </c>
      <c r="O1611" s="26" t="s">
        <v>29</v>
      </c>
      <c r="P1611" s="29"/>
      <c r="Q1611" s="6"/>
      <c r="R1611" s="29"/>
      <c r="S1611" s="10"/>
      <c r="T1611" s="8">
        <v>1</v>
      </c>
    </row>
    <row r="1612" spans="1:20" ht="15.75" customHeight="1" x14ac:dyDescent="0.35">
      <c r="A1612" s="25" t="s">
        <v>2084</v>
      </c>
      <c r="B1612" s="25" t="s">
        <v>2094</v>
      </c>
      <c r="C1612" s="26">
        <v>130223</v>
      </c>
      <c r="D1612" s="25" t="s">
        <v>2144</v>
      </c>
      <c r="E1612" s="25" t="s">
        <v>2140</v>
      </c>
      <c r="F1612" s="26" t="s">
        <v>215</v>
      </c>
      <c r="G1612" s="26" t="s">
        <v>215</v>
      </c>
      <c r="H1612" s="26">
        <v>1</v>
      </c>
      <c r="I1612" s="26">
        <v>1</v>
      </c>
      <c r="J1612" s="26">
        <v>1</v>
      </c>
      <c r="K1612" s="26">
        <v>138</v>
      </c>
      <c r="L1612" s="26" t="s">
        <v>28</v>
      </c>
      <c r="M1612" s="27">
        <v>2179</v>
      </c>
      <c r="N1612" s="28">
        <v>130441.77</v>
      </c>
      <c r="O1612" s="26" t="s">
        <v>29</v>
      </c>
      <c r="P1612" s="29"/>
      <c r="Q1612" s="6"/>
      <c r="R1612" s="29"/>
      <c r="S1612" s="10"/>
      <c r="T1612" s="8">
        <v>1</v>
      </c>
    </row>
    <row r="1613" spans="1:20" ht="15.75" customHeight="1" x14ac:dyDescent="0.35">
      <c r="A1613" s="25" t="s">
        <v>2084</v>
      </c>
      <c r="B1613" s="25" t="s">
        <v>2094</v>
      </c>
      <c r="C1613" s="26">
        <v>130283</v>
      </c>
      <c r="D1613" s="25" t="s">
        <v>2145</v>
      </c>
      <c r="E1613" s="25" t="s">
        <v>2146</v>
      </c>
      <c r="F1613" s="26" t="s">
        <v>215</v>
      </c>
      <c r="G1613" s="26" t="s">
        <v>215</v>
      </c>
      <c r="H1613" s="26">
        <v>1</v>
      </c>
      <c r="I1613" s="26">
        <v>1</v>
      </c>
      <c r="J1613" s="26">
        <v>1</v>
      </c>
      <c r="K1613" s="26">
        <v>138</v>
      </c>
      <c r="L1613" s="26" t="s">
        <v>28</v>
      </c>
      <c r="M1613" s="27">
        <v>2170</v>
      </c>
      <c r="N1613" s="28">
        <v>130441.77</v>
      </c>
      <c r="O1613" s="26" t="s">
        <v>29</v>
      </c>
      <c r="P1613" s="29"/>
      <c r="Q1613" s="6"/>
      <c r="R1613" s="29"/>
      <c r="S1613" s="10"/>
      <c r="T1613" s="8">
        <v>1</v>
      </c>
    </row>
    <row r="1614" spans="1:20" ht="15.75" customHeight="1" x14ac:dyDescent="0.35">
      <c r="A1614" s="25" t="s">
        <v>2084</v>
      </c>
      <c r="B1614" s="25" t="s">
        <v>2094</v>
      </c>
      <c r="C1614" s="26">
        <v>130285</v>
      </c>
      <c r="D1614" s="25" t="s">
        <v>2147</v>
      </c>
      <c r="E1614" s="25" t="s">
        <v>2146</v>
      </c>
      <c r="F1614" s="26" t="s">
        <v>215</v>
      </c>
      <c r="G1614" s="26" t="s">
        <v>215</v>
      </c>
      <c r="H1614" s="26">
        <v>1</v>
      </c>
      <c r="I1614" s="26">
        <v>1</v>
      </c>
      <c r="J1614" s="26">
        <v>1</v>
      </c>
      <c r="K1614" s="26">
        <v>138</v>
      </c>
      <c r="L1614" s="26" t="s">
        <v>28</v>
      </c>
      <c r="M1614" s="27">
        <v>2177</v>
      </c>
      <c r="N1614" s="28">
        <v>130441.77</v>
      </c>
      <c r="O1614" s="26" t="s">
        <v>29</v>
      </c>
      <c r="P1614" s="29"/>
      <c r="Q1614" s="6"/>
      <c r="R1614" s="29"/>
      <c r="S1614" s="10"/>
      <c r="T1614" s="8">
        <v>1</v>
      </c>
    </row>
    <row r="1615" spans="1:20" ht="15.75" customHeight="1" x14ac:dyDescent="0.35">
      <c r="A1615" s="25" t="s">
        <v>2084</v>
      </c>
      <c r="B1615" s="25" t="s">
        <v>2094</v>
      </c>
      <c r="C1615" s="26">
        <v>130289</v>
      </c>
      <c r="D1615" s="25" t="s">
        <v>2148</v>
      </c>
      <c r="E1615" s="25" t="s">
        <v>2146</v>
      </c>
      <c r="F1615" s="26" t="s">
        <v>215</v>
      </c>
      <c r="G1615" s="26" t="s">
        <v>215</v>
      </c>
      <c r="H1615" s="26">
        <v>1</v>
      </c>
      <c r="I1615" s="26">
        <v>1</v>
      </c>
      <c r="J1615" s="26">
        <v>1</v>
      </c>
      <c r="K1615" s="26">
        <v>138</v>
      </c>
      <c r="L1615" s="26" t="s">
        <v>28</v>
      </c>
      <c r="M1615" s="27">
        <v>2184</v>
      </c>
      <c r="N1615" s="28">
        <v>130441.77</v>
      </c>
      <c r="O1615" s="26" t="s">
        <v>29</v>
      </c>
      <c r="P1615" s="29"/>
      <c r="Q1615" s="6"/>
      <c r="R1615" s="29"/>
      <c r="S1615" s="10"/>
      <c r="T1615" s="8">
        <v>1</v>
      </c>
    </row>
    <row r="1616" spans="1:20" ht="15.75" customHeight="1" x14ac:dyDescent="0.35">
      <c r="A1616" s="25" t="s">
        <v>2084</v>
      </c>
      <c r="B1616" s="25" t="s">
        <v>2094</v>
      </c>
      <c r="C1616" s="26">
        <v>130294</v>
      </c>
      <c r="D1616" s="25" t="s">
        <v>2149</v>
      </c>
      <c r="E1616" s="25" t="s">
        <v>2146</v>
      </c>
      <c r="F1616" s="26" t="s">
        <v>215</v>
      </c>
      <c r="G1616" s="26" t="s">
        <v>215</v>
      </c>
      <c r="H1616" s="26">
        <v>1</v>
      </c>
      <c r="I1616" s="26">
        <v>3</v>
      </c>
      <c r="J1616" s="26">
        <v>1</v>
      </c>
      <c r="K1616" s="26">
        <v>138</v>
      </c>
      <c r="L1616" s="26" t="s">
        <v>28</v>
      </c>
      <c r="M1616" s="27">
        <v>2201</v>
      </c>
      <c r="N1616" s="28">
        <v>271936.64000000001</v>
      </c>
      <c r="O1616" s="26" t="s">
        <v>29</v>
      </c>
      <c r="P1616" s="29"/>
      <c r="Q1616" s="6"/>
      <c r="R1616" s="29"/>
      <c r="S1616" s="10"/>
      <c r="T1616" s="8">
        <v>1</v>
      </c>
    </row>
    <row r="1617" spans="1:20" ht="15.75" customHeight="1" x14ac:dyDescent="0.35">
      <c r="A1617" s="25" t="s">
        <v>2084</v>
      </c>
      <c r="B1617" s="25" t="s">
        <v>2094</v>
      </c>
      <c r="C1617" s="26">
        <v>130305</v>
      </c>
      <c r="D1617" s="25" t="s">
        <v>2150</v>
      </c>
      <c r="E1617" s="25" t="s">
        <v>2151</v>
      </c>
      <c r="F1617" s="26" t="s">
        <v>215</v>
      </c>
      <c r="G1617" s="26" t="s">
        <v>215</v>
      </c>
      <c r="H1617" s="26">
        <v>1</v>
      </c>
      <c r="I1617" s="26">
        <v>3</v>
      </c>
      <c r="J1617" s="26">
        <v>1</v>
      </c>
      <c r="K1617" s="26">
        <v>138</v>
      </c>
      <c r="L1617" s="26" t="s">
        <v>28</v>
      </c>
      <c r="M1617" s="27">
        <v>2172</v>
      </c>
      <c r="N1617" s="28">
        <v>271936.64000000001</v>
      </c>
      <c r="O1617" s="26" t="s">
        <v>29</v>
      </c>
      <c r="P1617" s="29"/>
      <c r="Q1617" s="6"/>
      <c r="R1617" s="29"/>
      <c r="S1617" s="10"/>
      <c r="T1617" s="8">
        <v>1</v>
      </c>
    </row>
    <row r="1618" spans="1:20" ht="15.75" customHeight="1" x14ac:dyDescent="0.35">
      <c r="A1618" s="25" t="s">
        <v>2084</v>
      </c>
      <c r="B1618" s="25" t="s">
        <v>2094</v>
      </c>
      <c r="C1618" s="26">
        <v>130319</v>
      </c>
      <c r="D1618" s="25" t="s">
        <v>2152</v>
      </c>
      <c r="E1618" s="25" t="s">
        <v>2151</v>
      </c>
      <c r="F1618" s="26" t="s">
        <v>215</v>
      </c>
      <c r="G1618" s="26" t="s">
        <v>215</v>
      </c>
      <c r="H1618" s="26">
        <v>1</v>
      </c>
      <c r="I1618" s="26">
        <v>1</v>
      </c>
      <c r="J1618" s="26">
        <v>1</v>
      </c>
      <c r="K1618" s="26">
        <v>138</v>
      </c>
      <c r="L1618" s="26" t="s">
        <v>28</v>
      </c>
      <c r="M1618" s="27">
        <v>2176</v>
      </c>
      <c r="N1618" s="28">
        <v>130441.77</v>
      </c>
      <c r="O1618" s="26" t="s">
        <v>29</v>
      </c>
      <c r="P1618" s="29"/>
      <c r="Q1618" s="6"/>
      <c r="R1618" s="29"/>
      <c r="S1618" s="10"/>
      <c r="T1618" s="8">
        <v>1</v>
      </c>
    </row>
    <row r="1619" spans="1:20" ht="15.75" customHeight="1" x14ac:dyDescent="0.35">
      <c r="A1619" s="25" t="s">
        <v>2084</v>
      </c>
      <c r="B1619" s="25" t="s">
        <v>2094</v>
      </c>
      <c r="C1619" s="26">
        <v>130335</v>
      </c>
      <c r="D1619" s="25" t="s">
        <v>2153</v>
      </c>
      <c r="E1619" s="25" t="s">
        <v>2151</v>
      </c>
      <c r="F1619" s="26" t="s">
        <v>215</v>
      </c>
      <c r="G1619" s="26" t="s">
        <v>215</v>
      </c>
      <c r="H1619" s="26">
        <v>1</v>
      </c>
      <c r="I1619" s="26">
        <v>1</v>
      </c>
      <c r="J1619" s="26">
        <v>1</v>
      </c>
      <c r="K1619" s="26">
        <v>138</v>
      </c>
      <c r="L1619" s="26" t="s">
        <v>28</v>
      </c>
      <c r="M1619" s="27">
        <v>2174</v>
      </c>
      <c r="N1619" s="28">
        <v>130441.77</v>
      </c>
      <c r="O1619" s="26" t="s">
        <v>29</v>
      </c>
      <c r="P1619" s="29"/>
      <c r="Q1619" s="6"/>
      <c r="R1619" s="29"/>
      <c r="S1619" s="10"/>
      <c r="T1619" s="8">
        <v>1</v>
      </c>
    </row>
    <row r="1620" spans="1:20" ht="15.75" customHeight="1" x14ac:dyDescent="0.35">
      <c r="A1620" s="25" t="s">
        <v>2084</v>
      </c>
      <c r="B1620" s="25" t="s">
        <v>2094</v>
      </c>
      <c r="C1620" s="26">
        <v>130341</v>
      </c>
      <c r="D1620" s="25" t="s">
        <v>2154</v>
      </c>
      <c r="E1620" s="25" t="s">
        <v>2151</v>
      </c>
      <c r="F1620" s="26" t="s">
        <v>215</v>
      </c>
      <c r="G1620" s="26" t="s">
        <v>215</v>
      </c>
      <c r="H1620" s="26">
        <v>1</v>
      </c>
      <c r="I1620" s="26">
        <v>1</v>
      </c>
      <c r="J1620" s="26">
        <v>1</v>
      </c>
      <c r="K1620" s="26">
        <v>138</v>
      </c>
      <c r="L1620" s="26" t="s">
        <v>28</v>
      </c>
      <c r="M1620" s="27">
        <v>2194</v>
      </c>
      <c r="N1620" s="28">
        <v>130441.77</v>
      </c>
      <c r="O1620" s="26" t="s">
        <v>29</v>
      </c>
      <c r="P1620" s="29"/>
      <c r="Q1620" s="6"/>
      <c r="R1620" s="29"/>
      <c r="S1620" s="10"/>
      <c r="T1620" s="8">
        <v>1</v>
      </c>
    </row>
    <row r="1621" spans="1:20" ht="15.75" customHeight="1" x14ac:dyDescent="0.35">
      <c r="A1621" s="25" t="s">
        <v>2084</v>
      </c>
      <c r="B1621" s="25" t="s">
        <v>2094</v>
      </c>
      <c r="C1621" s="26">
        <v>130343</v>
      </c>
      <c r="D1621" s="25" t="s">
        <v>2155</v>
      </c>
      <c r="E1621" s="25" t="s">
        <v>2151</v>
      </c>
      <c r="F1621" s="26" t="s">
        <v>215</v>
      </c>
      <c r="G1621" s="26" t="s">
        <v>215</v>
      </c>
      <c r="H1621" s="26">
        <v>1</v>
      </c>
      <c r="I1621" s="26">
        <v>1</v>
      </c>
      <c r="J1621" s="26">
        <v>1</v>
      </c>
      <c r="K1621" s="26">
        <v>138</v>
      </c>
      <c r="L1621" s="26" t="s">
        <v>28</v>
      </c>
      <c r="M1621" s="27">
        <v>2181</v>
      </c>
      <c r="N1621" s="28">
        <v>130441.77</v>
      </c>
      <c r="O1621" s="26" t="s">
        <v>29</v>
      </c>
      <c r="P1621" s="29"/>
      <c r="Q1621" s="6"/>
      <c r="R1621" s="29"/>
      <c r="S1621" s="10"/>
      <c r="T1621" s="8">
        <v>1</v>
      </c>
    </row>
    <row r="1622" spans="1:20" ht="15.75" customHeight="1" x14ac:dyDescent="0.35">
      <c r="A1622" s="25" t="s">
        <v>2084</v>
      </c>
      <c r="B1622" s="25" t="s">
        <v>2094</v>
      </c>
      <c r="C1622" s="26">
        <v>130350</v>
      </c>
      <c r="D1622" s="25" t="s">
        <v>2156</v>
      </c>
      <c r="E1622" s="25" t="s">
        <v>2157</v>
      </c>
      <c r="F1622" s="26" t="s">
        <v>90</v>
      </c>
      <c r="G1622" s="26" t="s">
        <v>90</v>
      </c>
      <c r="H1622" s="26">
        <v>1</v>
      </c>
      <c r="I1622" s="26">
        <v>1</v>
      </c>
      <c r="J1622" s="26">
        <v>1</v>
      </c>
      <c r="K1622" s="26">
        <v>138</v>
      </c>
      <c r="L1622" s="26" t="s">
        <v>28</v>
      </c>
      <c r="M1622" s="27">
        <v>2226</v>
      </c>
      <c r="N1622" s="30">
        <v>130441.77</v>
      </c>
      <c r="O1622" s="26" t="s">
        <v>29</v>
      </c>
      <c r="P1622" s="29"/>
      <c r="Q1622" s="6"/>
      <c r="R1622" s="29"/>
      <c r="S1622" s="10"/>
      <c r="T1622" s="8">
        <v>1</v>
      </c>
    </row>
    <row r="1623" spans="1:20" ht="15.75" customHeight="1" x14ac:dyDescent="0.35">
      <c r="A1623" s="25" t="s">
        <v>2084</v>
      </c>
      <c r="B1623" s="25" t="s">
        <v>2094</v>
      </c>
      <c r="C1623" s="26">
        <v>130353</v>
      </c>
      <c r="D1623" s="25" t="s">
        <v>2158</v>
      </c>
      <c r="E1623" s="25" t="s">
        <v>2157</v>
      </c>
      <c r="F1623" s="26" t="s">
        <v>90</v>
      </c>
      <c r="G1623" s="26" t="s">
        <v>90</v>
      </c>
      <c r="H1623" s="26">
        <v>1</v>
      </c>
      <c r="I1623" s="26">
        <v>1</v>
      </c>
      <c r="J1623" s="26">
        <v>1</v>
      </c>
      <c r="K1623" s="26">
        <v>138</v>
      </c>
      <c r="L1623" s="26" t="s">
        <v>28</v>
      </c>
      <c r="M1623" s="27">
        <v>2234</v>
      </c>
      <c r="N1623" s="30">
        <v>130441.77</v>
      </c>
      <c r="O1623" s="26" t="s">
        <v>29</v>
      </c>
      <c r="P1623" s="29"/>
      <c r="Q1623" s="6"/>
      <c r="R1623" s="29"/>
      <c r="S1623" s="10"/>
      <c r="T1623" s="8">
        <v>1</v>
      </c>
    </row>
    <row r="1624" spans="1:20" ht="15.75" customHeight="1" x14ac:dyDescent="0.35">
      <c r="A1624" s="25" t="s">
        <v>2084</v>
      </c>
      <c r="B1624" s="25" t="s">
        <v>2094</v>
      </c>
      <c r="C1624" s="26">
        <v>130354</v>
      </c>
      <c r="D1624" s="25" t="s">
        <v>2159</v>
      </c>
      <c r="E1624" s="25" t="s">
        <v>2157</v>
      </c>
      <c r="F1624" s="26" t="s">
        <v>90</v>
      </c>
      <c r="G1624" s="26" t="s">
        <v>90</v>
      </c>
      <c r="H1624" s="26">
        <v>1</v>
      </c>
      <c r="I1624" s="26">
        <v>1</v>
      </c>
      <c r="J1624" s="26">
        <v>1</v>
      </c>
      <c r="K1624" s="26">
        <v>138</v>
      </c>
      <c r="L1624" s="26" t="s">
        <v>28</v>
      </c>
      <c r="M1624" s="27">
        <v>2235</v>
      </c>
      <c r="N1624" s="30">
        <v>130441.77</v>
      </c>
      <c r="O1624" s="26" t="s">
        <v>29</v>
      </c>
      <c r="P1624" s="29"/>
      <c r="Q1624" s="6"/>
      <c r="R1624" s="29"/>
      <c r="S1624" s="10"/>
      <c r="T1624" s="8">
        <v>1</v>
      </c>
    </row>
    <row r="1625" spans="1:20" ht="15.75" customHeight="1" x14ac:dyDescent="0.35">
      <c r="A1625" s="25" t="s">
        <v>2084</v>
      </c>
      <c r="B1625" s="25" t="s">
        <v>2094</v>
      </c>
      <c r="C1625" s="26">
        <v>130356</v>
      </c>
      <c r="D1625" s="25" t="s">
        <v>2160</v>
      </c>
      <c r="E1625" s="25" t="s">
        <v>2157</v>
      </c>
      <c r="F1625" s="26" t="s">
        <v>90</v>
      </c>
      <c r="G1625" s="26" t="s">
        <v>90</v>
      </c>
      <c r="H1625" s="26">
        <v>1</v>
      </c>
      <c r="I1625" s="26">
        <v>1</v>
      </c>
      <c r="J1625" s="26">
        <v>1</v>
      </c>
      <c r="K1625" s="26">
        <v>138</v>
      </c>
      <c r="L1625" s="26" t="s">
        <v>28</v>
      </c>
      <c r="M1625" s="27">
        <v>2241</v>
      </c>
      <c r="N1625" s="30">
        <v>130441.77</v>
      </c>
      <c r="O1625" s="26" t="s">
        <v>29</v>
      </c>
      <c r="P1625" s="29"/>
      <c r="Q1625" s="6"/>
      <c r="R1625" s="29"/>
      <c r="S1625" s="10"/>
      <c r="T1625" s="8">
        <v>1</v>
      </c>
    </row>
    <row r="1626" spans="1:20" ht="15.75" customHeight="1" x14ac:dyDescent="0.35">
      <c r="A1626" s="25" t="s">
        <v>2084</v>
      </c>
      <c r="B1626" s="25" t="s">
        <v>2094</v>
      </c>
      <c r="C1626" s="26">
        <v>130358</v>
      </c>
      <c r="D1626" s="25" t="s">
        <v>2161</v>
      </c>
      <c r="E1626" s="25" t="s">
        <v>2157</v>
      </c>
      <c r="F1626" s="26" t="s">
        <v>90</v>
      </c>
      <c r="G1626" s="26" t="s">
        <v>90</v>
      </c>
      <c r="H1626" s="26">
        <v>1</v>
      </c>
      <c r="I1626" s="26">
        <v>1</v>
      </c>
      <c r="J1626" s="26">
        <v>1</v>
      </c>
      <c r="K1626" s="26">
        <v>138</v>
      </c>
      <c r="L1626" s="26" t="s">
        <v>28</v>
      </c>
      <c r="M1626" s="27">
        <v>2244</v>
      </c>
      <c r="N1626" s="30">
        <v>130441.77</v>
      </c>
      <c r="O1626" s="26" t="s">
        <v>29</v>
      </c>
      <c r="P1626" s="29"/>
      <c r="Q1626" s="6"/>
      <c r="R1626" s="29"/>
      <c r="S1626" s="10"/>
      <c r="T1626" s="8">
        <v>1</v>
      </c>
    </row>
    <row r="1627" spans="1:20" ht="15.75" customHeight="1" x14ac:dyDescent="0.35">
      <c r="A1627" s="25" t="s">
        <v>2084</v>
      </c>
      <c r="B1627" s="25" t="s">
        <v>2094</v>
      </c>
      <c r="C1627" s="26">
        <v>130359</v>
      </c>
      <c r="D1627" s="25" t="s">
        <v>2162</v>
      </c>
      <c r="E1627" s="25" t="s">
        <v>2157</v>
      </c>
      <c r="F1627" s="26" t="s">
        <v>90</v>
      </c>
      <c r="G1627" s="26" t="s">
        <v>90</v>
      </c>
      <c r="H1627" s="26">
        <v>1</v>
      </c>
      <c r="I1627" s="26">
        <v>1</v>
      </c>
      <c r="J1627" s="26">
        <v>1</v>
      </c>
      <c r="K1627" s="26">
        <v>138</v>
      </c>
      <c r="L1627" s="26" t="s">
        <v>28</v>
      </c>
      <c r="M1627" s="27">
        <v>2237</v>
      </c>
      <c r="N1627" s="30">
        <v>207272.88</v>
      </c>
      <c r="O1627" s="26" t="s">
        <v>29</v>
      </c>
      <c r="P1627" s="29"/>
      <c r="Q1627" s="6"/>
      <c r="R1627" s="29"/>
      <c r="S1627" s="10"/>
      <c r="T1627" s="8">
        <v>1</v>
      </c>
    </row>
    <row r="1628" spans="1:20" ht="15.75" customHeight="1" x14ac:dyDescent="0.35">
      <c r="A1628" s="25" t="s">
        <v>2084</v>
      </c>
      <c r="B1628" s="25" t="s">
        <v>2094</v>
      </c>
      <c r="C1628" s="26">
        <v>130364</v>
      </c>
      <c r="D1628" s="25" t="s">
        <v>2163</v>
      </c>
      <c r="E1628" s="25" t="s">
        <v>2157</v>
      </c>
      <c r="F1628" s="26" t="s">
        <v>90</v>
      </c>
      <c r="G1628" s="26" t="s">
        <v>90</v>
      </c>
      <c r="H1628" s="26">
        <v>1</v>
      </c>
      <c r="I1628" s="26">
        <v>1</v>
      </c>
      <c r="J1628" s="26">
        <v>1</v>
      </c>
      <c r="K1628" s="26">
        <v>138</v>
      </c>
      <c r="L1628" s="26" t="s">
        <v>28</v>
      </c>
      <c r="M1628" s="27">
        <v>2261</v>
      </c>
      <c r="N1628" s="30">
        <v>130441.77</v>
      </c>
      <c r="O1628" s="26" t="s">
        <v>29</v>
      </c>
      <c r="P1628" s="29"/>
      <c r="Q1628" s="6"/>
      <c r="R1628" s="29"/>
      <c r="S1628" s="10"/>
      <c r="T1628" s="8">
        <v>1</v>
      </c>
    </row>
    <row r="1629" spans="1:20" ht="15.75" customHeight="1" x14ac:dyDescent="0.35">
      <c r="A1629" s="25" t="s">
        <v>2084</v>
      </c>
      <c r="B1629" s="25" t="s">
        <v>2094</v>
      </c>
      <c r="C1629" s="26">
        <v>130365</v>
      </c>
      <c r="D1629" s="25" t="s">
        <v>2164</v>
      </c>
      <c r="E1629" s="25" t="s">
        <v>2157</v>
      </c>
      <c r="F1629" s="26" t="s">
        <v>90</v>
      </c>
      <c r="G1629" s="26" t="s">
        <v>90</v>
      </c>
      <c r="H1629" s="26">
        <v>1</v>
      </c>
      <c r="I1629" s="26">
        <v>1</v>
      </c>
      <c r="J1629" s="26">
        <v>1</v>
      </c>
      <c r="K1629" s="26">
        <v>138</v>
      </c>
      <c r="L1629" s="26" t="s">
        <v>28</v>
      </c>
      <c r="M1629" s="27">
        <v>2262</v>
      </c>
      <c r="N1629" s="30">
        <v>130441.77</v>
      </c>
      <c r="O1629" s="26" t="s">
        <v>29</v>
      </c>
      <c r="P1629" s="29"/>
      <c r="Q1629" s="6"/>
      <c r="R1629" s="29"/>
      <c r="S1629" s="10"/>
      <c r="T1629" s="8">
        <v>1</v>
      </c>
    </row>
    <row r="1630" spans="1:20" ht="15.75" customHeight="1" x14ac:dyDescent="0.35">
      <c r="A1630" s="25" t="s">
        <v>2084</v>
      </c>
      <c r="B1630" s="25" t="s">
        <v>2094</v>
      </c>
      <c r="C1630" s="26">
        <v>130386</v>
      </c>
      <c r="D1630" s="25" t="s">
        <v>2165</v>
      </c>
      <c r="E1630" s="25" t="s">
        <v>2157</v>
      </c>
      <c r="F1630" s="26" t="s">
        <v>90</v>
      </c>
      <c r="G1630" s="26" t="s">
        <v>90</v>
      </c>
      <c r="H1630" s="26">
        <v>1</v>
      </c>
      <c r="I1630" s="26">
        <v>1</v>
      </c>
      <c r="J1630" s="26">
        <v>1</v>
      </c>
      <c r="K1630" s="26">
        <v>138</v>
      </c>
      <c r="L1630" s="26" t="s">
        <v>28</v>
      </c>
      <c r="M1630" s="27">
        <v>2260</v>
      </c>
      <c r="N1630" s="30">
        <v>130441.77</v>
      </c>
      <c r="O1630" s="26" t="s">
        <v>29</v>
      </c>
      <c r="P1630" s="29"/>
      <c r="Q1630" s="6"/>
      <c r="R1630" s="29"/>
      <c r="S1630" s="10"/>
      <c r="T1630" s="8">
        <v>1</v>
      </c>
    </row>
    <row r="1631" spans="1:20" ht="15.75" customHeight="1" x14ac:dyDescent="0.35">
      <c r="A1631" s="25" t="s">
        <v>2084</v>
      </c>
      <c r="B1631" s="25" t="s">
        <v>2094</v>
      </c>
      <c r="C1631" s="26">
        <v>130401</v>
      </c>
      <c r="D1631" s="25" t="s">
        <v>2166</v>
      </c>
      <c r="E1631" s="25" t="s">
        <v>2167</v>
      </c>
      <c r="F1631" s="26" t="s">
        <v>90</v>
      </c>
      <c r="G1631" s="26" t="s">
        <v>90</v>
      </c>
      <c r="H1631" s="26">
        <v>1</v>
      </c>
      <c r="I1631" s="26">
        <v>1</v>
      </c>
      <c r="J1631" s="26">
        <v>1</v>
      </c>
      <c r="K1631" s="26">
        <v>138</v>
      </c>
      <c r="L1631" s="26" t="s">
        <v>28</v>
      </c>
      <c r="M1631" s="27">
        <v>2224</v>
      </c>
      <c r="N1631" s="30">
        <v>130441.77</v>
      </c>
      <c r="O1631" s="26" t="s">
        <v>29</v>
      </c>
      <c r="P1631" s="29"/>
      <c r="Q1631" s="6"/>
      <c r="R1631" s="29"/>
      <c r="S1631" s="10"/>
      <c r="T1631" s="8">
        <v>1</v>
      </c>
    </row>
    <row r="1632" spans="1:20" ht="15.75" customHeight="1" x14ac:dyDescent="0.35">
      <c r="A1632" s="25" t="s">
        <v>2084</v>
      </c>
      <c r="B1632" s="25" t="s">
        <v>2094</v>
      </c>
      <c r="C1632" s="26">
        <v>207501</v>
      </c>
      <c r="D1632" s="25" t="s">
        <v>2168</v>
      </c>
      <c r="E1632" s="25" t="s">
        <v>2109</v>
      </c>
      <c r="F1632" s="26" t="s">
        <v>215</v>
      </c>
      <c r="G1632" s="26" t="s">
        <v>215</v>
      </c>
      <c r="H1632" s="26">
        <v>1</v>
      </c>
      <c r="I1632" s="26">
        <v>1</v>
      </c>
      <c r="J1632" s="26">
        <v>1</v>
      </c>
      <c r="K1632" s="26">
        <v>138</v>
      </c>
      <c r="L1632" s="26" t="s">
        <v>28</v>
      </c>
      <c r="M1632" s="27">
        <v>2193</v>
      </c>
      <c r="N1632" s="28">
        <v>130441.77</v>
      </c>
      <c r="O1632" s="26" t="s">
        <v>29</v>
      </c>
      <c r="P1632" s="29"/>
      <c r="Q1632" s="6"/>
      <c r="R1632" s="29"/>
      <c r="S1632" s="10"/>
      <c r="T1632" s="8">
        <v>1</v>
      </c>
    </row>
    <row r="1633" spans="1:20" ht="15.75" customHeight="1" x14ac:dyDescent="0.35">
      <c r="A1633" s="25" t="s">
        <v>2084</v>
      </c>
      <c r="B1633" s="25" t="s">
        <v>2094</v>
      </c>
      <c r="C1633" s="26">
        <v>207502</v>
      </c>
      <c r="D1633" s="25" t="s">
        <v>2169</v>
      </c>
      <c r="E1633" s="25" t="s">
        <v>2102</v>
      </c>
      <c r="F1633" s="26" t="s">
        <v>90</v>
      </c>
      <c r="G1633" s="26" t="s">
        <v>90</v>
      </c>
      <c r="H1633" s="26">
        <v>1</v>
      </c>
      <c r="I1633" s="26">
        <v>1</v>
      </c>
      <c r="J1633" s="26">
        <v>1</v>
      </c>
      <c r="K1633" s="26">
        <v>138</v>
      </c>
      <c r="L1633" s="26" t="s">
        <v>28</v>
      </c>
      <c r="M1633" s="27">
        <v>2255</v>
      </c>
      <c r="N1633" s="30">
        <v>130441.77</v>
      </c>
      <c r="O1633" s="26" t="s">
        <v>29</v>
      </c>
      <c r="P1633" s="29"/>
      <c r="Q1633" s="6"/>
      <c r="R1633" s="29"/>
      <c r="S1633" s="10"/>
      <c r="T1633" s="8">
        <v>1</v>
      </c>
    </row>
    <row r="1634" spans="1:20" ht="15.75" customHeight="1" x14ac:dyDescent="0.35">
      <c r="A1634" s="25" t="s">
        <v>2084</v>
      </c>
      <c r="B1634" s="25" t="s">
        <v>2094</v>
      </c>
      <c r="C1634" s="26">
        <v>207505</v>
      </c>
      <c r="D1634" s="25" t="s">
        <v>2170</v>
      </c>
      <c r="E1634" s="25" t="s">
        <v>2135</v>
      </c>
      <c r="F1634" s="26" t="s">
        <v>90</v>
      </c>
      <c r="G1634" s="26" t="s">
        <v>90</v>
      </c>
      <c r="H1634" s="26">
        <v>1</v>
      </c>
      <c r="I1634" s="26">
        <v>1</v>
      </c>
      <c r="J1634" s="26">
        <v>1</v>
      </c>
      <c r="K1634" s="26">
        <v>138</v>
      </c>
      <c r="L1634" s="26" t="s">
        <v>28</v>
      </c>
      <c r="M1634" s="27">
        <v>2265</v>
      </c>
      <c r="N1634" s="30">
        <v>130441.77</v>
      </c>
      <c r="O1634" s="26" t="s">
        <v>29</v>
      </c>
      <c r="P1634" s="29"/>
      <c r="Q1634" s="6"/>
      <c r="R1634" s="29"/>
      <c r="S1634" s="10"/>
      <c r="T1634" s="8">
        <v>1</v>
      </c>
    </row>
    <row r="1635" spans="1:20" ht="15.75" customHeight="1" x14ac:dyDescent="0.35">
      <c r="A1635" s="25" t="s">
        <v>2084</v>
      </c>
      <c r="B1635" s="25" t="s">
        <v>2094</v>
      </c>
      <c r="C1635" s="26">
        <v>207516</v>
      </c>
      <c r="D1635" s="25" t="s">
        <v>2171</v>
      </c>
      <c r="E1635" s="25" t="s">
        <v>2109</v>
      </c>
      <c r="F1635" s="26" t="s">
        <v>215</v>
      </c>
      <c r="G1635" s="26" t="s">
        <v>215</v>
      </c>
      <c r="H1635" s="26">
        <v>1</v>
      </c>
      <c r="I1635" s="26">
        <v>1</v>
      </c>
      <c r="J1635" s="26">
        <v>1</v>
      </c>
      <c r="K1635" s="26">
        <v>138</v>
      </c>
      <c r="L1635" s="26" t="s">
        <v>28</v>
      </c>
      <c r="M1635" s="27">
        <v>2175</v>
      </c>
      <c r="N1635" s="28">
        <v>130441.77</v>
      </c>
      <c r="O1635" s="26" t="s">
        <v>29</v>
      </c>
      <c r="P1635" s="29"/>
      <c r="Q1635" s="6"/>
      <c r="R1635" s="29"/>
      <c r="S1635" s="10"/>
      <c r="T1635" s="8">
        <v>1</v>
      </c>
    </row>
    <row r="1636" spans="1:20" ht="15.75" customHeight="1" x14ac:dyDescent="0.35">
      <c r="A1636" s="25" t="s">
        <v>2084</v>
      </c>
      <c r="B1636" s="25" t="s">
        <v>2094</v>
      </c>
      <c r="C1636" s="26">
        <v>207518</v>
      </c>
      <c r="D1636" s="25" t="s">
        <v>2172</v>
      </c>
      <c r="E1636" s="25" t="s">
        <v>2127</v>
      </c>
      <c r="F1636" s="26" t="s">
        <v>90</v>
      </c>
      <c r="G1636" s="26" t="s">
        <v>90</v>
      </c>
      <c r="H1636" s="26">
        <v>1</v>
      </c>
      <c r="I1636" s="26">
        <v>1</v>
      </c>
      <c r="J1636" s="26">
        <v>1</v>
      </c>
      <c r="K1636" s="26">
        <v>138</v>
      </c>
      <c r="L1636" s="26" t="s">
        <v>28</v>
      </c>
      <c r="M1636" s="27">
        <v>2253</v>
      </c>
      <c r="N1636" s="30">
        <v>130441.77</v>
      </c>
      <c r="O1636" s="26" t="s">
        <v>29</v>
      </c>
      <c r="P1636" s="29"/>
      <c r="Q1636" s="6"/>
      <c r="R1636" s="29"/>
      <c r="S1636" s="10"/>
      <c r="T1636" s="8">
        <v>1</v>
      </c>
    </row>
    <row r="1637" spans="1:20" ht="15.75" customHeight="1" x14ac:dyDescent="0.35">
      <c r="A1637" s="25" t="s">
        <v>2084</v>
      </c>
      <c r="B1637" s="25" t="s">
        <v>2094</v>
      </c>
      <c r="C1637" s="26">
        <v>207519</v>
      </c>
      <c r="D1637" s="25" t="s">
        <v>2173</v>
      </c>
      <c r="E1637" s="25" t="s">
        <v>2140</v>
      </c>
      <c r="F1637" s="26" t="s">
        <v>215</v>
      </c>
      <c r="G1637" s="26" t="s">
        <v>215</v>
      </c>
      <c r="H1637" s="26"/>
      <c r="I1637" s="26"/>
      <c r="J1637" s="26">
        <v>1</v>
      </c>
      <c r="K1637" s="26">
        <v>138</v>
      </c>
      <c r="L1637" s="26" t="s">
        <v>28</v>
      </c>
      <c r="M1637" s="27">
        <v>2183</v>
      </c>
      <c r="N1637" s="28"/>
      <c r="O1637" s="26" t="s">
        <v>29</v>
      </c>
      <c r="P1637" s="29"/>
      <c r="Q1637" s="6"/>
      <c r="R1637" s="29"/>
      <c r="S1637" s="10"/>
      <c r="T1637" s="8"/>
    </row>
    <row r="1638" spans="1:20" ht="15.75" customHeight="1" x14ac:dyDescent="0.35">
      <c r="A1638" s="25" t="s">
        <v>2084</v>
      </c>
      <c r="B1638" s="25" t="s">
        <v>2094</v>
      </c>
      <c r="C1638" s="26">
        <v>207521</v>
      </c>
      <c r="D1638" s="25" t="s">
        <v>2174</v>
      </c>
      <c r="E1638" s="25" t="s">
        <v>208</v>
      </c>
      <c r="F1638" s="26" t="s">
        <v>215</v>
      </c>
      <c r="G1638" s="26" t="s">
        <v>215</v>
      </c>
      <c r="H1638" s="26">
        <v>1</v>
      </c>
      <c r="I1638" s="26">
        <v>1</v>
      </c>
      <c r="J1638" s="26">
        <v>1</v>
      </c>
      <c r="K1638" s="26">
        <v>138</v>
      </c>
      <c r="L1638" s="26" t="s">
        <v>28</v>
      </c>
      <c r="M1638" s="27">
        <v>2199</v>
      </c>
      <c r="N1638" s="28">
        <v>130441.77</v>
      </c>
      <c r="O1638" s="26" t="s">
        <v>29</v>
      </c>
      <c r="P1638" s="29"/>
      <c r="Q1638" s="6"/>
      <c r="R1638" s="29"/>
      <c r="S1638" s="10"/>
      <c r="T1638" s="8">
        <v>1</v>
      </c>
    </row>
    <row r="1639" spans="1:20" ht="15.75" customHeight="1" x14ac:dyDescent="0.35">
      <c r="A1639" s="25" t="s">
        <v>2084</v>
      </c>
      <c r="B1639" s="25" t="s">
        <v>2094</v>
      </c>
      <c r="C1639" s="26">
        <v>207525</v>
      </c>
      <c r="D1639" s="25" t="s">
        <v>2175</v>
      </c>
      <c r="E1639" s="25" t="s">
        <v>2140</v>
      </c>
      <c r="F1639" s="26" t="s">
        <v>215</v>
      </c>
      <c r="G1639" s="26" t="s">
        <v>215</v>
      </c>
      <c r="H1639" s="26">
        <v>1</v>
      </c>
      <c r="I1639" s="26">
        <v>1</v>
      </c>
      <c r="J1639" s="26">
        <v>1</v>
      </c>
      <c r="K1639" s="26">
        <v>138</v>
      </c>
      <c r="L1639" s="26" t="s">
        <v>28</v>
      </c>
      <c r="M1639" s="27">
        <v>2178</v>
      </c>
      <c r="N1639" s="28">
        <v>130441.77</v>
      </c>
      <c r="O1639" s="26" t="s">
        <v>29</v>
      </c>
      <c r="P1639" s="29"/>
      <c r="Q1639" s="6"/>
      <c r="R1639" s="29"/>
      <c r="S1639" s="10"/>
      <c r="T1639" s="8">
        <v>1</v>
      </c>
    </row>
    <row r="1640" spans="1:20" ht="15.75" customHeight="1" x14ac:dyDescent="0.35">
      <c r="A1640" s="25" t="s">
        <v>2084</v>
      </c>
      <c r="B1640" s="25" t="s">
        <v>2094</v>
      </c>
      <c r="C1640" s="26">
        <v>207527</v>
      </c>
      <c r="D1640" s="25" t="s">
        <v>2176</v>
      </c>
      <c r="E1640" s="25" t="s">
        <v>2096</v>
      </c>
      <c r="F1640" s="26" t="s">
        <v>215</v>
      </c>
      <c r="G1640" s="26" t="s">
        <v>215</v>
      </c>
      <c r="H1640" s="26">
        <v>1</v>
      </c>
      <c r="I1640" s="26">
        <v>1</v>
      </c>
      <c r="J1640" s="26">
        <v>1</v>
      </c>
      <c r="K1640" s="26">
        <v>138</v>
      </c>
      <c r="L1640" s="26" t="s">
        <v>28</v>
      </c>
      <c r="M1640" s="27">
        <v>2214</v>
      </c>
      <c r="N1640" s="30">
        <v>130441.77</v>
      </c>
      <c r="O1640" s="26" t="s">
        <v>29</v>
      </c>
      <c r="P1640" s="29"/>
      <c r="Q1640" s="6"/>
      <c r="R1640" s="29"/>
      <c r="S1640" s="10"/>
      <c r="T1640" s="8">
        <v>1</v>
      </c>
    </row>
    <row r="1641" spans="1:20" ht="15.75" customHeight="1" x14ac:dyDescent="0.35">
      <c r="A1641" s="25" t="s">
        <v>2084</v>
      </c>
      <c r="B1641" s="25" t="s">
        <v>2094</v>
      </c>
      <c r="C1641" s="26">
        <v>207529</v>
      </c>
      <c r="D1641" s="25" t="s">
        <v>2177</v>
      </c>
      <c r="E1641" s="25" t="s">
        <v>2135</v>
      </c>
      <c r="F1641" s="26" t="s">
        <v>90</v>
      </c>
      <c r="G1641" s="26" t="s">
        <v>90</v>
      </c>
      <c r="H1641" s="26">
        <v>1</v>
      </c>
      <c r="I1641" s="26">
        <v>1</v>
      </c>
      <c r="J1641" s="26">
        <v>1</v>
      </c>
      <c r="K1641" s="26">
        <v>138</v>
      </c>
      <c r="L1641" s="26" t="s">
        <v>28</v>
      </c>
      <c r="M1641" s="27">
        <v>2243</v>
      </c>
      <c r="N1641" s="28">
        <v>130441.77</v>
      </c>
      <c r="O1641" s="26" t="s">
        <v>29</v>
      </c>
      <c r="P1641" s="29"/>
      <c r="Q1641" s="6"/>
      <c r="R1641" s="29"/>
      <c r="S1641" s="10"/>
      <c r="T1641" s="8">
        <v>1</v>
      </c>
    </row>
    <row r="1642" spans="1:20" ht="15.75" customHeight="1" x14ac:dyDescent="0.35">
      <c r="A1642" s="25" t="s">
        <v>2084</v>
      </c>
      <c r="B1642" s="25" t="s">
        <v>2094</v>
      </c>
      <c r="C1642" s="26">
        <v>207535</v>
      </c>
      <c r="D1642" s="25" t="s">
        <v>2178</v>
      </c>
      <c r="E1642" s="25" t="s">
        <v>208</v>
      </c>
      <c r="F1642" s="26" t="s">
        <v>215</v>
      </c>
      <c r="G1642" s="26" t="s">
        <v>215</v>
      </c>
      <c r="H1642" s="26">
        <v>1</v>
      </c>
      <c r="I1642" s="26">
        <v>1</v>
      </c>
      <c r="J1642" s="26">
        <v>1</v>
      </c>
      <c r="K1642" s="26">
        <v>138</v>
      </c>
      <c r="L1642" s="26" t="s">
        <v>28</v>
      </c>
      <c r="M1642" s="27">
        <v>2189</v>
      </c>
      <c r="N1642" s="28">
        <v>130441.77</v>
      </c>
      <c r="O1642" s="26" t="s">
        <v>29</v>
      </c>
      <c r="P1642" s="29"/>
      <c r="Q1642" s="6"/>
      <c r="R1642" s="29"/>
      <c r="S1642" s="10"/>
      <c r="T1642" s="8">
        <v>1</v>
      </c>
    </row>
    <row r="1643" spans="1:20" ht="15.75" customHeight="1" x14ac:dyDescent="0.35">
      <c r="A1643" s="25" t="s">
        <v>2084</v>
      </c>
      <c r="B1643" s="25" t="s">
        <v>2094</v>
      </c>
      <c r="C1643" s="26">
        <v>207537</v>
      </c>
      <c r="D1643" s="25" t="s">
        <v>2179</v>
      </c>
      <c r="E1643" s="25" t="s">
        <v>2127</v>
      </c>
      <c r="F1643" s="26" t="s">
        <v>90</v>
      </c>
      <c r="G1643" s="26" t="s">
        <v>90</v>
      </c>
      <c r="H1643" s="26">
        <v>1</v>
      </c>
      <c r="I1643" s="26">
        <v>1</v>
      </c>
      <c r="J1643" s="26">
        <v>1</v>
      </c>
      <c r="K1643" s="26">
        <v>138</v>
      </c>
      <c r="L1643" s="26" t="s">
        <v>28</v>
      </c>
      <c r="M1643" s="27">
        <v>2250</v>
      </c>
      <c r="N1643" s="30">
        <v>130441.77</v>
      </c>
      <c r="O1643" s="26" t="s">
        <v>29</v>
      </c>
      <c r="P1643" s="29"/>
      <c r="Q1643" s="6"/>
      <c r="R1643" s="29"/>
      <c r="S1643" s="10"/>
      <c r="T1643" s="8">
        <v>1</v>
      </c>
    </row>
    <row r="1644" spans="1:20" ht="15.75" customHeight="1" x14ac:dyDescent="0.35">
      <c r="A1644" s="25" t="s">
        <v>2084</v>
      </c>
      <c r="B1644" s="25" t="s">
        <v>2094</v>
      </c>
      <c r="C1644" s="26">
        <v>207540</v>
      </c>
      <c r="D1644" s="25" t="s">
        <v>2180</v>
      </c>
      <c r="E1644" s="25" t="s">
        <v>2109</v>
      </c>
      <c r="F1644" s="26" t="s">
        <v>215</v>
      </c>
      <c r="G1644" s="26" t="s">
        <v>215</v>
      </c>
      <c r="H1644" s="26">
        <v>1</v>
      </c>
      <c r="I1644" s="26">
        <v>1</v>
      </c>
      <c r="J1644" s="26">
        <v>1</v>
      </c>
      <c r="K1644" s="26">
        <v>138</v>
      </c>
      <c r="L1644" s="26" t="s">
        <v>28</v>
      </c>
      <c r="M1644" s="27">
        <v>2186</v>
      </c>
      <c r="N1644" s="28">
        <v>130441.77</v>
      </c>
      <c r="O1644" s="26" t="s">
        <v>29</v>
      </c>
      <c r="P1644" s="29"/>
      <c r="Q1644" s="6"/>
      <c r="R1644" s="29"/>
      <c r="S1644" s="10"/>
      <c r="T1644" s="8">
        <v>1</v>
      </c>
    </row>
    <row r="1645" spans="1:20" ht="15.75" customHeight="1" x14ac:dyDescent="0.35">
      <c r="A1645" s="25" t="s">
        <v>2084</v>
      </c>
      <c r="B1645" s="25" t="s">
        <v>2094</v>
      </c>
      <c r="C1645" s="26">
        <v>207541</v>
      </c>
      <c r="D1645" s="25" t="s">
        <v>2181</v>
      </c>
      <c r="E1645" s="25" t="s">
        <v>2127</v>
      </c>
      <c r="F1645" s="26" t="s">
        <v>90</v>
      </c>
      <c r="G1645" s="26" t="s">
        <v>90</v>
      </c>
      <c r="H1645" s="26">
        <v>1</v>
      </c>
      <c r="I1645" s="26">
        <v>1</v>
      </c>
      <c r="J1645" s="26">
        <v>1</v>
      </c>
      <c r="K1645" s="26">
        <v>138</v>
      </c>
      <c r="L1645" s="26" t="s">
        <v>28</v>
      </c>
      <c r="M1645" s="27">
        <v>2263</v>
      </c>
      <c r="N1645" s="30">
        <v>130441.77</v>
      </c>
      <c r="O1645" s="26" t="s">
        <v>29</v>
      </c>
      <c r="P1645" s="29"/>
      <c r="Q1645" s="6"/>
      <c r="R1645" s="29"/>
      <c r="S1645" s="10"/>
      <c r="T1645" s="8">
        <v>1</v>
      </c>
    </row>
    <row r="1646" spans="1:20" ht="15.75" customHeight="1" x14ac:dyDescent="0.35">
      <c r="A1646" s="25" t="s">
        <v>2084</v>
      </c>
      <c r="B1646" s="25" t="s">
        <v>2094</v>
      </c>
      <c r="C1646" s="26">
        <v>207542</v>
      </c>
      <c r="D1646" s="25" t="s">
        <v>2182</v>
      </c>
      <c r="E1646" s="25" t="s">
        <v>2146</v>
      </c>
      <c r="F1646" s="26" t="s">
        <v>215</v>
      </c>
      <c r="G1646" s="26" t="s">
        <v>215</v>
      </c>
      <c r="H1646" s="26">
        <v>1</v>
      </c>
      <c r="I1646" s="26">
        <v>1</v>
      </c>
      <c r="J1646" s="26">
        <v>1</v>
      </c>
      <c r="K1646" s="26">
        <v>138</v>
      </c>
      <c r="L1646" s="26" t="s">
        <v>28</v>
      </c>
      <c r="M1646" s="27">
        <v>2180</v>
      </c>
      <c r="N1646" s="28">
        <v>130441.77</v>
      </c>
      <c r="O1646" s="26" t="s">
        <v>29</v>
      </c>
      <c r="P1646" s="29"/>
      <c r="Q1646" s="6"/>
      <c r="R1646" s="29"/>
      <c r="S1646" s="10"/>
      <c r="T1646" s="8">
        <v>1</v>
      </c>
    </row>
    <row r="1647" spans="1:20" ht="15.75" customHeight="1" x14ac:dyDescent="0.35">
      <c r="A1647" s="25" t="s">
        <v>2084</v>
      </c>
      <c r="B1647" s="25" t="s">
        <v>2094</v>
      </c>
      <c r="C1647" s="26">
        <v>207543</v>
      </c>
      <c r="D1647" s="25" t="s">
        <v>2183</v>
      </c>
      <c r="E1647" s="25" t="s">
        <v>2151</v>
      </c>
      <c r="F1647" s="26" t="s">
        <v>215</v>
      </c>
      <c r="G1647" s="26" t="s">
        <v>215</v>
      </c>
      <c r="H1647" s="26">
        <v>1</v>
      </c>
      <c r="I1647" s="26">
        <v>2</v>
      </c>
      <c r="J1647" s="26">
        <v>1</v>
      </c>
      <c r="K1647" s="26">
        <v>138</v>
      </c>
      <c r="L1647" s="26" t="s">
        <v>28</v>
      </c>
      <c r="M1647" s="27">
        <v>2212</v>
      </c>
      <c r="N1647" s="28">
        <v>200221.98</v>
      </c>
      <c r="O1647" s="26" t="s">
        <v>29</v>
      </c>
      <c r="P1647" s="29"/>
      <c r="Q1647" s="6"/>
      <c r="R1647" s="29"/>
      <c r="S1647" s="10"/>
      <c r="T1647" s="8">
        <v>1</v>
      </c>
    </row>
    <row r="1648" spans="1:20" ht="15.75" customHeight="1" x14ac:dyDescent="0.35">
      <c r="A1648" s="25" t="s">
        <v>2084</v>
      </c>
      <c r="B1648" s="25" t="s">
        <v>2094</v>
      </c>
      <c r="C1648" s="26">
        <v>207544</v>
      </c>
      <c r="D1648" s="25" t="s">
        <v>2184</v>
      </c>
      <c r="E1648" s="25" t="s">
        <v>2102</v>
      </c>
      <c r="F1648" s="26" t="s">
        <v>90</v>
      </c>
      <c r="G1648" s="26" t="s">
        <v>90</v>
      </c>
      <c r="H1648" s="26">
        <v>1</v>
      </c>
      <c r="I1648" s="26">
        <v>1</v>
      </c>
      <c r="J1648" s="26">
        <v>1</v>
      </c>
      <c r="K1648" s="26">
        <v>138</v>
      </c>
      <c r="L1648" s="26" t="s">
        <v>28</v>
      </c>
      <c r="M1648" s="27">
        <v>2258</v>
      </c>
      <c r="N1648" s="30">
        <v>130441.77</v>
      </c>
      <c r="O1648" s="26" t="s">
        <v>29</v>
      </c>
      <c r="P1648" s="29"/>
      <c r="Q1648" s="6"/>
      <c r="R1648" s="29"/>
      <c r="S1648" s="10"/>
      <c r="T1648" s="8">
        <v>1</v>
      </c>
    </row>
    <row r="1649" spans="1:20" ht="15.75" customHeight="1" x14ac:dyDescent="0.35">
      <c r="A1649" s="25" t="s">
        <v>2084</v>
      </c>
      <c r="B1649" s="25" t="s">
        <v>2094</v>
      </c>
      <c r="C1649" s="26">
        <v>207545</v>
      </c>
      <c r="D1649" s="25" t="s">
        <v>2185</v>
      </c>
      <c r="E1649" s="25" t="s">
        <v>2124</v>
      </c>
      <c r="F1649" s="26" t="s">
        <v>491</v>
      </c>
      <c r="G1649" s="26" t="s">
        <v>491</v>
      </c>
      <c r="H1649" s="26">
        <v>1</v>
      </c>
      <c r="I1649" s="26">
        <v>1</v>
      </c>
      <c r="J1649" s="26">
        <v>1</v>
      </c>
      <c r="K1649" s="26">
        <v>138</v>
      </c>
      <c r="L1649" s="26" t="s">
        <v>28</v>
      </c>
      <c r="M1649" s="27">
        <v>2268</v>
      </c>
      <c r="N1649" s="28">
        <v>130441.77</v>
      </c>
      <c r="O1649" s="26" t="s">
        <v>29</v>
      </c>
      <c r="P1649" s="29"/>
      <c r="Q1649" s="6"/>
      <c r="R1649" s="29"/>
      <c r="S1649" s="10"/>
      <c r="T1649" s="8">
        <v>1</v>
      </c>
    </row>
    <row r="1650" spans="1:20" ht="15.75" customHeight="1" x14ac:dyDescent="0.35">
      <c r="A1650" s="25" t="s">
        <v>2084</v>
      </c>
      <c r="B1650" s="25" t="s">
        <v>2094</v>
      </c>
      <c r="C1650" s="26">
        <v>207546</v>
      </c>
      <c r="D1650" s="25" t="s">
        <v>2186</v>
      </c>
      <c r="E1650" s="25" t="s">
        <v>2124</v>
      </c>
      <c r="F1650" s="26" t="s">
        <v>491</v>
      </c>
      <c r="G1650" s="26" t="s">
        <v>491</v>
      </c>
      <c r="H1650" s="26">
        <v>1</v>
      </c>
      <c r="I1650" s="26">
        <v>1</v>
      </c>
      <c r="J1650" s="26">
        <v>1</v>
      </c>
      <c r="K1650" s="26">
        <v>138</v>
      </c>
      <c r="L1650" s="26" t="s">
        <v>28</v>
      </c>
      <c r="M1650" s="27">
        <v>2271</v>
      </c>
      <c r="N1650" s="30">
        <v>130441.77</v>
      </c>
      <c r="O1650" s="26" t="s">
        <v>29</v>
      </c>
      <c r="P1650" s="29"/>
      <c r="Q1650" s="6"/>
      <c r="R1650" s="29"/>
      <c r="S1650" s="10"/>
      <c r="T1650" s="8">
        <v>1</v>
      </c>
    </row>
    <row r="1651" spans="1:20" ht="15.75" customHeight="1" x14ac:dyDescent="0.35">
      <c r="A1651" s="25" t="s">
        <v>2084</v>
      </c>
      <c r="B1651" s="25" t="s">
        <v>2094</v>
      </c>
      <c r="C1651" s="26">
        <v>207547</v>
      </c>
      <c r="D1651" s="25" t="s">
        <v>2187</v>
      </c>
      <c r="E1651" s="25" t="s">
        <v>2124</v>
      </c>
      <c r="F1651" s="26" t="s">
        <v>491</v>
      </c>
      <c r="G1651" s="26" t="s">
        <v>491</v>
      </c>
      <c r="H1651" s="26">
        <v>1</v>
      </c>
      <c r="I1651" s="26">
        <v>1</v>
      </c>
      <c r="J1651" s="26">
        <v>1</v>
      </c>
      <c r="K1651" s="26">
        <v>138</v>
      </c>
      <c r="L1651" s="26" t="s">
        <v>28</v>
      </c>
      <c r="M1651" s="27">
        <v>2270</v>
      </c>
      <c r="N1651" s="28">
        <v>130441.77</v>
      </c>
      <c r="O1651" s="26" t="s">
        <v>29</v>
      </c>
      <c r="P1651" s="29"/>
      <c r="Q1651" s="6"/>
      <c r="R1651" s="29"/>
      <c r="S1651" s="10"/>
      <c r="T1651" s="8">
        <v>1</v>
      </c>
    </row>
    <row r="1652" spans="1:20" ht="15.75" customHeight="1" x14ac:dyDescent="0.35">
      <c r="A1652" s="25" t="s">
        <v>2084</v>
      </c>
      <c r="B1652" s="25" t="s">
        <v>2094</v>
      </c>
      <c r="C1652" s="26">
        <v>207548</v>
      </c>
      <c r="D1652" s="25" t="s">
        <v>2188</v>
      </c>
      <c r="E1652" s="25" t="s">
        <v>2096</v>
      </c>
      <c r="F1652" s="26" t="s">
        <v>215</v>
      </c>
      <c r="G1652" s="26" t="s">
        <v>215</v>
      </c>
      <c r="H1652" s="26">
        <v>1</v>
      </c>
      <c r="I1652" s="26">
        <v>1</v>
      </c>
      <c r="J1652" s="26">
        <v>1</v>
      </c>
      <c r="K1652" s="26">
        <v>138</v>
      </c>
      <c r="L1652" s="26" t="s">
        <v>28</v>
      </c>
      <c r="M1652" s="27">
        <v>2208</v>
      </c>
      <c r="N1652" s="28">
        <v>130441.77</v>
      </c>
      <c r="O1652" s="26" t="s">
        <v>29</v>
      </c>
      <c r="P1652" s="29"/>
      <c r="Q1652" s="6"/>
      <c r="R1652" s="29"/>
      <c r="S1652" s="10"/>
      <c r="T1652" s="8">
        <v>1</v>
      </c>
    </row>
    <row r="1653" spans="1:20" ht="15.75" customHeight="1" x14ac:dyDescent="0.35">
      <c r="A1653" s="25" t="s">
        <v>2084</v>
      </c>
      <c r="B1653" s="25" t="s">
        <v>2094</v>
      </c>
      <c r="C1653" s="26">
        <v>207549</v>
      </c>
      <c r="D1653" s="25" t="s">
        <v>2189</v>
      </c>
      <c r="E1653" s="25" t="s">
        <v>2096</v>
      </c>
      <c r="F1653" s="26" t="s">
        <v>215</v>
      </c>
      <c r="G1653" s="26" t="s">
        <v>215</v>
      </c>
      <c r="H1653" s="26">
        <v>1</v>
      </c>
      <c r="I1653" s="26">
        <v>1</v>
      </c>
      <c r="J1653" s="26">
        <v>1</v>
      </c>
      <c r="K1653" s="26">
        <v>138</v>
      </c>
      <c r="L1653" s="26" t="s">
        <v>28</v>
      </c>
      <c r="M1653" s="27">
        <v>2215</v>
      </c>
      <c r="N1653" s="30">
        <v>130441.77</v>
      </c>
      <c r="O1653" s="26" t="s">
        <v>29</v>
      </c>
      <c r="P1653" s="29"/>
      <c r="Q1653" s="6"/>
      <c r="R1653" s="29"/>
      <c r="S1653" s="10"/>
      <c r="T1653" s="8">
        <v>1</v>
      </c>
    </row>
    <row r="1654" spans="1:20" ht="15.75" customHeight="1" x14ac:dyDescent="0.35">
      <c r="A1654" s="25" t="s">
        <v>2084</v>
      </c>
      <c r="B1654" s="25" t="s">
        <v>2094</v>
      </c>
      <c r="C1654" s="26">
        <v>207551</v>
      </c>
      <c r="D1654" s="25" t="s">
        <v>2190</v>
      </c>
      <c r="E1654" s="25" t="s">
        <v>2124</v>
      </c>
      <c r="F1654" s="26" t="s">
        <v>491</v>
      </c>
      <c r="G1654" s="26" t="s">
        <v>491</v>
      </c>
      <c r="H1654" s="26">
        <v>1</v>
      </c>
      <c r="I1654" s="26">
        <v>1</v>
      </c>
      <c r="J1654" s="26">
        <v>1</v>
      </c>
      <c r="K1654" s="26">
        <v>138</v>
      </c>
      <c r="L1654" s="26" t="s">
        <v>28</v>
      </c>
      <c r="M1654" s="27">
        <v>2267</v>
      </c>
      <c r="N1654" s="28">
        <v>130441.77</v>
      </c>
      <c r="O1654" s="26" t="s">
        <v>29</v>
      </c>
      <c r="P1654" s="29"/>
      <c r="Q1654" s="6"/>
      <c r="R1654" s="29"/>
      <c r="S1654" s="10"/>
      <c r="T1654" s="8">
        <v>1</v>
      </c>
    </row>
    <row r="1655" spans="1:20" ht="15.75" customHeight="1" x14ac:dyDescent="0.35">
      <c r="A1655" s="25" t="s">
        <v>2084</v>
      </c>
      <c r="B1655" s="25" t="s">
        <v>2094</v>
      </c>
      <c r="C1655" s="26">
        <v>207552</v>
      </c>
      <c r="D1655" s="25" t="s">
        <v>2191</v>
      </c>
      <c r="E1655" s="25" t="s">
        <v>2135</v>
      </c>
      <c r="F1655" s="26" t="s">
        <v>90</v>
      </c>
      <c r="G1655" s="26" t="s">
        <v>90</v>
      </c>
      <c r="H1655" s="26">
        <v>1</v>
      </c>
      <c r="I1655" s="26">
        <v>1</v>
      </c>
      <c r="J1655" s="26">
        <v>1</v>
      </c>
      <c r="K1655" s="26">
        <v>138</v>
      </c>
      <c r="L1655" s="26" t="s">
        <v>28</v>
      </c>
      <c r="M1655" s="27">
        <v>2233</v>
      </c>
      <c r="N1655" s="28">
        <v>130441.77</v>
      </c>
      <c r="O1655" s="26" t="s">
        <v>29</v>
      </c>
      <c r="P1655" s="29"/>
      <c r="Q1655" s="6"/>
      <c r="R1655" s="29"/>
      <c r="S1655" s="10"/>
      <c r="T1655" s="8">
        <v>1</v>
      </c>
    </row>
    <row r="1656" spans="1:20" ht="15.75" customHeight="1" x14ac:dyDescent="0.35">
      <c r="A1656" s="25" t="s">
        <v>2084</v>
      </c>
      <c r="B1656" s="25" t="s">
        <v>2094</v>
      </c>
      <c r="C1656" s="26">
        <v>207555</v>
      </c>
      <c r="D1656" s="25" t="s">
        <v>2192</v>
      </c>
      <c r="E1656" s="25" t="s">
        <v>2127</v>
      </c>
      <c r="F1656" s="26" t="s">
        <v>90</v>
      </c>
      <c r="G1656" s="26" t="s">
        <v>90</v>
      </c>
      <c r="H1656" s="26">
        <v>1</v>
      </c>
      <c r="I1656" s="26">
        <v>1</v>
      </c>
      <c r="J1656" s="26">
        <v>1</v>
      </c>
      <c r="K1656" s="26">
        <v>138</v>
      </c>
      <c r="L1656" s="26" t="s">
        <v>28</v>
      </c>
      <c r="M1656" s="27">
        <v>2227</v>
      </c>
      <c r="N1656" s="30">
        <v>130441.77</v>
      </c>
      <c r="O1656" s="26" t="s">
        <v>29</v>
      </c>
      <c r="P1656" s="29"/>
      <c r="Q1656" s="6"/>
      <c r="R1656" s="29"/>
      <c r="S1656" s="10"/>
      <c r="T1656" s="8">
        <v>1</v>
      </c>
    </row>
    <row r="1657" spans="1:20" ht="15.75" customHeight="1" x14ac:dyDescent="0.35">
      <c r="A1657" s="25" t="s">
        <v>2084</v>
      </c>
      <c r="B1657" s="25" t="s">
        <v>2094</v>
      </c>
      <c r="C1657" s="26">
        <v>207558</v>
      </c>
      <c r="D1657" s="25" t="s">
        <v>2193</v>
      </c>
      <c r="E1657" s="25" t="s">
        <v>2133</v>
      </c>
      <c r="F1657" s="26" t="s">
        <v>90</v>
      </c>
      <c r="G1657" s="26" t="s">
        <v>90</v>
      </c>
      <c r="H1657" s="26">
        <v>1</v>
      </c>
      <c r="I1657" s="26">
        <v>1</v>
      </c>
      <c r="J1657" s="26">
        <v>1</v>
      </c>
      <c r="K1657" s="26">
        <v>138</v>
      </c>
      <c r="L1657" s="26" t="s">
        <v>28</v>
      </c>
      <c r="M1657" s="27">
        <v>2218</v>
      </c>
      <c r="N1657" s="30">
        <v>130441.77</v>
      </c>
      <c r="O1657" s="26" t="s">
        <v>29</v>
      </c>
      <c r="P1657" s="29"/>
      <c r="Q1657" s="6"/>
      <c r="R1657" s="29"/>
      <c r="S1657" s="10"/>
      <c r="T1657" s="8">
        <v>1</v>
      </c>
    </row>
    <row r="1658" spans="1:20" ht="15.75" customHeight="1" x14ac:dyDescent="0.35">
      <c r="A1658" s="25" t="s">
        <v>2084</v>
      </c>
      <c r="B1658" s="25" t="s">
        <v>2094</v>
      </c>
      <c r="C1658" s="26">
        <v>207559</v>
      </c>
      <c r="D1658" s="25" t="s">
        <v>2194</v>
      </c>
      <c r="E1658" s="25" t="s">
        <v>2133</v>
      </c>
      <c r="F1658" s="26" t="s">
        <v>90</v>
      </c>
      <c r="G1658" s="26" t="s">
        <v>90</v>
      </c>
      <c r="H1658" s="26"/>
      <c r="I1658" s="26"/>
      <c r="J1658" s="26">
        <v>1</v>
      </c>
      <c r="K1658" s="26">
        <v>138</v>
      </c>
      <c r="L1658" s="26" t="s">
        <v>28</v>
      </c>
      <c r="M1658" s="27">
        <v>2225</v>
      </c>
      <c r="N1658" s="28"/>
      <c r="O1658" s="26" t="s">
        <v>29</v>
      </c>
      <c r="P1658" s="29"/>
      <c r="Q1658" s="6"/>
      <c r="R1658" s="29"/>
      <c r="S1658" s="10"/>
      <c r="T1658" s="8"/>
    </row>
    <row r="1659" spans="1:20" ht="15.75" customHeight="1" x14ac:dyDescent="0.35">
      <c r="A1659" s="25" t="s">
        <v>2084</v>
      </c>
      <c r="B1659" s="25" t="s">
        <v>2094</v>
      </c>
      <c r="C1659" s="26">
        <v>207560</v>
      </c>
      <c r="D1659" s="25" t="s">
        <v>2195</v>
      </c>
      <c r="E1659" s="25" t="s">
        <v>2133</v>
      </c>
      <c r="F1659" s="26" t="s">
        <v>90</v>
      </c>
      <c r="G1659" s="26" t="s">
        <v>90</v>
      </c>
      <c r="H1659" s="26">
        <v>1</v>
      </c>
      <c r="I1659" s="26">
        <v>1</v>
      </c>
      <c r="J1659" s="26">
        <v>1</v>
      </c>
      <c r="K1659" s="26">
        <v>138</v>
      </c>
      <c r="L1659" s="26" t="s">
        <v>28</v>
      </c>
      <c r="M1659" s="27">
        <v>2259</v>
      </c>
      <c r="N1659" s="28">
        <v>130441.77</v>
      </c>
      <c r="O1659" s="26" t="s">
        <v>29</v>
      </c>
      <c r="P1659" s="29"/>
      <c r="Q1659" s="6"/>
      <c r="R1659" s="29"/>
      <c r="S1659" s="10"/>
      <c r="T1659" s="8">
        <v>1</v>
      </c>
    </row>
    <row r="1660" spans="1:20" ht="15.75" customHeight="1" x14ac:dyDescent="0.35">
      <c r="A1660" s="25" t="s">
        <v>2084</v>
      </c>
      <c r="B1660" s="25" t="s">
        <v>2094</v>
      </c>
      <c r="C1660" s="26">
        <v>207561</v>
      </c>
      <c r="D1660" s="25" t="s">
        <v>2196</v>
      </c>
      <c r="E1660" s="25" t="s">
        <v>2135</v>
      </c>
      <c r="F1660" s="26" t="s">
        <v>90</v>
      </c>
      <c r="G1660" s="26" t="s">
        <v>90</v>
      </c>
      <c r="H1660" s="26">
        <v>1</v>
      </c>
      <c r="I1660" s="26">
        <v>1</v>
      </c>
      <c r="J1660" s="26">
        <v>1</v>
      </c>
      <c r="K1660" s="26">
        <v>138</v>
      </c>
      <c r="L1660" s="26" t="s">
        <v>28</v>
      </c>
      <c r="M1660" s="27">
        <v>2256</v>
      </c>
      <c r="N1660" s="30">
        <v>130441.77</v>
      </c>
      <c r="O1660" s="26" t="s">
        <v>29</v>
      </c>
      <c r="P1660" s="29"/>
      <c r="Q1660" s="6"/>
      <c r="R1660" s="29"/>
      <c r="S1660" s="10"/>
      <c r="T1660" s="8">
        <v>1</v>
      </c>
    </row>
    <row r="1661" spans="1:20" ht="15.75" customHeight="1" x14ac:dyDescent="0.35">
      <c r="A1661" s="25" t="s">
        <v>2084</v>
      </c>
      <c r="B1661" s="25" t="s">
        <v>2094</v>
      </c>
      <c r="C1661" s="26">
        <v>207562</v>
      </c>
      <c r="D1661" s="25" t="s">
        <v>2197</v>
      </c>
      <c r="E1661" s="25" t="s">
        <v>2135</v>
      </c>
      <c r="F1661" s="26" t="s">
        <v>90</v>
      </c>
      <c r="G1661" s="26" t="s">
        <v>90</v>
      </c>
      <c r="H1661" s="26">
        <v>1</v>
      </c>
      <c r="I1661" s="26">
        <v>1</v>
      </c>
      <c r="J1661" s="26">
        <v>1</v>
      </c>
      <c r="K1661" s="26">
        <v>138</v>
      </c>
      <c r="L1661" s="26" t="s">
        <v>28</v>
      </c>
      <c r="M1661" s="27">
        <v>2251</v>
      </c>
      <c r="N1661" s="30">
        <v>130441.77</v>
      </c>
      <c r="O1661" s="26" t="s">
        <v>29</v>
      </c>
      <c r="P1661" s="29"/>
      <c r="Q1661" s="6"/>
      <c r="R1661" s="29"/>
      <c r="S1661" s="10"/>
      <c r="T1661" s="8">
        <v>1</v>
      </c>
    </row>
    <row r="1662" spans="1:20" ht="15.75" customHeight="1" x14ac:dyDescent="0.35">
      <c r="A1662" s="25" t="s">
        <v>2084</v>
      </c>
      <c r="B1662" s="25" t="s">
        <v>2094</v>
      </c>
      <c r="C1662" s="26">
        <v>207563</v>
      </c>
      <c r="D1662" s="25" t="s">
        <v>2198</v>
      </c>
      <c r="E1662" s="25" t="s">
        <v>2151</v>
      </c>
      <c r="F1662" s="26" t="s">
        <v>215</v>
      </c>
      <c r="G1662" s="26" t="s">
        <v>215</v>
      </c>
      <c r="H1662" s="26">
        <v>1</v>
      </c>
      <c r="I1662" s="26">
        <v>1</v>
      </c>
      <c r="J1662" s="26">
        <v>1</v>
      </c>
      <c r="K1662" s="26">
        <v>138</v>
      </c>
      <c r="L1662" s="26" t="s">
        <v>28</v>
      </c>
      <c r="M1662" s="27">
        <v>2198</v>
      </c>
      <c r="N1662" s="28">
        <v>130441.77</v>
      </c>
      <c r="O1662" s="26" t="s">
        <v>29</v>
      </c>
      <c r="P1662" s="29"/>
      <c r="Q1662" s="6"/>
      <c r="R1662" s="29"/>
      <c r="S1662" s="10"/>
      <c r="T1662" s="8">
        <v>1</v>
      </c>
    </row>
    <row r="1663" spans="1:20" ht="15.75" customHeight="1" x14ac:dyDescent="0.35">
      <c r="A1663" s="25" t="s">
        <v>2084</v>
      </c>
      <c r="B1663" s="25" t="s">
        <v>2094</v>
      </c>
      <c r="C1663" s="26">
        <v>207566</v>
      </c>
      <c r="D1663" s="25" t="s">
        <v>2199</v>
      </c>
      <c r="E1663" s="25" t="s">
        <v>2133</v>
      </c>
      <c r="F1663" s="26" t="s">
        <v>90</v>
      </c>
      <c r="G1663" s="26" t="s">
        <v>90</v>
      </c>
      <c r="H1663" s="26">
        <v>1</v>
      </c>
      <c r="I1663" s="26">
        <v>1</v>
      </c>
      <c r="J1663" s="26">
        <v>1</v>
      </c>
      <c r="K1663" s="26">
        <v>138</v>
      </c>
      <c r="L1663" s="26" t="s">
        <v>28</v>
      </c>
      <c r="M1663" s="27">
        <v>2247</v>
      </c>
      <c r="N1663" s="30">
        <v>130441.77</v>
      </c>
      <c r="O1663" s="26" t="s">
        <v>29</v>
      </c>
      <c r="P1663" s="29"/>
      <c r="Q1663" s="6"/>
      <c r="R1663" s="29"/>
      <c r="S1663" s="10"/>
      <c r="T1663" s="8">
        <v>1</v>
      </c>
    </row>
    <row r="1664" spans="1:20" ht="15.75" customHeight="1" x14ac:dyDescent="0.35">
      <c r="A1664" s="25" t="s">
        <v>2084</v>
      </c>
      <c r="B1664" s="25" t="s">
        <v>2094</v>
      </c>
      <c r="C1664" s="26">
        <v>207567</v>
      </c>
      <c r="D1664" s="25" t="s">
        <v>2200</v>
      </c>
      <c r="E1664" s="25" t="s">
        <v>2201</v>
      </c>
      <c r="F1664" s="26" t="s">
        <v>90</v>
      </c>
      <c r="G1664" s="26" t="s">
        <v>90</v>
      </c>
      <c r="H1664" s="26">
        <v>1</v>
      </c>
      <c r="I1664" s="26">
        <v>1</v>
      </c>
      <c r="J1664" s="26">
        <v>1</v>
      </c>
      <c r="K1664" s="26">
        <v>138</v>
      </c>
      <c r="L1664" s="26" t="s">
        <v>28</v>
      </c>
      <c r="M1664" s="27">
        <v>2223</v>
      </c>
      <c r="N1664" s="30">
        <v>130441.77</v>
      </c>
      <c r="O1664" s="26" t="s">
        <v>29</v>
      </c>
      <c r="P1664" s="29"/>
      <c r="Q1664" s="6"/>
      <c r="R1664" s="29"/>
      <c r="S1664" s="10"/>
      <c r="T1664" s="8">
        <v>1</v>
      </c>
    </row>
    <row r="1665" spans="1:20" ht="15.75" customHeight="1" x14ac:dyDescent="0.35">
      <c r="A1665" s="25" t="s">
        <v>2084</v>
      </c>
      <c r="B1665" s="25" t="s">
        <v>2094</v>
      </c>
      <c r="C1665" s="26">
        <v>207569</v>
      </c>
      <c r="D1665" s="25" t="s">
        <v>2202</v>
      </c>
      <c r="E1665" s="25" t="s">
        <v>2124</v>
      </c>
      <c r="F1665" s="26" t="s">
        <v>215</v>
      </c>
      <c r="G1665" s="26" t="s">
        <v>215</v>
      </c>
      <c r="H1665" s="26">
        <v>1</v>
      </c>
      <c r="I1665" s="26">
        <v>1</v>
      </c>
      <c r="J1665" s="26">
        <v>1</v>
      </c>
      <c r="K1665" s="26">
        <v>138</v>
      </c>
      <c r="L1665" s="26" t="s">
        <v>28</v>
      </c>
      <c r="M1665" s="27">
        <v>2217</v>
      </c>
      <c r="N1665" s="30">
        <v>130441.77</v>
      </c>
      <c r="O1665" s="26" t="s">
        <v>29</v>
      </c>
      <c r="P1665" s="29"/>
      <c r="Q1665" s="6"/>
      <c r="R1665" s="29"/>
      <c r="S1665" s="10"/>
      <c r="T1665" s="8">
        <v>1</v>
      </c>
    </row>
    <row r="1666" spans="1:20" ht="15.75" customHeight="1" x14ac:dyDescent="0.35">
      <c r="A1666" s="25" t="s">
        <v>2084</v>
      </c>
      <c r="B1666" s="25" t="s">
        <v>2094</v>
      </c>
      <c r="C1666" s="26">
        <v>207572</v>
      </c>
      <c r="D1666" s="25" t="s">
        <v>2203</v>
      </c>
      <c r="E1666" s="25" t="s">
        <v>2135</v>
      </c>
      <c r="F1666" s="26" t="s">
        <v>90</v>
      </c>
      <c r="G1666" s="26" t="s">
        <v>90</v>
      </c>
      <c r="H1666" s="26">
        <v>1</v>
      </c>
      <c r="I1666" s="26">
        <v>1</v>
      </c>
      <c r="J1666" s="26">
        <v>1</v>
      </c>
      <c r="K1666" s="26">
        <v>138</v>
      </c>
      <c r="L1666" s="26" t="s">
        <v>28</v>
      </c>
      <c r="M1666" s="27">
        <v>2231</v>
      </c>
      <c r="N1666" s="30">
        <v>130441.77</v>
      </c>
      <c r="O1666" s="26" t="s">
        <v>29</v>
      </c>
      <c r="P1666" s="29"/>
      <c r="Q1666" s="6"/>
      <c r="R1666" s="29"/>
      <c r="S1666" s="10"/>
      <c r="T1666" s="8">
        <v>1</v>
      </c>
    </row>
    <row r="1667" spans="1:20" ht="15.75" customHeight="1" x14ac:dyDescent="0.35">
      <c r="A1667" s="25" t="s">
        <v>2084</v>
      </c>
      <c r="B1667" s="25" t="s">
        <v>2094</v>
      </c>
      <c r="C1667" s="26">
        <v>207573</v>
      </c>
      <c r="D1667" s="25" t="s">
        <v>2204</v>
      </c>
      <c r="E1667" s="25" t="s">
        <v>2135</v>
      </c>
      <c r="F1667" s="26" t="s">
        <v>90</v>
      </c>
      <c r="G1667" s="26" t="s">
        <v>90</v>
      </c>
      <c r="H1667" s="26">
        <v>1</v>
      </c>
      <c r="I1667" s="26">
        <v>1</v>
      </c>
      <c r="J1667" s="26">
        <v>1</v>
      </c>
      <c r="K1667" s="26">
        <v>138</v>
      </c>
      <c r="L1667" s="26" t="s">
        <v>28</v>
      </c>
      <c r="M1667" s="27">
        <v>2245</v>
      </c>
      <c r="N1667" s="30">
        <v>130441.77</v>
      </c>
      <c r="O1667" s="26" t="s">
        <v>29</v>
      </c>
      <c r="P1667" s="29"/>
      <c r="Q1667" s="6"/>
      <c r="R1667" s="29"/>
      <c r="S1667" s="10"/>
      <c r="T1667" s="8">
        <v>1</v>
      </c>
    </row>
    <row r="1668" spans="1:20" ht="15.75" customHeight="1" x14ac:dyDescent="0.35">
      <c r="A1668" s="25" t="s">
        <v>2084</v>
      </c>
      <c r="B1668" s="25" t="s">
        <v>2094</v>
      </c>
      <c r="C1668" s="26">
        <v>304479</v>
      </c>
      <c r="D1668" s="25" t="s">
        <v>2205</v>
      </c>
      <c r="E1668" s="25" t="s">
        <v>2146</v>
      </c>
      <c r="F1668" s="26" t="s">
        <v>215</v>
      </c>
      <c r="G1668" s="26" t="s">
        <v>215</v>
      </c>
      <c r="H1668" s="26">
        <v>1</v>
      </c>
      <c r="I1668" s="26">
        <v>1</v>
      </c>
      <c r="J1668" s="26">
        <v>1</v>
      </c>
      <c r="K1668" s="26">
        <v>138</v>
      </c>
      <c r="L1668" s="26" t="s">
        <v>28</v>
      </c>
      <c r="M1668" s="27">
        <v>2202</v>
      </c>
      <c r="N1668" s="30">
        <v>130441.77</v>
      </c>
      <c r="O1668" s="26" t="s">
        <v>29</v>
      </c>
      <c r="P1668" s="29"/>
      <c r="Q1668" s="6"/>
      <c r="R1668" s="29"/>
      <c r="S1668" s="10"/>
      <c r="T1668" s="8">
        <v>1</v>
      </c>
    </row>
    <row r="1669" spans="1:20" ht="15.75" customHeight="1" x14ac:dyDescent="0.35">
      <c r="A1669" s="25" t="s">
        <v>2084</v>
      </c>
      <c r="B1669" s="25" t="s">
        <v>2094</v>
      </c>
      <c r="C1669" s="26">
        <v>316532</v>
      </c>
      <c r="D1669" s="25" t="s">
        <v>2206</v>
      </c>
      <c r="E1669" s="25" t="s">
        <v>2140</v>
      </c>
      <c r="F1669" s="26" t="s">
        <v>215</v>
      </c>
      <c r="G1669" s="26" t="s">
        <v>215</v>
      </c>
      <c r="H1669" s="26">
        <v>1</v>
      </c>
      <c r="I1669" s="26">
        <v>1</v>
      </c>
      <c r="J1669" s="26">
        <v>1</v>
      </c>
      <c r="K1669" s="26">
        <v>138</v>
      </c>
      <c r="L1669" s="26" t="s">
        <v>28</v>
      </c>
      <c r="M1669" s="27">
        <v>2210</v>
      </c>
      <c r="N1669" s="30">
        <v>130441.77</v>
      </c>
      <c r="O1669" s="26" t="s">
        <v>29</v>
      </c>
      <c r="P1669" s="29"/>
      <c r="Q1669" s="6"/>
      <c r="R1669" s="29"/>
      <c r="S1669" s="10"/>
      <c r="T1669" s="8">
        <v>1</v>
      </c>
    </row>
    <row r="1670" spans="1:20" ht="15.75" customHeight="1" x14ac:dyDescent="0.35">
      <c r="A1670" s="25" t="s">
        <v>2084</v>
      </c>
      <c r="B1670" s="25" t="s">
        <v>2094</v>
      </c>
      <c r="C1670" s="26">
        <v>316538</v>
      </c>
      <c r="D1670" s="25" t="s">
        <v>2207</v>
      </c>
      <c r="E1670" s="25" t="s">
        <v>2127</v>
      </c>
      <c r="F1670" s="26" t="s">
        <v>90</v>
      </c>
      <c r="G1670" s="26" t="s">
        <v>90</v>
      </c>
      <c r="H1670" s="26">
        <v>1</v>
      </c>
      <c r="I1670" s="26">
        <v>1</v>
      </c>
      <c r="J1670" s="26">
        <v>1</v>
      </c>
      <c r="K1670" s="26">
        <v>138</v>
      </c>
      <c r="L1670" s="26" t="s">
        <v>28</v>
      </c>
      <c r="M1670" s="27">
        <v>2221</v>
      </c>
      <c r="N1670" s="30">
        <v>130441.77</v>
      </c>
      <c r="O1670" s="26" t="s">
        <v>29</v>
      </c>
      <c r="P1670" s="29"/>
      <c r="Q1670" s="6"/>
      <c r="R1670" s="29"/>
      <c r="S1670" s="10"/>
      <c r="T1670" s="8">
        <v>1</v>
      </c>
    </row>
    <row r="1671" spans="1:20" ht="15.75" customHeight="1" x14ac:dyDescent="0.35">
      <c r="A1671" s="25" t="s">
        <v>2084</v>
      </c>
      <c r="B1671" s="25" t="s">
        <v>2094</v>
      </c>
      <c r="C1671" s="26">
        <v>316552</v>
      </c>
      <c r="D1671" s="25" t="s">
        <v>2208</v>
      </c>
      <c r="E1671" s="25" t="s">
        <v>2209</v>
      </c>
      <c r="F1671" s="26" t="s">
        <v>215</v>
      </c>
      <c r="G1671" s="26" t="s">
        <v>215</v>
      </c>
      <c r="H1671" s="26"/>
      <c r="I1671" s="26"/>
      <c r="J1671" s="26">
        <v>1</v>
      </c>
      <c r="K1671" s="26">
        <v>138</v>
      </c>
      <c r="L1671" s="26" t="s">
        <v>28</v>
      </c>
      <c r="M1671" s="27">
        <v>2190</v>
      </c>
      <c r="N1671" s="28"/>
      <c r="O1671" s="26" t="s">
        <v>29</v>
      </c>
      <c r="P1671" s="29"/>
      <c r="Q1671" s="6"/>
      <c r="R1671" s="29"/>
      <c r="S1671" s="10"/>
      <c r="T1671" s="8"/>
    </row>
    <row r="1672" spans="1:20" ht="15.75" customHeight="1" x14ac:dyDescent="0.35">
      <c r="A1672" s="25" t="s">
        <v>2084</v>
      </c>
      <c r="B1672" s="25" t="s">
        <v>2094</v>
      </c>
      <c r="C1672" s="26">
        <v>316553</v>
      </c>
      <c r="D1672" s="25" t="s">
        <v>2210</v>
      </c>
      <c r="E1672" s="25" t="s">
        <v>2102</v>
      </c>
      <c r="F1672" s="26" t="s">
        <v>90</v>
      </c>
      <c r="G1672" s="26" t="s">
        <v>90</v>
      </c>
      <c r="H1672" s="26">
        <v>1</v>
      </c>
      <c r="I1672" s="26">
        <v>1</v>
      </c>
      <c r="J1672" s="26">
        <v>1</v>
      </c>
      <c r="K1672" s="26">
        <v>138</v>
      </c>
      <c r="L1672" s="26" t="s">
        <v>28</v>
      </c>
      <c r="M1672" s="27">
        <v>2230</v>
      </c>
      <c r="N1672" s="30">
        <v>130441.77</v>
      </c>
      <c r="O1672" s="26" t="s">
        <v>29</v>
      </c>
      <c r="P1672" s="29"/>
      <c r="Q1672" s="6"/>
      <c r="R1672" s="29"/>
      <c r="S1672" s="10"/>
      <c r="T1672" s="8">
        <v>1</v>
      </c>
    </row>
    <row r="1673" spans="1:20" ht="15.75" customHeight="1" x14ac:dyDescent="0.35">
      <c r="A1673" s="25" t="s">
        <v>2084</v>
      </c>
      <c r="B1673" s="25" t="s">
        <v>2094</v>
      </c>
      <c r="C1673" s="26">
        <v>316555</v>
      </c>
      <c r="D1673" s="25" t="s">
        <v>2211</v>
      </c>
      <c r="E1673" s="25" t="s">
        <v>2109</v>
      </c>
      <c r="F1673" s="26" t="s">
        <v>215</v>
      </c>
      <c r="G1673" s="26" t="s">
        <v>215</v>
      </c>
      <c r="H1673" s="26"/>
      <c r="I1673" s="26"/>
      <c r="J1673" s="26">
        <v>1</v>
      </c>
      <c r="K1673" s="26">
        <v>138</v>
      </c>
      <c r="L1673" s="26" t="s">
        <v>28</v>
      </c>
      <c r="M1673" s="27">
        <v>2187</v>
      </c>
      <c r="N1673" s="28"/>
      <c r="O1673" s="26" t="s">
        <v>29</v>
      </c>
      <c r="P1673" s="29"/>
      <c r="Q1673" s="6"/>
      <c r="R1673" s="29"/>
      <c r="S1673" s="10"/>
      <c r="T1673" s="8"/>
    </row>
    <row r="1674" spans="1:20" ht="15.75" customHeight="1" x14ac:dyDescent="0.35">
      <c r="A1674" s="25" t="s">
        <v>2084</v>
      </c>
      <c r="B1674" s="25" t="s">
        <v>2094</v>
      </c>
      <c r="C1674" s="26">
        <v>316557</v>
      </c>
      <c r="D1674" s="25" t="s">
        <v>2212</v>
      </c>
      <c r="E1674" s="25" t="s">
        <v>2124</v>
      </c>
      <c r="F1674" s="26" t="s">
        <v>215</v>
      </c>
      <c r="G1674" s="26" t="s">
        <v>215</v>
      </c>
      <c r="H1674" s="26"/>
      <c r="I1674" s="26"/>
      <c r="J1674" s="26">
        <v>1</v>
      </c>
      <c r="K1674" s="26">
        <v>138</v>
      </c>
      <c r="L1674" s="26" t="s">
        <v>28</v>
      </c>
      <c r="M1674" s="27">
        <v>2213</v>
      </c>
      <c r="N1674" s="28"/>
      <c r="O1674" s="26" t="s">
        <v>29</v>
      </c>
      <c r="P1674" s="29"/>
      <c r="Q1674" s="6"/>
      <c r="R1674" s="29"/>
      <c r="S1674" s="10"/>
      <c r="T1674" s="8"/>
    </row>
    <row r="1675" spans="1:20" ht="15.75" customHeight="1" x14ac:dyDescent="0.35">
      <c r="A1675" s="25" t="s">
        <v>2084</v>
      </c>
      <c r="B1675" s="25" t="s">
        <v>2213</v>
      </c>
      <c r="C1675" s="26">
        <v>130423</v>
      </c>
      <c r="D1675" s="25" t="s">
        <v>2214</v>
      </c>
      <c r="E1675" s="25" t="s">
        <v>2215</v>
      </c>
      <c r="F1675" s="26" t="s">
        <v>27</v>
      </c>
      <c r="G1675" s="26" t="s">
        <v>27</v>
      </c>
      <c r="H1675" s="26"/>
      <c r="I1675" s="26"/>
      <c r="J1675" s="26">
        <v>1</v>
      </c>
      <c r="K1675" s="26">
        <v>138</v>
      </c>
      <c r="L1675" s="26" t="s">
        <v>28</v>
      </c>
      <c r="M1675" s="27">
        <v>2288</v>
      </c>
      <c r="N1675" s="28"/>
      <c r="O1675" s="26" t="s">
        <v>29</v>
      </c>
      <c r="P1675" s="29"/>
      <c r="Q1675" s="6"/>
      <c r="R1675" s="29"/>
      <c r="S1675" s="10"/>
      <c r="T1675" s="8"/>
    </row>
    <row r="1676" spans="1:20" ht="15.75" customHeight="1" x14ac:dyDescent="0.35">
      <c r="A1676" s="25" t="s">
        <v>2084</v>
      </c>
      <c r="B1676" s="25" t="s">
        <v>2213</v>
      </c>
      <c r="C1676" s="26">
        <v>130427</v>
      </c>
      <c r="D1676" s="25" t="s">
        <v>2216</v>
      </c>
      <c r="E1676" s="25" t="s">
        <v>2215</v>
      </c>
      <c r="F1676" s="26" t="s">
        <v>27</v>
      </c>
      <c r="G1676" s="26" t="s">
        <v>27</v>
      </c>
      <c r="H1676" s="26"/>
      <c r="I1676" s="26"/>
      <c r="J1676" s="26">
        <v>1</v>
      </c>
      <c r="K1676" s="26">
        <v>138</v>
      </c>
      <c r="L1676" s="26" t="s">
        <v>28</v>
      </c>
      <c r="M1676" s="27">
        <v>2296</v>
      </c>
      <c r="N1676" s="28"/>
      <c r="O1676" s="26" t="s">
        <v>29</v>
      </c>
      <c r="P1676" s="29"/>
      <c r="Q1676" s="6"/>
      <c r="R1676" s="29"/>
      <c r="S1676" s="10"/>
      <c r="T1676" s="8"/>
    </row>
    <row r="1677" spans="1:20" ht="15.75" customHeight="1" x14ac:dyDescent="0.35">
      <c r="A1677" s="25" t="s">
        <v>2084</v>
      </c>
      <c r="B1677" s="25" t="s">
        <v>2213</v>
      </c>
      <c r="C1677" s="26">
        <v>130429</v>
      </c>
      <c r="D1677" s="25" t="s">
        <v>2217</v>
      </c>
      <c r="E1677" s="25" t="s">
        <v>2215</v>
      </c>
      <c r="F1677" s="26" t="s">
        <v>27</v>
      </c>
      <c r="G1677" s="26" t="s">
        <v>27</v>
      </c>
      <c r="H1677" s="26"/>
      <c r="I1677" s="26"/>
      <c r="J1677" s="26">
        <v>1</v>
      </c>
      <c r="K1677" s="26">
        <v>138</v>
      </c>
      <c r="L1677" s="26" t="s">
        <v>28</v>
      </c>
      <c r="M1677" s="27">
        <v>2307</v>
      </c>
      <c r="N1677" s="28"/>
      <c r="O1677" s="26" t="s">
        <v>29</v>
      </c>
      <c r="P1677" s="29"/>
      <c r="Q1677" s="6"/>
      <c r="R1677" s="29"/>
      <c r="S1677" s="10"/>
      <c r="T1677" s="8"/>
    </row>
    <row r="1678" spans="1:20" ht="15.75" customHeight="1" x14ac:dyDescent="0.35">
      <c r="A1678" s="25" t="s">
        <v>2084</v>
      </c>
      <c r="B1678" s="25" t="s">
        <v>2213</v>
      </c>
      <c r="C1678" s="26">
        <v>130433</v>
      </c>
      <c r="D1678" s="25" t="s">
        <v>2218</v>
      </c>
      <c r="E1678" s="25" t="s">
        <v>2215</v>
      </c>
      <c r="F1678" s="26" t="s">
        <v>27</v>
      </c>
      <c r="G1678" s="26" t="s">
        <v>27</v>
      </c>
      <c r="H1678" s="26"/>
      <c r="I1678" s="26"/>
      <c r="J1678" s="26">
        <v>1</v>
      </c>
      <c r="K1678" s="26">
        <v>138</v>
      </c>
      <c r="L1678" s="26" t="s">
        <v>28</v>
      </c>
      <c r="M1678" s="27">
        <v>2319</v>
      </c>
      <c r="N1678" s="28"/>
      <c r="O1678" s="26" t="s">
        <v>29</v>
      </c>
      <c r="P1678" s="29"/>
      <c r="Q1678" s="6"/>
      <c r="R1678" s="29"/>
      <c r="S1678" s="10"/>
      <c r="T1678" s="8"/>
    </row>
    <row r="1679" spans="1:20" ht="15.75" customHeight="1" x14ac:dyDescent="0.35">
      <c r="A1679" s="25" t="s">
        <v>2084</v>
      </c>
      <c r="B1679" s="25" t="s">
        <v>2213</v>
      </c>
      <c r="C1679" s="26">
        <v>130435</v>
      </c>
      <c r="D1679" s="25" t="s">
        <v>2219</v>
      </c>
      <c r="E1679" s="25" t="s">
        <v>2215</v>
      </c>
      <c r="F1679" s="26" t="s">
        <v>27</v>
      </c>
      <c r="G1679" s="26" t="s">
        <v>27</v>
      </c>
      <c r="H1679" s="26"/>
      <c r="I1679" s="26"/>
      <c r="J1679" s="26">
        <v>1</v>
      </c>
      <c r="K1679" s="26">
        <v>138</v>
      </c>
      <c r="L1679" s="26" t="s">
        <v>28</v>
      </c>
      <c r="M1679" s="27">
        <v>2324</v>
      </c>
      <c r="N1679" s="28"/>
      <c r="O1679" s="26" t="s">
        <v>29</v>
      </c>
      <c r="P1679" s="29"/>
      <c r="Q1679" s="6"/>
      <c r="R1679" s="29"/>
      <c r="S1679" s="10"/>
      <c r="T1679" s="8"/>
    </row>
    <row r="1680" spans="1:20" ht="15.75" customHeight="1" x14ac:dyDescent="0.35">
      <c r="A1680" s="25" t="s">
        <v>2084</v>
      </c>
      <c r="B1680" s="25" t="s">
        <v>2213</v>
      </c>
      <c r="C1680" s="26">
        <v>130441</v>
      </c>
      <c r="D1680" s="25" t="s">
        <v>2220</v>
      </c>
      <c r="E1680" s="25" t="s">
        <v>2215</v>
      </c>
      <c r="F1680" s="26" t="s">
        <v>27</v>
      </c>
      <c r="G1680" s="26" t="s">
        <v>27</v>
      </c>
      <c r="H1680" s="26"/>
      <c r="I1680" s="26"/>
      <c r="J1680" s="26">
        <v>1</v>
      </c>
      <c r="K1680" s="26">
        <v>138</v>
      </c>
      <c r="L1680" s="26" t="s">
        <v>28</v>
      </c>
      <c r="M1680" s="27">
        <v>2334</v>
      </c>
      <c r="N1680" s="28"/>
      <c r="O1680" s="26" t="s">
        <v>29</v>
      </c>
      <c r="P1680" s="29"/>
      <c r="Q1680" s="6"/>
      <c r="R1680" s="29"/>
      <c r="S1680" s="10"/>
      <c r="T1680" s="8"/>
    </row>
    <row r="1681" spans="1:20" ht="15.75" customHeight="1" x14ac:dyDescent="0.35">
      <c r="A1681" s="25" t="s">
        <v>2084</v>
      </c>
      <c r="B1681" s="25" t="s">
        <v>2213</v>
      </c>
      <c r="C1681" s="26">
        <v>130442</v>
      </c>
      <c r="D1681" s="25" t="s">
        <v>2221</v>
      </c>
      <c r="E1681" s="25" t="s">
        <v>2222</v>
      </c>
      <c r="F1681" s="26" t="s">
        <v>27</v>
      </c>
      <c r="G1681" s="26" t="s">
        <v>27</v>
      </c>
      <c r="H1681" s="26"/>
      <c r="I1681" s="26"/>
      <c r="J1681" s="26">
        <v>1</v>
      </c>
      <c r="K1681" s="26">
        <v>138</v>
      </c>
      <c r="L1681" s="26" t="s">
        <v>28</v>
      </c>
      <c r="M1681" s="27">
        <v>2274</v>
      </c>
      <c r="N1681" s="28"/>
      <c r="O1681" s="26" t="s">
        <v>29</v>
      </c>
      <c r="P1681" s="29"/>
      <c r="Q1681" s="6"/>
      <c r="R1681" s="29"/>
      <c r="S1681" s="10"/>
      <c r="T1681" s="8"/>
    </row>
    <row r="1682" spans="1:20" ht="15.75" customHeight="1" x14ac:dyDescent="0.35">
      <c r="A1682" s="25" t="s">
        <v>2084</v>
      </c>
      <c r="B1682" s="25" t="s">
        <v>2213</v>
      </c>
      <c r="C1682" s="26">
        <v>130444</v>
      </c>
      <c r="D1682" s="25" t="s">
        <v>2223</v>
      </c>
      <c r="E1682" s="25" t="s">
        <v>2222</v>
      </c>
      <c r="F1682" s="26" t="s">
        <v>27</v>
      </c>
      <c r="G1682" s="26" t="s">
        <v>27</v>
      </c>
      <c r="H1682" s="26"/>
      <c r="I1682" s="26"/>
      <c r="J1682" s="26">
        <v>1</v>
      </c>
      <c r="K1682" s="26">
        <v>138</v>
      </c>
      <c r="L1682" s="26" t="s">
        <v>28</v>
      </c>
      <c r="M1682" s="27">
        <v>2279</v>
      </c>
      <c r="N1682" s="28"/>
      <c r="O1682" s="26" t="s">
        <v>29</v>
      </c>
      <c r="P1682" s="29"/>
      <c r="Q1682" s="6"/>
      <c r="R1682" s="29"/>
      <c r="S1682" s="10"/>
      <c r="T1682" s="8"/>
    </row>
    <row r="1683" spans="1:20" ht="15.75" customHeight="1" x14ac:dyDescent="0.35">
      <c r="A1683" s="25" t="s">
        <v>2084</v>
      </c>
      <c r="B1683" s="25" t="s">
        <v>2213</v>
      </c>
      <c r="C1683" s="26">
        <v>130463</v>
      </c>
      <c r="D1683" s="25" t="s">
        <v>2224</v>
      </c>
      <c r="E1683" s="25" t="s">
        <v>2222</v>
      </c>
      <c r="F1683" s="26" t="s">
        <v>27</v>
      </c>
      <c r="G1683" s="26" t="s">
        <v>27</v>
      </c>
      <c r="H1683" s="26"/>
      <c r="I1683" s="26"/>
      <c r="J1683" s="26">
        <v>1</v>
      </c>
      <c r="K1683" s="26">
        <v>138</v>
      </c>
      <c r="L1683" s="26" t="s">
        <v>28</v>
      </c>
      <c r="M1683" s="27">
        <v>2293</v>
      </c>
      <c r="N1683" s="28"/>
      <c r="O1683" s="26" t="s">
        <v>29</v>
      </c>
      <c r="P1683" s="29"/>
      <c r="Q1683" s="6"/>
      <c r="R1683" s="29"/>
      <c r="S1683" s="10"/>
      <c r="T1683" s="8"/>
    </row>
    <row r="1684" spans="1:20" ht="15.75" customHeight="1" x14ac:dyDescent="0.35">
      <c r="A1684" s="25" t="s">
        <v>2084</v>
      </c>
      <c r="B1684" s="25" t="s">
        <v>2213</v>
      </c>
      <c r="C1684" s="26">
        <v>130495</v>
      </c>
      <c r="D1684" s="25" t="s">
        <v>2225</v>
      </c>
      <c r="E1684" s="25" t="s">
        <v>2226</v>
      </c>
      <c r="F1684" s="26" t="s">
        <v>27</v>
      </c>
      <c r="G1684" s="26" t="s">
        <v>27</v>
      </c>
      <c r="H1684" s="26"/>
      <c r="I1684" s="26"/>
      <c r="J1684" s="26">
        <v>1</v>
      </c>
      <c r="K1684" s="26">
        <v>138</v>
      </c>
      <c r="L1684" s="26" t="s">
        <v>28</v>
      </c>
      <c r="M1684" s="27">
        <v>2295</v>
      </c>
      <c r="N1684" s="28"/>
      <c r="O1684" s="26" t="s">
        <v>29</v>
      </c>
      <c r="P1684" s="29"/>
      <c r="Q1684" s="6"/>
      <c r="R1684" s="29"/>
      <c r="S1684" s="10"/>
      <c r="T1684" s="8"/>
    </row>
    <row r="1685" spans="1:20" ht="15.75" customHeight="1" x14ac:dyDescent="0.35">
      <c r="A1685" s="25" t="s">
        <v>2084</v>
      </c>
      <c r="B1685" s="25" t="s">
        <v>2213</v>
      </c>
      <c r="C1685" s="26">
        <v>130511</v>
      </c>
      <c r="D1685" s="25" t="s">
        <v>2227</v>
      </c>
      <c r="E1685" s="25" t="s">
        <v>2228</v>
      </c>
      <c r="F1685" s="26" t="s">
        <v>27</v>
      </c>
      <c r="G1685" s="26" t="s">
        <v>27</v>
      </c>
      <c r="H1685" s="26"/>
      <c r="I1685" s="26"/>
      <c r="J1685" s="26">
        <v>1</v>
      </c>
      <c r="K1685" s="26">
        <v>138</v>
      </c>
      <c r="L1685" s="26" t="s">
        <v>28</v>
      </c>
      <c r="M1685" s="27">
        <v>2282</v>
      </c>
      <c r="N1685" s="28"/>
      <c r="O1685" s="26" t="s">
        <v>29</v>
      </c>
      <c r="P1685" s="29"/>
      <c r="Q1685" s="6"/>
      <c r="R1685" s="29"/>
      <c r="S1685" s="10"/>
      <c r="T1685" s="8"/>
    </row>
    <row r="1686" spans="1:20" ht="15.75" customHeight="1" x14ac:dyDescent="0.35">
      <c r="A1686" s="25" t="s">
        <v>2084</v>
      </c>
      <c r="B1686" s="25" t="s">
        <v>2213</v>
      </c>
      <c r="C1686" s="26">
        <v>130519</v>
      </c>
      <c r="D1686" s="25" t="s">
        <v>2229</v>
      </c>
      <c r="E1686" s="25" t="s">
        <v>2228</v>
      </c>
      <c r="F1686" s="26" t="s">
        <v>27</v>
      </c>
      <c r="G1686" s="26" t="s">
        <v>27</v>
      </c>
      <c r="H1686" s="26"/>
      <c r="I1686" s="26"/>
      <c r="J1686" s="26">
        <v>1</v>
      </c>
      <c r="K1686" s="26">
        <v>138</v>
      </c>
      <c r="L1686" s="26" t="s">
        <v>28</v>
      </c>
      <c r="M1686" s="27">
        <v>2300</v>
      </c>
      <c r="N1686" s="28"/>
      <c r="O1686" s="26" t="s">
        <v>29</v>
      </c>
      <c r="P1686" s="29"/>
      <c r="Q1686" s="6"/>
      <c r="R1686" s="29"/>
      <c r="S1686" s="10"/>
      <c r="T1686" s="8"/>
    </row>
    <row r="1687" spans="1:20" ht="15.75" customHeight="1" x14ac:dyDescent="0.35">
      <c r="A1687" s="25" t="s">
        <v>2084</v>
      </c>
      <c r="B1687" s="25" t="s">
        <v>2213</v>
      </c>
      <c r="C1687" s="26">
        <v>130520</v>
      </c>
      <c r="D1687" s="25" t="s">
        <v>2230</v>
      </c>
      <c r="E1687" s="25" t="s">
        <v>2228</v>
      </c>
      <c r="F1687" s="26" t="s">
        <v>27</v>
      </c>
      <c r="G1687" s="26" t="s">
        <v>27</v>
      </c>
      <c r="H1687" s="26"/>
      <c r="I1687" s="26"/>
      <c r="J1687" s="26">
        <v>1</v>
      </c>
      <c r="K1687" s="26">
        <v>138</v>
      </c>
      <c r="L1687" s="26" t="s">
        <v>28</v>
      </c>
      <c r="M1687" s="27">
        <v>2301</v>
      </c>
      <c r="N1687" s="28"/>
      <c r="O1687" s="26" t="s">
        <v>29</v>
      </c>
      <c r="P1687" s="29"/>
      <c r="Q1687" s="6"/>
      <c r="R1687" s="29"/>
      <c r="S1687" s="10"/>
      <c r="T1687" s="8"/>
    </row>
    <row r="1688" spans="1:20" ht="15.75" customHeight="1" x14ac:dyDescent="0.35">
      <c r="A1688" s="25" t="s">
        <v>2084</v>
      </c>
      <c r="B1688" s="25" t="s">
        <v>2213</v>
      </c>
      <c r="C1688" s="26">
        <v>130528</v>
      </c>
      <c r="D1688" s="25" t="s">
        <v>2231</v>
      </c>
      <c r="E1688" s="25" t="s">
        <v>2232</v>
      </c>
      <c r="F1688" s="26" t="s">
        <v>27</v>
      </c>
      <c r="G1688" s="26" t="s">
        <v>27</v>
      </c>
      <c r="H1688" s="26"/>
      <c r="I1688" s="26"/>
      <c r="J1688" s="26">
        <v>1</v>
      </c>
      <c r="K1688" s="26">
        <v>138</v>
      </c>
      <c r="L1688" s="26" t="s">
        <v>28</v>
      </c>
      <c r="M1688" s="27">
        <v>2335</v>
      </c>
      <c r="N1688" s="28"/>
      <c r="O1688" s="26" t="s">
        <v>29</v>
      </c>
      <c r="P1688" s="29"/>
      <c r="Q1688" s="6"/>
      <c r="R1688" s="29"/>
      <c r="S1688" s="10"/>
      <c r="T1688" s="8"/>
    </row>
    <row r="1689" spans="1:20" ht="15.75" customHeight="1" x14ac:dyDescent="0.35">
      <c r="A1689" s="25" t="s">
        <v>2084</v>
      </c>
      <c r="B1689" s="25" t="s">
        <v>2213</v>
      </c>
      <c r="C1689" s="26">
        <v>130529</v>
      </c>
      <c r="D1689" s="25" t="s">
        <v>2233</v>
      </c>
      <c r="E1689" s="25" t="s">
        <v>2232</v>
      </c>
      <c r="F1689" s="26" t="s">
        <v>27</v>
      </c>
      <c r="G1689" s="26" t="s">
        <v>27</v>
      </c>
      <c r="H1689" s="26"/>
      <c r="I1689" s="26"/>
      <c r="J1689" s="26">
        <v>1</v>
      </c>
      <c r="K1689" s="26">
        <v>138</v>
      </c>
      <c r="L1689" s="26" t="s">
        <v>28</v>
      </c>
      <c r="M1689" s="27">
        <v>2280</v>
      </c>
      <c r="N1689" s="28"/>
      <c r="O1689" s="26" t="s">
        <v>29</v>
      </c>
      <c r="P1689" s="29"/>
      <c r="Q1689" s="6"/>
      <c r="R1689" s="29"/>
      <c r="S1689" s="10"/>
      <c r="T1689" s="8"/>
    </row>
    <row r="1690" spans="1:20" ht="15.75" customHeight="1" x14ac:dyDescent="0.35">
      <c r="A1690" s="25" t="s">
        <v>2084</v>
      </c>
      <c r="B1690" s="25" t="s">
        <v>2213</v>
      </c>
      <c r="C1690" s="26">
        <v>130540</v>
      </c>
      <c r="D1690" s="25" t="s">
        <v>2234</v>
      </c>
      <c r="E1690" s="25" t="s">
        <v>2232</v>
      </c>
      <c r="F1690" s="26" t="s">
        <v>27</v>
      </c>
      <c r="G1690" s="26" t="s">
        <v>27</v>
      </c>
      <c r="H1690" s="26"/>
      <c r="I1690" s="26"/>
      <c r="J1690" s="26">
        <v>1</v>
      </c>
      <c r="K1690" s="26">
        <v>138</v>
      </c>
      <c r="L1690" s="26" t="s">
        <v>28</v>
      </c>
      <c r="M1690" s="27">
        <v>2326</v>
      </c>
      <c r="N1690" s="28"/>
      <c r="O1690" s="26" t="s">
        <v>29</v>
      </c>
      <c r="P1690" s="29"/>
      <c r="Q1690" s="6"/>
      <c r="R1690" s="29"/>
      <c r="S1690" s="10"/>
      <c r="T1690" s="8"/>
    </row>
    <row r="1691" spans="1:20" ht="15.75" customHeight="1" x14ac:dyDescent="0.35">
      <c r="A1691" s="25" t="s">
        <v>2084</v>
      </c>
      <c r="B1691" s="25" t="s">
        <v>2213</v>
      </c>
      <c r="C1691" s="26">
        <v>130545</v>
      </c>
      <c r="D1691" s="25" t="s">
        <v>2235</v>
      </c>
      <c r="E1691" s="25" t="s">
        <v>2232</v>
      </c>
      <c r="F1691" s="26" t="s">
        <v>27</v>
      </c>
      <c r="G1691" s="26" t="s">
        <v>27</v>
      </c>
      <c r="H1691" s="26"/>
      <c r="I1691" s="26"/>
      <c r="J1691" s="26">
        <v>1</v>
      </c>
      <c r="K1691" s="26">
        <v>138</v>
      </c>
      <c r="L1691" s="26" t="s">
        <v>28</v>
      </c>
      <c r="M1691" s="27">
        <v>2333</v>
      </c>
      <c r="N1691" s="28"/>
      <c r="O1691" s="26" t="s">
        <v>29</v>
      </c>
      <c r="P1691" s="29"/>
      <c r="Q1691" s="6"/>
      <c r="R1691" s="29"/>
      <c r="S1691" s="10"/>
      <c r="T1691" s="8"/>
    </row>
    <row r="1692" spans="1:20" ht="15.75" customHeight="1" x14ac:dyDescent="0.35">
      <c r="A1692" s="25" t="s">
        <v>2084</v>
      </c>
      <c r="B1692" s="25" t="s">
        <v>2213</v>
      </c>
      <c r="C1692" s="26">
        <v>130551</v>
      </c>
      <c r="D1692" s="25" t="s">
        <v>2236</v>
      </c>
      <c r="E1692" s="25" t="s">
        <v>2237</v>
      </c>
      <c r="F1692" s="26" t="s">
        <v>27</v>
      </c>
      <c r="G1692" s="26" t="s">
        <v>27</v>
      </c>
      <c r="H1692" s="26"/>
      <c r="I1692" s="26"/>
      <c r="J1692" s="26">
        <v>1</v>
      </c>
      <c r="K1692" s="26">
        <v>138</v>
      </c>
      <c r="L1692" s="26" t="s">
        <v>28</v>
      </c>
      <c r="M1692" s="27">
        <v>2289</v>
      </c>
      <c r="N1692" s="28"/>
      <c r="O1692" s="26" t="s">
        <v>29</v>
      </c>
      <c r="P1692" s="29"/>
      <c r="Q1692" s="6"/>
      <c r="R1692" s="29"/>
      <c r="S1692" s="10"/>
      <c r="T1692" s="8"/>
    </row>
    <row r="1693" spans="1:20" ht="15.75" customHeight="1" x14ac:dyDescent="0.35">
      <c r="A1693" s="25" t="s">
        <v>2084</v>
      </c>
      <c r="B1693" s="25" t="s">
        <v>2213</v>
      </c>
      <c r="C1693" s="26">
        <v>130562</v>
      </c>
      <c r="D1693" s="25" t="s">
        <v>2238</v>
      </c>
      <c r="E1693" s="25" t="s">
        <v>2237</v>
      </c>
      <c r="F1693" s="26" t="s">
        <v>27</v>
      </c>
      <c r="G1693" s="26" t="s">
        <v>27</v>
      </c>
      <c r="H1693" s="26"/>
      <c r="I1693" s="26"/>
      <c r="J1693" s="26">
        <v>1</v>
      </c>
      <c r="K1693" s="26">
        <v>138</v>
      </c>
      <c r="L1693" s="26" t="s">
        <v>28</v>
      </c>
      <c r="M1693" s="27">
        <v>2310</v>
      </c>
      <c r="N1693" s="28"/>
      <c r="O1693" s="26" t="s">
        <v>29</v>
      </c>
      <c r="P1693" s="29"/>
      <c r="Q1693" s="6"/>
      <c r="R1693" s="29"/>
      <c r="S1693" s="10"/>
      <c r="T1693" s="8"/>
    </row>
    <row r="1694" spans="1:20" ht="15.75" customHeight="1" x14ac:dyDescent="0.35">
      <c r="A1694" s="25" t="s">
        <v>2084</v>
      </c>
      <c r="B1694" s="25" t="s">
        <v>2213</v>
      </c>
      <c r="C1694" s="26">
        <v>130570</v>
      </c>
      <c r="D1694" s="25" t="s">
        <v>2239</v>
      </c>
      <c r="E1694" s="25" t="s">
        <v>2240</v>
      </c>
      <c r="F1694" s="26" t="s">
        <v>27</v>
      </c>
      <c r="G1694" s="26" t="s">
        <v>27</v>
      </c>
      <c r="H1694" s="26"/>
      <c r="I1694" s="26"/>
      <c r="J1694" s="26">
        <v>1</v>
      </c>
      <c r="K1694" s="26">
        <v>138</v>
      </c>
      <c r="L1694" s="26" t="s">
        <v>28</v>
      </c>
      <c r="M1694" s="27">
        <v>2278</v>
      </c>
      <c r="N1694" s="28"/>
      <c r="O1694" s="26" t="s">
        <v>29</v>
      </c>
      <c r="P1694" s="29"/>
      <c r="Q1694" s="6"/>
      <c r="R1694" s="29"/>
      <c r="S1694" s="10"/>
      <c r="T1694" s="8"/>
    </row>
    <row r="1695" spans="1:20" ht="15.75" customHeight="1" x14ac:dyDescent="0.35">
      <c r="A1695" s="25" t="s">
        <v>2084</v>
      </c>
      <c r="B1695" s="25" t="s">
        <v>2213</v>
      </c>
      <c r="C1695" s="26">
        <v>130575</v>
      </c>
      <c r="D1695" s="25" t="s">
        <v>2241</v>
      </c>
      <c r="E1695" s="25" t="s">
        <v>2240</v>
      </c>
      <c r="F1695" s="26" t="s">
        <v>27</v>
      </c>
      <c r="G1695" s="26" t="s">
        <v>27</v>
      </c>
      <c r="H1695" s="26"/>
      <c r="I1695" s="26"/>
      <c r="J1695" s="26">
        <v>1</v>
      </c>
      <c r="K1695" s="26">
        <v>138</v>
      </c>
      <c r="L1695" s="26" t="s">
        <v>28</v>
      </c>
      <c r="M1695" s="27">
        <v>2297</v>
      </c>
      <c r="N1695" s="28"/>
      <c r="O1695" s="26" t="s">
        <v>29</v>
      </c>
      <c r="P1695" s="29"/>
      <c r="Q1695" s="6"/>
      <c r="R1695" s="29"/>
      <c r="S1695" s="10"/>
      <c r="T1695" s="8"/>
    </row>
    <row r="1696" spans="1:20" ht="15.75" customHeight="1" x14ac:dyDescent="0.35">
      <c r="A1696" s="25" t="s">
        <v>2084</v>
      </c>
      <c r="B1696" s="25" t="s">
        <v>2213</v>
      </c>
      <c r="C1696" s="26">
        <v>130579</v>
      </c>
      <c r="D1696" s="25" t="s">
        <v>1817</v>
      </c>
      <c r="E1696" s="25" t="s">
        <v>2240</v>
      </c>
      <c r="F1696" s="26" t="s">
        <v>27</v>
      </c>
      <c r="G1696" s="26" t="s">
        <v>27</v>
      </c>
      <c r="H1696" s="26"/>
      <c r="I1696" s="26"/>
      <c r="J1696" s="26">
        <v>1</v>
      </c>
      <c r="K1696" s="26">
        <v>138</v>
      </c>
      <c r="L1696" s="26" t="s">
        <v>28</v>
      </c>
      <c r="M1696" s="27">
        <v>2318</v>
      </c>
      <c r="N1696" s="28"/>
      <c r="O1696" s="26" t="s">
        <v>29</v>
      </c>
      <c r="P1696" s="29"/>
      <c r="Q1696" s="6"/>
      <c r="R1696" s="29"/>
      <c r="S1696" s="10"/>
      <c r="T1696" s="8"/>
    </row>
    <row r="1697" spans="1:20" ht="15.75" customHeight="1" x14ac:dyDescent="0.35">
      <c r="A1697" s="25" t="s">
        <v>2084</v>
      </c>
      <c r="B1697" s="25" t="s">
        <v>2213</v>
      </c>
      <c r="C1697" s="26">
        <v>130583</v>
      </c>
      <c r="D1697" s="25" t="s">
        <v>2242</v>
      </c>
      <c r="E1697" s="25" t="s">
        <v>2240</v>
      </c>
      <c r="F1697" s="26" t="s">
        <v>27</v>
      </c>
      <c r="G1697" s="26" t="s">
        <v>27</v>
      </c>
      <c r="H1697" s="26"/>
      <c r="I1697" s="26"/>
      <c r="J1697" s="26">
        <v>1</v>
      </c>
      <c r="K1697" s="26">
        <v>138</v>
      </c>
      <c r="L1697" s="26" t="s">
        <v>28</v>
      </c>
      <c r="M1697" s="27">
        <v>2331</v>
      </c>
      <c r="N1697" s="28"/>
      <c r="O1697" s="26" t="s">
        <v>29</v>
      </c>
      <c r="P1697" s="29"/>
      <c r="Q1697" s="6"/>
      <c r="R1697" s="29"/>
      <c r="S1697" s="10"/>
      <c r="T1697" s="8"/>
    </row>
    <row r="1698" spans="1:20" ht="15.75" customHeight="1" x14ac:dyDescent="0.35">
      <c r="A1698" s="25" t="s">
        <v>2084</v>
      </c>
      <c r="B1698" s="25" t="s">
        <v>2213</v>
      </c>
      <c r="C1698" s="26">
        <v>130584</v>
      </c>
      <c r="D1698" s="25" t="s">
        <v>2243</v>
      </c>
      <c r="E1698" s="25" t="s">
        <v>2240</v>
      </c>
      <c r="F1698" s="26" t="s">
        <v>27</v>
      </c>
      <c r="G1698" s="26" t="s">
        <v>27</v>
      </c>
      <c r="H1698" s="26"/>
      <c r="I1698" s="26"/>
      <c r="J1698" s="26">
        <v>1</v>
      </c>
      <c r="K1698" s="26">
        <v>138</v>
      </c>
      <c r="L1698" s="26" t="s">
        <v>28</v>
      </c>
      <c r="M1698" s="27">
        <v>2275</v>
      </c>
      <c r="N1698" s="28"/>
      <c r="O1698" s="26" t="s">
        <v>29</v>
      </c>
      <c r="P1698" s="29"/>
      <c r="Q1698" s="6"/>
      <c r="R1698" s="29"/>
      <c r="S1698" s="10"/>
      <c r="T1698" s="8"/>
    </row>
    <row r="1699" spans="1:20" ht="15.75" customHeight="1" x14ac:dyDescent="0.35">
      <c r="A1699" s="25" t="s">
        <v>2084</v>
      </c>
      <c r="B1699" s="25" t="s">
        <v>2213</v>
      </c>
      <c r="C1699" s="26">
        <v>130587</v>
      </c>
      <c r="D1699" s="25" t="s">
        <v>2244</v>
      </c>
      <c r="E1699" s="25" t="s">
        <v>2240</v>
      </c>
      <c r="F1699" s="26" t="s">
        <v>27</v>
      </c>
      <c r="G1699" s="26" t="s">
        <v>27</v>
      </c>
      <c r="H1699" s="26"/>
      <c r="I1699" s="26"/>
      <c r="J1699" s="26">
        <v>1</v>
      </c>
      <c r="K1699" s="26">
        <v>138</v>
      </c>
      <c r="L1699" s="26" t="s">
        <v>28</v>
      </c>
      <c r="M1699" s="27">
        <v>2277</v>
      </c>
      <c r="N1699" s="28"/>
      <c r="O1699" s="26" t="s">
        <v>29</v>
      </c>
      <c r="P1699" s="29"/>
      <c r="Q1699" s="6"/>
      <c r="R1699" s="29"/>
      <c r="S1699" s="10"/>
      <c r="T1699" s="8"/>
    </row>
    <row r="1700" spans="1:20" ht="15.75" customHeight="1" x14ac:dyDescent="0.35">
      <c r="A1700" s="25" t="s">
        <v>2084</v>
      </c>
      <c r="B1700" s="25" t="s">
        <v>2213</v>
      </c>
      <c r="C1700" s="26">
        <v>130595</v>
      </c>
      <c r="D1700" s="25" t="s">
        <v>2245</v>
      </c>
      <c r="E1700" s="25" t="s">
        <v>2240</v>
      </c>
      <c r="F1700" s="26" t="s">
        <v>27</v>
      </c>
      <c r="G1700" s="26" t="s">
        <v>27</v>
      </c>
      <c r="H1700" s="26"/>
      <c r="I1700" s="26"/>
      <c r="J1700" s="26">
        <v>1</v>
      </c>
      <c r="K1700" s="26">
        <v>138</v>
      </c>
      <c r="L1700" s="26" t="s">
        <v>28</v>
      </c>
      <c r="M1700" s="27">
        <v>2286</v>
      </c>
      <c r="N1700" s="28"/>
      <c r="O1700" s="26" t="s">
        <v>29</v>
      </c>
      <c r="P1700" s="29"/>
      <c r="Q1700" s="6"/>
      <c r="R1700" s="29"/>
      <c r="S1700" s="10"/>
      <c r="T1700" s="8"/>
    </row>
    <row r="1701" spans="1:20" ht="15.75" customHeight="1" x14ac:dyDescent="0.35">
      <c r="A1701" s="25" t="s">
        <v>2084</v>
      </c>
      <c r="B1701" s="25" t="s">
        <v>2213</v>
      </c>
      <c r="C1701" s="26">
        <v>130602</v>
      </c>
      <c r="D1701" s="25" t="s">
        <v>2246</v>
      </c>
      <c r="E1701" s="25" t="s">
        <v>2240</v>
      </c>
      <c r="F1701" s="26" t="s">
        <v>27</v>
      </c>
      <c r="G1701" s="26" t="s">
        <v>27</v>
      </c>
      <c r="H1701" s="26"/>
      <c r="I1701" s="26"/>
      <c r="J1701" s="26">
        <v>1</v>
      </c>
      <c r="K1701" s="26">
        <v>138</v>
      </c>
      <c r="L1701" s="26" t="s">
        <v>28</v>
      </c>
      <c r="M1701" s="27">
        <v>2298</v>
      </c>
      <c r="N1701" s="28"/>
      <c r="O1701" s="26" t="s">
        <v>29</v>
      </c>
      <c r="P1701" s="29"/>
      <c r="Q1701" s="6"/>
      <c r="R1701" s="29"/>
      <c r="S1701" s="10"/>
      <c r="T1701" s="8"/>
    </row>
    <row r="1702" spans="1:20" ht="15.75" customHeight="1" x14ac:dyDescent="0.35">
      <c r="A1702" s="25" t="s">
        <v>2084</v>
      </c>
      <c r="B1702" s="25" t="s">
        <v>2213</v>
      </c>
      <c r="C1702" s="26">
        <v>130607</v>
      </c>
      <c r="D1702" s="25" t="s">
        <v>2247</v>
      </c>
      <c r="E1702" s="25" t="s">
        <v>2240</v>
      </c>
      <c r="F1702" s="26" t="s">
        <v>27</v>
      </c>
      <c r="G1702" s="26" t="s">
        <v>27</v>
      </c>
      <c r="H1702" s="26"/>
      <c r="I1702" s="26"/>
      <c r="J1702" s="26">
        <v>1</v>
      </c>
      <c r="K1702" s="26">
        <v>138</v>
      </c>
      <c r="L1702" s="26" t="s">
        <v>28</v>
      </c>
      <c r="M1702" s="27">
        <v>2304</v>
      </c>
      <c r="N1702" s="28"/>
      <c r="O1702" s="26" t="s">
        <v>29</v>
      </c>
      <c r="P1702" s="29"/>
      <c r="Q1702" s="6"/>
      <c r="R1702" s="29"/>
      <c r="S1702" s="10"/>
      <c r="T1702" s="8"/>
    </row>
    <row r="1703" spans="1:20" ht="15.75" customHeight="1" x14ac:dyDescent="0.35">
      <c r="A1703" s="25" t="s">
        <v>2084</v>
      </c>
      <c r="B1703" s="25" t="s">
        <v>2213</v>
      </c>
      <c r="C1703" s="26">
        <v>130614</v>
      </c>
      <c r="D1703" s="25" t="s">
        <v>2248</v>
      </c>
      <c r="E1703" s="25" t="s">
        <v>2240</v>
      </c>
      <c r="F1703" s="26" t="s">
        <v>27</v>
      </c>
      <c r="G1703" s="26" t="s">
        <v>27</v>
      </c>
      <c r="H1703" s="26"/>
      <c r="I1703" s="26"/>
      <c r="J1703" s="26">
        <v>1</v>
      </c>
      <c r="K1703" s="26">
        <v>138</v>
      </c>
      <c r="L1703" s="26" t="s">
        <v>28</v>
      </c>
      <c r="M1703" s="27">
        <v>2311</v>
      </c>
      <c r="N1703" s="28"/>
      <c r="O1703" s="26" t="s">
        <v>29</v>
      </c>
      <c r="P1703" s="29"/>
      <c r="Q1703" s="6"/>
      <c r="R1703" s="29"/>
      <c r="S1703" s="10"/>
      <c r="T1703" s="8"/>
    </row>
    <row r="1704" spans="1:20" ht="15.75" customHeight="1" x14ac:dyDescent="0.35">
      <c r="A1704" s="25" t="s">
        <v>2084</v>
      </c>
      <c r="B1704" s="25" t="s">
        <v>2213</v>
      </c>
      <c r="C1704" s="26">
        <v>130615</v>
      </c>
      <c r="D1704" s="25" t="s">
        <v>2249</v>
      </c>
      <c r="E1704" s="25" t="s">
        <v>2240</v>
      </c>
      <c r="F1704" s="26" t="s">
        <v>27</v>
      </c>
      <c r="G1704" s="26" t="s">
        <v>27</v>
      </c>
      <c r="H1704" s="26"/>
      <c r="I1704" s="26"/>
      <c r="J1704" s="26">
        <v>1</v>
      </c>
      <c r="K1704" s="26">
        <v>138</v>
      </c>
      <c r="L1704" s="26" t="s">
        <v>28</v>
      </c>
      <c r="M1704" s="27">
        <v>2312</v>
      </c>
      <c r="N1704" s="28"/>
      <c r="O1704" s="26" t="s">
        <v>29</v>
      </c>
      <c r="P1704" s="29"/>
      <c r="Q1704" s="6"/>
      <c r="R1704" s="29"/>
      <c r="S1704" s="10"/>
      <c r="T1704" s="8"/>
    </row>
    <row r="1705" spans="1:20" ht="15.75" customHeight="1" x14ac:dyDescent="0.35">
      <c r="A1705" s="25" t="s">
        <v>2084</v>
      </c>
      <c r="B1705" s="25" t="s">
        <v>2213</v>
      </c>
      <c r="C1705" s="26">
        <v>208001</v>
      </c>
      <c r="D1705" s="25" t="s">
        <v>2250</v>
      </c>
      <c r="E1705" s="25" t="s">
        <v>2228</v>
      </c>
      <c r="F1705" s="26" t="s">
        <v>27</v>
      </c>
      <c r="G1705" s="26" t="s">
        <v>27</v>
      </c>
      <c r="H1705" s="26"/>
      <c r="I1705" s="26"/>
      <c r="J1705" s="26">
        <v>1</v>
      </c>
      <c r="K1705" s="26">
        <v>138</v>
      </c>
      <c r="L1705" s="26" t="s">
        <v>28</v>
      </c>
      <c r="M1705" s="27">
        <v>2281</v>
      </c>
      <c r="N1705" s="28"/>
      <c r="O1705" s="26" t="s">
        <v>29</v>
      </c>
      <c r="P1705" s="29"/>
      <c r="Q1705" s="6"/>
      <c r="R1705" s="29"/>
      <c r="S1705" s="10"/>
      <c r="T1705" s="8"/>
    </row>
    <row r="1706" spans="1:20" ht="15.75" customHeight="1" x14ac:dyDescent="0.35">
      <c r="A1706" s="25" t="s">
        <v>2084</v>
      </c>
      <c r="B1706" s="25" t="s">
        <v>2213</v>
      </c>
      <c r="C1706" s="26">
        <v>208006</v>
      </c>
      <c r="D1706" s="25" t="s">
        <v>2251</v>
      </c>
      <c r="E1706" s="25" t="s">
        <v>2237</v>
      </c>
      <c r="F1706" s="26" t="s">
        <v>27</v>
      </c>
      <c r="G1706" s="26" t="s">
        <v>27</v>
      </c>
      <c r="H1706" s="26"/>
      <c r="I1706" s="26"/>
      <c r="J1706" s="26">
        <v>1</v>
      </c>
      <c r="K1706" s="26">
        <v>138</v>
      </c>
      <c r="L1706" s="26" t="s">
        <v>28</v>
      </c>
      <c r="M1706" s="27">
        <v>2323</v>
      </c>
      <c r="N1706" s="28"/>
      <c r="O1706" s="26" t="s">
        <v>29</v>
      </c>
      <c r="P1706" s="29"/>
      <c r="Q1706" s="6"/>
      <c r="R1706" s="29"/>
      <c r="S1706" s="10"/>
      <c r="T1706" s="8"/>
    </row>
    <row r="1707" spans="1:20" ht="15.75" customHeight="1" x14ac:dyDescent="0.35">
      <c r="A1707" s="25" t="s">
        <v>2084</v>
      </c>
      <c r="B1707" s="25" t="s">
        <v>2213</v>
      </c>
      <c r="C1707" s="26">
        <v>208007</v>
      </c>
      <c r="D1707" s="25" t="s">
        <v>2252</v>
      </c>
      <c r="E1707" s="25" t="s">
        <v>2240</v>
      </c>
      <c r="F1707" s="26" t="s">
        <v>27</v>
      </c>
      <c r="G1707" s="26" t="s">
        <v>27</v>
      </c>
      <c r="H1707" s="26"/>
      <c r="I1707" s="26"/>
      <c r="J1707" s="26">
        <v>1</v>
      </c>
      <c r="K1707" s="26">
        <v>138</v>
      </c>
      <c r="L1707" s="26" t="s">
        <v>28</v>
      </c>
      <c r="M1707" s="27">
        <v>2322</v>
      </c>
      <c r="N1707" s="28"/>
      <c r="O1707" s="26" t="s">
        <v>29</v>
      </c>
      <c r="P1707" s="29"/>
      <c r="Q1707" s="6"/>
      <c r="R1707" s="29"/>
      <c r="S1707" s="10"/>
      <c r="T1707" s="8"/>
    </row>
    <row r="1708" spans="1:20" ht="15.75" customHeight="1" x14ac:dyDescent="0.35">
      <c r="A1708" s="25" t="s">
        <v>2084</v>
      </c>
      <c r="B1708" s="25" t="s">
        <v>2213</v>
      </c>
      <c r="C1708" s="26">
        <v>208008</v>
      </c>
      <c r="D1708" s="25" t="s">
        <v>2253</v>
      </c>
      <c r="E1708" s="25" t="s">
        <v>2237</v>
      </c>
      <c r="F1708" s="26" t="s">
        <v>27</v>
      </c>
      <c r="G1708" s="26" t="s">
        <v>27</v>
      </c>
      <c r="H1708" s="26"/>
      <c r="I1708" s="26"/>
      <c r="J1708" s="26">
        <v>1</v>
      </c>
      <c r="K1708" s="26">
        <v>138</v>
      </c>
      <c r="L1708" s="26" t="s">
        <v>28</v>
      </c>
      <c r="M1708" s="27">
        <v>2276</v>
      </c>
      <c r="N1708" s="28"/>
      <c r="O1708" s="26" t="s">
        <v>29</v>
      </c>
      <c r="P1708" s="29"/>
      <c r="Q1708" s="6"/>
      <c r="R1708" s="29"/>
      <c r="S1708" s="10"/>
      <c r="T1708" s="8"/>
    </row>
    <row r="1709" spans="1:20" ht="15.75" customHeight="1" x14ac:dyDescent="0.35">
      <c r="A1709" s="25" t="s">
        <v>2084</v>
      </c>
      <c r="B1709" s="25" t="s">
        <v>2213</v>
      </c>
      <c r="C1709" s="26">
        <v>208014</v>
      </c>
      <c r="D1709" s="25" t="s">
        <v>2254</v>
      </c>
      <c r="E1709" s="25" t="s">
        <v>2222</v>
      </c>
      <c r="F1709" s="26" t="s">
        <v>27</v>
      </c>
      <c r="G1709" s="26" t="s">
        <v>27</v>
      </c>
      <c r="H1709" s="26"/>
      <c r="I1709" s="26"/>
      <c r="J1709" s="26">
        <v>1</v>
      </c>
      <c r="K1709" s="26">
        <v>138</v>
      </c>
      <c r="L1709" s="26" t="s">
        <v>28</v>
      </c>
      <c r="M1709" s="27">
        <v>2305</v>
      </c>
      <c r="N1709" s="28"/>
      <c r="O1709" s="26" t="s">
        <v>29</v>
      </c>
      <c r="P1709" s="29"/>
      <c r="Q1709" s="6"/>
      <c r="R1709" s="29"/>
      <c r="S1709" s="10"/>
      <c r="T1709" s="8"/>
    </row>
    <row r="1710" spans="1:20" ht="15.75" customHeight="1" x14ac:dyDescent="0.35">
      <c r="A1710" s="25" t="s">
        <v>2084</v>
      </c>
      <c r="B1710" s="25" t="s">
        <v>2213</v>
      </c>
      <c r="C1710" s="26">
        <v>208017</v>
      </c>
      <c r="D1710" s="25" t="s">
        <v>2255</v>
      </c>
      <c r="E1710" s="25" t="s">
        <v>2215</v>
      </c>
      <c r="F1710" s="26" t="s">
        <v>27</v>
      </c>
      <c r="G1710" s="26" t="s">
        <v>27</v>
      </c>
      <c r="H1710" s="26"/>
      <c r="I1710" s="26"/>
      <c r="J1710" s="26">
        <v>1</v>
      </c>
      <c r="K1710" s="26">
        <v>138</v>
      </c>
      <c r="L1710" s="26" t="s">
        <v>28</v>
      </c>
      <c r="M1710" s="27">
        <v>2317</v>
      </c>
      <c r="N1710" s="28"/>
      <c r="O1710" s="26" t="s">
        <v>29</v>
      </c>
      <c r="P1710" s="29"/>
      <c r="Q1710" s="6"/>
      <c r="R1710" s="29"/>
      <c r="S1710" s="10"/>
      <c r="T1710" s="8"/>
    </row>
    <row r="1711" spans="1:20" ht="15.75" customHeight="1" x14ac:dyDescent="0.35">
      <c r="A1711" s="25" t="s">
        <v>2084</v>
      </c>
      <c r="B1711" s="25" t="s">
        <v>2213</v>
      </c>
      <c r="C1711" s="26">
        <v>208018</v>
      </c>
      <c r="D1711" s="25" t="s">
        <v>2256</v>
      </c>
      <c r="E1711" s="25" t="s">
        <v>2215</v>
      </c>
      <c r="F1711" s="26" t="s">
        <v>27</v>
      </c>
      <c r="G1711" s="26" t="s">
        <v>27</v>
      </c>
      <c r="H1711" s="26"/>
      <c r="I1711" s="26"/>
      <c r="J1711" s="26">
        <v>1</v>
      </c>
      <c r="K1711" s="26">
        <v>138</v>
      </c>
      <c r="L1711" s="26" t="s">
        <v>28</v>
      </c>
      <c r="M1711" s="27">
        <v>2328</v>
      </c>
      <c r="N1711" s="28"/>
      <c r="O1711" s="26" t="s">
        <v>29</v>
      </c>
      <c r="P1711" s="29"/>
      <c r="Q1711" s="6"/>
      <c r="R1711" s="29"/>
      <c r="S1711" s="10"/>
      <c r="T1711" s="8"/>
    </row>
    <row r="1712" spans="1:20" ht="15.75" customHeight="1" x14ac:dyDescent="0.35">
      <c r="A1712" s="25" t="s">
        <v>2084</v>
      </c>
      <c r="B1712" s="25" t="s">
        <v>2213</v>
      </c>
      <c r="C1712" s="26">
        <v>208019</v>
      </c>
      <c r="D1712" s="25" t="s">
        <v>2257</v>
      </c>
      <c r="E1712" s="25" t="s">
        <v>2240</v>
      </c>
      <c r="F1712" s="26" t="s">
        <v>27</v>
      </c>
      <c r="G1712" s="26" t="s">
        <v>27</v>
      </c>
      <c r="H1712" s="26"/>
      <c r="I1712" s="26"/>
      <c r="J1712" s="26">
        <v>1</v>
      </c>
      <c r="K1712" s="26">
        <v>138</v>
      </c>
      <c r="L1712" s="26" t="s">
        <v>28</v>
      </c>
      <c r="M1712" s="27">
        <v>2316</v>
      </c>
      <c r="N1712" s="28"/>
      <c r="O1712" s="26" t="s">
        <v>29</v>
      </c>
      <c r="P1712" s="29"/>
      <c r="Q1712" s="6"/>
      <c r="R1712" s="29"/>
      <c r="S1712" s="10"/>
      <c r="T1712" s="8"/>
    </row>
    <row r="1713" spans="1:20" ht="15.75" customHeight="1" x14ac:dyDescent="0.35">
      <c r="A1713" s="25" t="s">
        <v>2084</v>
      </c>
      <c r="B1713" s="25" t="s">
        <v>2213</v>
      </c>
      <c r="C1713" s="26">
        <v>208022</v>
      </c>
      <c r="D1713" s="25" t="s">
        <v>2258</v>
      </c>
      <c r="E1713" s="25" t="s">
        <v>2226</v>
      </c>
      <c r="F1713" s="26" t="s">
        <v>27</v>
      </c>
      <c r="G1713" s="26" t="s">
        <v>27</v>
      </c>
      <c r="H1713" s="26"/>
      <c r="I1713" s="26"/>
      <c r="J1713" s="26">
        <v>1</v>
      </c>
      <c r="K1713" s="26">
        <v>138</v>
      </c>
      <c r="L1713" s="26" t="s">
        <v>28</v>
      </c>
      <c r="M1713" s="27">
        <v>2320</v>
      </c>
      <c r="N1713" s="28"/>
      <c r="O1713" s="26" t="s">
        <v>29</v>
      </c>
      <c r="P1713" s="29"/>
      <c r="Q1713" s="6"/>
      <c r="R1713" s="29"/>
      <c r="S1713" s="10"/>
      <c r="T1713" s="8"/>
    </row>
    <row r="1714" spans="1:20" ht="15.75" customHeight="1" x14ac:dyDescent="0.35">
      <c r="A1714" s="25" t="s">
        <v>2084</v>
      </c>
      <c r="B1714" s="25" t="s">
        <v>2213</v>
      </c>
      <c r="C1714" s="26">
        <v>208023</v>
      </c>
      <c r="D1714" s="25" t="s">
        <v>2259</v>
      </c>
      <c r="E1714" s="25" t="s">
        <v>2226</v>
      </c>
      <c r="F1714" s="26" t="s">
        <v>27</v>
      </c>
      <c r="G1714" s="26" t="s">
        <v>27</v>
      </c>
      <c r="H1714" s="26"/>
      <c r="I1714" s="26"/>
      <c r="J1714" s="26">
        <v>1</v>
      </c>
      <c r="K1714" s="26">
        <v>138</v>
      </c>
      <c r="L1714" s="26" t="s">
        <v>28</v>
      </c>
      <c r="M1714" s="27">
        <v>2321</v>
      </c>
      <c r="N1714" s="28"/>
      <c r="O1714" s="26" t="s">
        <v>29</v>
      </c>
      <c r="P1714" s="29"/>
      <c r="Q1714" s="6"/>
      <c r="R1714" s="29"/>
      <c r="S1714" s="10"/>
      <c r="T1714" s="8"/>
    </row>
    <row r="1715" spans="1:20" ht="15.75" customHeight="1" x14ac:dyDescent="0.35">
      <c r="A1715" s="25" t="s">
        <v>2084</v>
      </c>
      <c r="B1715" s="25" t="s">
        <v>2213</v>
      </c>
      <c r="C1715" s="26">
        <v>208024</v>
      </c>
      <c r="D1715" s="25" t="s">
        <v>2260</v>
      </c>
      <c r="E1715" s="25" t="s">
        <v>2226</v>
      </c>
      <c r="F1715" s="26" t="s">
        <v>27</v>
      </c>
      <c r="G1715" s="26" t="s">
        <v>27</v>
      </c>
      <c r="H1715" s="26"/>
      <c r="I1715" s="26"/>
      <c r="J1715" s="26">
        <v>1</v>
      </c>
      <c r="K1715" s="26">
        <v>138</v>
      </c>
      <c r="L1715" s="26" t="s">
        <v>28</v>
      </c>
      <c r="M1715" s="27">
        <v>2330</v>
      </c>
      <c r="N1715" s="28"/>
      <c r="O1715" s="26" t="s">
        <v>29</v>
      </c>
      <c r="P1715" s="29"/>
      <c r="Q1715" s="6"/>
      <c r="R1715" s="29"/>
      <c r="S1715" s="10"/>
      <c r="T1715" s="8"/>
    </row>
    <row r="1716" spans="1:20" ht="15.75" customHeight="1" x14ac:dyDescent="0.35">
      <c r="A1716" s="25" t="s">
        <v>2084</v>
      </c>
      <c r="B1716" s="25" t="s">
        <v>2213</v>
      </c>
      <c r="C1716" s="26">
        <v>208025</v>
      </c>
      <c r="D1716" s="25" t="s">
        <v>2261</v>
      </c>
      <c r="E1716" s="25" t="s">
        <v>2232</v>
      </c>
      <c r="F1716" s="26" t="s">
        <v>27</v>
      </c>
      <c r="G1716" s="26" t="s">
        <v>27</v>
      </c>
      <c r="H1716" s="26"/>
      <c r="I1716" s="26"/>
      <c r="J1716" s="26">
        <v>1</v>
      </c>
      <c r="K1716" s="26">
        <v>138</v>
      </c>
      <c r="L1716" s="26" t="s">
        <v>28</v>
      </c>
      <c r="M1716" s="27">
        <v>2291</v>
      </c>
      <c r="N1716" s="28"/>
      <c r="O1716" s="26" t="s">
        <v>29</v>
      </c>
      <c r="P1716" s="29"/>
      <c r="Q1716" s="6"/>
      <c r="R1716" s="29"/>
      <c r="S1716" s="10"/>
      <c r="T1716" s="8"/>
    </row>
    <row r="1717" spans="1:20" ht="15.75" customHeight="1" x14ac:dyDescent="0.35">
      <c r="A1717" s="25" t="s">
        <v>2084</v>
      </c>
      <c r="B1717" s="25" t="s">
        <v>2213</v>
      </c>
      <c r="C1717" s="26">
        <v>208027</v>
      </c>
      <c r="D1717" s="25" t="s">
        <v>2262</v>
      </c>
      <c r="E1717" s="25" t="s">
        <v>2222</v>
      </c>
      <c r="F1717" s="26" t="s">
        <v>27</v>
      </c>
      <c r="G1717" s="26" t="s">
        <v>27</v>
      </c>
      <c r="H1717" s="26"/>
      <c r="I1717" s="26"/>
      <c r="J1717" s="26">
        <v>1</v>
      </c>
      <c r="K1717" s="26">
        <v>138</v>
      </c>
      <c r="L1717" s="26" t="s">
        <v>28</v>
      </c>
      <c r="M1717" s="27">
        <v>2272</v>
      </c>
      <c r="N1717" s="28"/>
      <c r="O1717" s="26" t="s">
        <v>29</v>
      </c>
      <c r="P1717" s="29"/>
      <c r="Q1717" s="6"/>
      <c r="R1717" s="29"/>
      <c r="S1717" s="10"/>
      <c r="T1717" s="8"/>
    </row>
    <row r="1718" spans="1:20" ht="15.75" customHeight="1" x14ac:dyDescent="0.35">
      <c r="A1718" s="25" t="s">
        <v>2084</v>
      </c>
      <c r="B1718" s="25" t="s">
        <v>2213</v>
      </c>
      <c r="C1718" s="26">
        <v>208028</v>
      </c>
      <c r="D1718" s="25" t="s">
        <v>2263</v>
      </c>
      <c r="E1718" s="25" t="s">
        <v>2222</v>
      </c>
      <c r="F1718" s="26" t="s">
        <v>27</v>
      </c>
      <c r="G1718" s="26" t="s">
        <v>27</v>
      </c>
      <c r="H1718" s="26"/>
      <c r="I1718" s="26"/>
      <c r="J1718" s="26">
        <v>1</v>
      </c>
      <c r="K1718" s="26">
        <v>138</v>
      </c>
      <c r="L1718" s="26" t="s">
        <v>28</v>
      </c>
      <c r="M1718" s="27">
        <v>2329</v>
      </c>
      <c r="N1718" s="28"/>
      <c r="O1718" s="26" t="s">
        <v>29</v>
      </c>
      <c r="P1718" s="29"/>
      <c r="Q1718" s="6"/>
      <c r="R1718" s="29"/>
      <c r="S1718" s="10"/>
      <c r="T1718" s="8"/>
    </row>
    <row r="1719" spans="1:20" ht="15.75" customHeight="1" x14ac:dyDescent="0.35">
      <c r="A1719" s="25" t="s">
        <v>2084</v>
      </c>
      <c r="B1719" s="25" t="s">
        <v>2213</v>
      </c>
      <c r="C1719" s="26">
        <v>208029</v>
      </c>
      <c r="D1719" s="25" t="s">
        <v>2264</v>
      </c>
      <c r="E1719" s="25" t="s">
        <v>2226</v>
      </c>
      <c r="F1719" s="26" t="s">
        <v>27</v>
      </c>
      <c r="G1719" s="26" t="s">
        <v>27</v>
      </c>
      <c r="H1719" s="26"/>
      <c r="I1719" s="26"/>
      <c r="J1719" s="26">
        <v>1</v>
      </c>
      <c r="K1719" s="26">
        <v>138</v>
      </c>
      <c r="L1719" s="26" t="s">
        <v>28</v>
      </c>
      <c r="M1719" s="27">
        <v>2313</v>
      </c>
      <c r="N1719" s="28"/>
      <c r="O1719" s="26" t="s">
        <v>29</v>
      </c>
      <c r="P1719" s="29"/>
      <c r="Q1719" s="6"/>
      <c r="R1719" s="29"/>
      <c r="S1719" s="10"/>
      <c r="T1719" s="8"/>
    </row>
    <row r="1720" spans="1:20" ht="15.75" customHeight="1" x14ac:dyDescent="0.35">
      <c r="A1720" s="25" t="s">
        <v>2084</v>
      </c>
      <c r="B1720" s="25" t="s">
        <v>2213</v>
      </c>
      <c r="C1720" s="26">
        <v>208030</v>
      </c>
      <c r="D1720" s="25" t="s">
        <v>2265</v>
      </c>
      <c r="E1720" s="25" t="s">
        <v>2228</v>
      </c>
      <c r="F1720" s="26" t="s">
        <v>27</v>
      </c>
      <c r="G1720" s="26" t="s">
        <v>27</v>
      </c>
      <c r="H1720" s="26"/>
      <c r="I1720" s="26"/>
      <c r="J1720" s="26">
        <v>1</v>
      </c>
      <c r="K1720" s="26">
        <v>138</v>
      </c>
      <c r="L1720" s="26" t="s">
        <v>28</v>
      </c>
      <c r="M1720" s="27">
        <v>2306</v>
      </c>
      <c r="N1720" s="28"/>
      <c r="O1720" s="26" t="s">
        <v>29</v>
      </c>
      <c r="P1720" s="29"/>
      <c r="Q1720" s="6"/>
      <c r="R1720" s="29"/>
      <c r="S1720" s="10"/>
      <c r="T1720" s="8"/>
    </row>
    <row r="1721" spans="1:20" ht="15.75" customHeight="1" x14ac:dyDescent="0.35">
      <c r="A1721" s="25" t="s">
        <v>2084</v>
      </c>
      <c r="B1721" s="25" t="s">
        <v>2213</v>
      </c>
      <c r="C1721" s="26">
        <v>208031</v>
      </c>
      <c r="D1721" s="25" t="s">
        <v>2266</v>
      </c>
      <c r="E1721" s="25" t="s">
        <v>2228</v>
      </c>
      <c r="F1721" s="26" t="s">
        <v>27</v>
      </c>
      <c r="G1721" s="26" t="s">
        <v>27</v>
      </c>
      <c r="H1721" s="26"/>
      <c r="I1721" s="26"/>
      <c r="J1721" s="26">
        <v>1</v>
      </c>
      <c r="K1721" s="26">
        <v>138</v>
      </c>
      <c r="L1721" s="26" t="s">
        <v>28</v>
      </c>
      <c r="M1721" s="27">
        <v>2308</v>
      </c>
      <c r="N1721" s="28"/>
      <c r="O1721" s="26" t="s">
        <v>29</v>
      </c>
      <c r="P1721" s="29"/>
      <c r="Q1721" s="6"/>
      <c r="R1721" s="29"/>
      <c r="S1721" s="10"/>
      <c r="T1721" s="8"/>
    </row>
    <row r="1722" spans="1:20" ht="15.75" customHeight="1" x14ac:dyDescent="0.35">
      <c r="A1722" s="25" t="s">
        <v>2084</v>
      </c>
      <c r="B1722" s="25" t="s">
        <v>2213</v>
      </c>
      <c r="C1722" s="26">
        <v>208032</v>
      </c>
      <c r="D1722" s="25" t="s">
        <v>2267</v>
      </c>
      <c r="E1722" s="25" t="s">
        <v>2215</v>
      </c>
      <c r="F1722" s="26" t="s">
        <v>27</v>
      </c>
      <c r="G1722" s="26" t="s">
        <v>27</v>
      </c>
      <c r="H1722" s="26"/>
      <c r="I1722" s="26"/>
      <c r="J1722" s="26">
        <v>1</v>
      </c>
      <c r="K1722" s="26">
        <v>138</v>
      </c>
      <c r="L1722" s="26" t="s">
        <v>28</v>
      </c>
      <c r="M1722" s="27">
        <v>2299</v>
      </c>
      <c r="N1722" s="28"/>
      <c r="O1722" s="26" t="s">
        <v>29</v>
      </c>
      <c r="P1722" s="29"/>
      <c r="Q1722" s="6"/>
      <c r="R1722" s="29"/>
      <c r="S1722" s="10"/>
      <c r="T1722" s="8"/>
    </row>
    <row r="1723" spans="1:20" ht="15.75" customHeight="1" x14ac:dyDescent="0.35">
      <c r="A1723" s="25" t="s">
        <v>2084</v>
      </c>
      <c r="B1723" s="25" t="s">
        <v>2213</v>
      </c>
      <c r="C1723" s="26">
        <v>208037</v>
      </c>
      <c r="D1723" s="25" t="s">
        <v>2268</v>
      </c>
      <c r="E1723" s="25" t="s">
        <v>2222</v>
      </c>
      <c r="F1723" s="26" t="s">
        <v>27</v>
      </c>
      <c r="G1723" s="26" t="s">
        <v>27</v>
      </c>
      <c r="H1723" s="26"/>
      <c r="I1723" s="26"/>
      <c r="J1723" s="26">
        <v>1</v>
      </c>
      <c r="K1723" s="26">
        <v>138</v>
      </c>
      <c r="L1723" s="26" t="s">
        <v>28</v>
      </c>
      <c r="M1723" s="27">
        <v>2284</v>
      </c>
      <c r="N1723" s="28"/>
      <c r="O1723" s="26" t="s">
        <v>29</v>
      </c>
      <c r="P1723" s="29"/>
      <c r="Q1723" s="6"/>
      <c r="R1723" s="29"/>
      <c r="S1723" s="10"/>
      <c r="T1723" s="8"/>
    </row>
    <row r="1724" spans="1:20" ht="15.75" customHeight="1" x14ac:dyDescent="0.35">
      <c r="A1724" s="25" t="s">
        <v>2084</v>
      </c>
      <c r="B1724" s="25" t="s">
        <v>2213</v>
      </c>
      <c r="C1724" s="26">
        <v>208038</v>
      </c>
      <c r="D1724" s="25" t="s">
        <v>2269</v>
      </c>
      <c r="E1724" s="25" t="s">
        <v>2226</v>
      </c>
      <c r="F1724" s="26" t="s">
        <v>27</v>
      </c>
      <c r="G1724" s="26" t="s">
        <v>27</v>
      </c>
      <c r="H1724" s="26"/>
      <c r="I1724" s="26"/>
      <c r="J1724" s="26">
        <v>1</v>
      </c>
      <c r="K1724" s="26">
        <v>138</v>
      </c>
      <c r="L1724" s="26" t="s">
        <v>28</v>
      </c>
      <c r="M1724" s="27">
        <v>2290</v>
      </c>
      <c r="N1724" s="28"/>
      <c r="O1724" s="26" t="s">
        <v>29</v>
      </c>
      <c r="P1724" s="29"/>
      <c r="Q1724" s="6"/>
      <c r="R1724" s="29"/>
      <c r="S1724" s="10"/>
      <c r="T1724" s="8"/>
    </row>
    <row r="1725" spans="1:20" ht="15.75" customHeight="1" x14ac:dyDescent="0.35">
      <c r="A1725" s="25" t="s">
        <v>2084</v>
      </c>
      <c r="B1725" s="25" t="s">
        <v>2213</v>
      </c>
      <c r="C1725" s="26">
        <v>208041</v>
      </c>
      <c r="D1725" s="25" t="s">
        <v>2270</v>
      </c>
      <c r="E1725" s="25" t="s">
        <v>2240</v>
      </c>
      <c r="F1725" s="26" t="s">
        <v>27</v>
      </c>
      <c r="G1725" s="26" t="s">
        <v>27</v>
      </c>
      <c r="H1725" s="26"/>
      <c r="I1725" s="26"/>
      <c r="J1725" s="26">
        <v>1</v>
      </c>
      <c r="K1725" s="26">
        <v>138</v>
      </c>
      <c r="L1725" s="26" t="s">
        <v>28</v>
      </c>
      <c r="M1725" s="27">
        <v>2292</v>
      </c>
      <c r="N1725" s="28"/>
      <c r="O1725" s="26" t="s">
        <v>29</v>
      </c>
      <c r="P1725" s="29"/>
      <c r="Q1725" s="6"/>
      <c r="R1725" s="29"/>
      <c r="S1725" s="10"/>
      <c r="T1725" s="8"/>
    </row>
    <row r="1726" spans="1:20" ht="15.75" customHeight="1" x14ac:dyDescent="0.35">
      <c r="A1726" s="25" t="s">
        <v>2084</v>
      </c>
      <c r="B1726" s="25" t="s">
        <v>2213</v>
      </c>
      <c r="C1726" s="26">
        <v>208044</v>
      </c>
      <c r="D1726" s="25" t="s">
        <v>2271</v>
      </c>
      <c r="E1726" s="25" t="s">
        <v>2240</v>
      </c>
      <c r="F1726" s="26" t="s">
        <v>27</v>
      </c>
      <c r="G1726" s="26" t="s">
        <v>27</v>
      </c>
      <c r="H1726" s="26"/>
      <c r="I1726" s="26"/>
      <c r="J1726" s="26">
        <v>1</v>
      </c>
      <c r="K1726" s="26">
        <v>138</v>
      </c>
      <c r="L1726" s="26" t="s">
        <v>28</v>
      </c>
      <c r="M1726" s="27">
        <v>2294</v>
      </c>
      <c r="N1726" s="28"/>
      <c r="O1726" s="26" t="s">
        <v>29</v>
      </c>
      <c r="P1726" s="29"/>
      <c r="Q1726" s="6"/>
      <c r="R1726" s="29"/>
      <c r="S1726" s="10"/>
      <c r="T1726" s="8"/>
    </row>
    <row r="1727" spans="1:20" ht="15.75" customHeight="1" x14ac:dyDescent="0.35">
      <c r="A1727" s="25" t="s">
        <v>2084</v>
      </c>
      <c r="B1727" s="25" t="s">
        <v>2213</v>
      </c>
      <c r="C1727" s="26">
        <v>208046</v>
      </c>
      <c r="D1727" s="25" t="s">
        <v>2272</v>
      </c>
      <c r="E1727" s="25" t="s">
        <v>2240</v>
      </c>
      <c r="F1727" s="26" t="s">
        <v>27</v>
      </c>
      <c r="G1727" s="26" t="s">
        <v>27</v>
      </c>
      <c r="H1727" s="26"/>
      <c r="I1727" s="26"/>
      <c r="J1727" s="26">
        <v>1</v>
      </c>
      <c r="K1727" s="26">
        <v>138</v>
      </c>
      <c r="L1727" s="26" t="s">
        <v>28</v>
      </c>
      <c r="M1727" s="27">
        <v>2303</v>
      </c>
      <c r="N1727" s="28"/>
      <c r="O1727" s="26" t="s">
        <v>29</v>
      </c>
      <c r="P1727" s="29"/>
      <c r="Q1727" s="6"/>
      <c r="R1727" s="29"/>
      <c r="S1727" s="10"/>
      <c r="T1727" s="8"/>
    </row>
    <row r="1728" spans="1:20" ht="15.75" customHeight="1" x14ac:dyDescent="0.35">
      <c r="A1728" s="25" t="s">
        <v>2084</v>
      </c>
      <c r="B1728" s="25" t="s">
        <v>2213</v>
      </c>
      <c r="C1728" s="26">
        <v>208047</v>
      </c>
      <c r="D1728" s="25" t="s">
        <v>2273</v>
      </c>
      <c r="E1728" s="25" t="s">
        <v>2240</v>
      </c>
      <c r="F1728" s="26" t="s">
        <v>27</v>
      </c>
      <c r="G1728" s="26" t="s">
        <v>27</v>
      </c>
      <c r="H1728" s="26"/>
      <c r="I1728" s="26"/>
      <c r="J1728" s="26">
        <v>1</v>
      </c>
      <c r="K1728" s="26">
        <v>138</v>
      </c>
      <c r="L1728" s="26" t="s">
        <v>28</v>
      </c>
      <c r="M1728" s="27">
        <v>2314</v>
      </c>
      <c r="N1728" s="28"/>
      <c r="O1728" s="26" t="s">
        <v>29</v>
      </c>
      <c r="P1728" s="29"/>
      <c r="Q1728" s="6"/>
      <c r="R1728" s="29"/>
      <c r="S1728" s="10"/>
      <c r="T1728" s="8"/>
    </row>
    <row r="1729" spans="1:20" ht="15.75" customHeight="1" x14ac:dyDescent="0.35">
      <c r="A1729" s="25" t="s">
        <v>2084</v>
      </c>
      <c r="B1729" s="25" t="s">
        <v>2213</v>
      </c>
      <c r="C1729" s="26">
        <v>316613</v>
      </c>
      <c r="D1729" s="25" t="s">
        <v>2274</v>
      </c>
      <c r="E1729" s="25" t="s">
        <v>2222</v>
      </c>
      <c r="F1729" s="26" t="s">
        <v>27</v>
      </c>
      <c r="G1729" s="26" t="s">
        <v>27</v>
      </c>
      <c r="H1729" s="26"/>
      <c r="I1729" s="26"/>
      <c r="J1729" s="26">
        <v>1</v>
      </c>
      <c r="K1729" s="26">
        <v>138</v>
      </c>
      <c r="L1729" s="26" t="s">
        <v>28</v>
      </c>
      <c r="M1729" s="27">
        <v>2327</v>
      </c>
      <c r="N1729" s="28"/>
      <c r="O1729" s="26" t="s">
        <v>29</v>
      </c>
      <c r="P1729" s="29"/>
      <c r="Q1729" s="6"/>
      <c r="R1729" s="29"/>
      <c r="S1729" s="10"/>
      <c r="T1729" s="8"/>
    </row>
    <row r="1730" spans="1:20" ht="15.75" customHeight="1" x14ac:dyDescent="0.35">
      <c r="A1730" s="25" t="s">
        <v>2084</v>
      </c>
      <c r="B1730" s="25" t="s">
        <v>2213</v>
      </c>
      <c r="C1730" s="26">
        <v>316625</v>
      </c>
      <c r="D1730" s="25" t="s">
        <v>2275</v>
      </c>
      <c r="E1730" s="25" t="s">
        <v>2240</v>
      </c>
      <c r="F1730" s="26" t="s">
        <v>27</v>
      </c>
      <c r="G1730" s="26" t="s">
        <v>27</v>
      </c>
      <c r="H1730" s="26"/>
      <c r="I1730" s="26"/>
      <c r="J1730" s="26">
        <v>1</v>
      </c>
      <c r="K1730" s="26">
        <v>138</v>
      </c>
      <c r="L1730" s="26" t="s">
        <v>28</v>
      </c>
      <c r="M1730" s="27">
        <v>2287</v>
      </c>
      <c r="N1730" s="28"/>
      <c r="O1730" s="26" t="s">
        <v>29</v>
      </c>
      <c r="P1730" s="29"/>
      <c r="Q1730" s="6"/>
      <c r="R1730" s="29"/>
      <c r="S1730" s="10"/>
      <c r="T1730" s="8"/>
    </row>
    <row r="1731" spans="1:20" ht="15.75" customHeight="1" x14ac:dyDescent="0.35">
      <c r="A1731" s="25" t="s">
        <v>2084</v>
      </c>
      <c r="B1731" s="25" t="s">
        <v>2213</v>
      </c>
      <c r="C1731" s="26">
        <v>316630</v>
      </c>
      <c r="D1731" s="25" t="s">
        <v>2242</v>
      </c>
      <c r="E1731" s="25" t="s">
        <v>2240</v>
      </c>
      <c r="F1731" s="26" t="s">
        <v>27</v>
      </c>
      <c r="G1731" s="26" t="s">
        <v>27</v>
      </c>
      <c r="H1731" s="26"/>
      <c r="I1731" s="26"/>
      <c r="J1731" s="26">
        <v>1</v>
      </c>
      <c r="K1731" s="26">
        <v>138</v>
      </c>
      <c r="L1731" s="26" t="s">
        <v>28</v>
      </c>
      <c r="M1731" s="27">
        <v>2332</v>
      </c>
      <c r="N1731" s="28"/>
      <c r="O1731" s="26" t="s">
        <v>29</v>
      </c>
      <c r="P1731" s="29"/>
      <c r="Q1731" s="6"/>
      <c r="R1731" s="29"/>
      <c r="S1731" s="10"/>
      <c r="T1731" s="8"/>
    </row>
    <row r="1732" spans="1:20" ht="15.75" customHeight="1" x14ac:dyDescent="0.35">
      <c r="A1732" s="25" t="s">
        <v>2084</v>
      </c>
      <c r="B1732" s="25" t="s">
        <v>2213</v>
      </c>
      <c r="C1732" s="26">
        <v>316631</v>
      </c>
      <c r="D1732" s="25" t="s">
        <v>2276</v>
      </c>
      <c r="E1732" s="25" t="s">
        <v>2240</v>
      </c>
      <c r="F1732" s="26" t="s">
        <v>27</v>
      </c>
      <c r="G1732" s="26" t="s">
        <v>27</v>
      </c>
      <c r="H1732" s="26"/>
      <c r="I1732" s="26"/>
      <c r="J1732" s="26">
        <v>1</v>
      </c>
      <c r="K1732" s="26">
        <v>138</v>
      </c>
      <c r="L1732" s="26" t="s">
        <v>28</v>
      </c>
      <c r="M1732" s="27">
        <v>2309</v>
      </c>
      <c r="N1732" s="28"/>
      <c r="O1732" s="26" t="s">
        <v>29</v>
      </c>
      <c r="P1732" s="29"/>
      <c r="Q1732" s="6"/>
      <c r="R1732" s="29"/>
      <c r="S1732" s="10"/>
      <c r="T1732" s="8"/>
    </row>
    <row r="1733" spans="1:20" ht="15.75" customHeight="1" x14ac:dyDescent="0.35">
      <c r="A1733" s="25" t="s">
        <v>2084</v>
      </c>
      <c r="B1733" s="25" t="s">
        <v>2213</v>
      </c>
      <c r="C1733" s="26">
        <v>316632</v>
      </c>
      <c r="D1733" s="25" t="s">
        <v>2277</v>
      </c>
      <c r="E1733" s="25" t="s">
        <v>2222</v>
      </c>
      <c r="F1733" s="26" t="s">
        <v>27</v>
      </c>
      <c r="G1733" s="26" t="s">
        <v>27</v>
      </c>
      <c r="H1733" s="26"/>
      <c r="I1733" s="26"/>
      <c r="J1733" s="26">
        <v>1</v>
      </c>
      <c r="K1733" s="26">
        <v>138</v>
      </c>
      <c r="L1733" s="26" t="s">
        <v>28</v>
      </c>
      <c r="M1733" s="27">
        <v>2283</v>
      </c>
      <c r="N1733" s="28"/>
      <c r="O1733" s="26" t="s">
        <v>29</v>
      </c>
      <c r="P1733" s="29"/>
      <c r="Q1733" s="6"/>
      <c r="R1733" s="29"/>
      <c r="S1733" s="10"/>
      <c r="T1733" s="8"/>
    </row>
    <row r="1734" spans="1:20" ht="15.75" customHeight="1" x14ac:dyDescent="0.35">
      <c r="A1734" s="25" t="s">
        <v>2084</v>
      </c>
      <c r="B1734" s="25" t="s">
        <v>2213</v>
      </c>
      <c r="C1734" s="26">
        <v>316634</v>
      </c>
      <c r="D1734" s="25" t="s">
        <v>2278</v>
      </c>
      <c r="E1734" s="25" t="s">
        <v>2215</v>
      </c>
      <c r="F1734" s="26" t="s">
        <v>27</v>
      </c>
      <c r="G1734" s="26" t="s">
        <v>27</v>
      </c>
      <c r="H1734" s="26"/>
      <c r="I1734" s="26"/>
      <c r="J1734" s="26">
        <v>1</v>
      </c>
      <c r="K1734" s="26">
        <v>138</v>
      </c>
      <c r="L1734" s="26" t="s">
        <v>28</v>
      </c>
      <c r="M1734" s="27">
        <v>2273</v>
      </c>
      <c r="N1734" s="28"/>
      <c r="O1734" s="26" t="s">
        <v>29</v>
      </c>
      <c r="P1734" s="29"/>
      <c r="Q1734" s="6"/>
      <c r="R1734" s="29"/>
      <c r="S1734" s="10"/>
      <c r="T1734" s="8"/>
    </row>
    <row r="1735" spans="1:20" ht="15.75" customHeight="1" x14ac:dyDescent="0.35">
      <c r="A1735" s="25" t="s">
        <v>2084</v>
      </c>
      <c r="B1735" s="25" t="s">
        <v>2213</v>
      </c>
      <c r="C1735" s="26">
        <v>316640</v>
      </c>
      <c r="D1735" s="25" t="s">
        <v>2273</v>
      </c>
      <c r="E1735" s="25" t="s">
        <v>2240</v>
      </c>
      <c r="F1735" s="26" t="s">
        <v>27</v>
      </c>
      <c r="G1735" s="26" t="s">
        <v>27</v>
      </c>
      <c r="H1735" s="26"/>
      <c r="I1735" s="26"/>
      <c r="J1735" s="26">
        <v>1</v>
      </c>
      <c r="K1735" s="26">
        <v>138</v>
      </c>
      <c r="L1735" s="26" t="s">
        <v>28</v>
      </c>
      <c r="M1735" s="27">
        <v>2315</v>
      </c>
      <c r="N1735" s="28"/>
      <c r="O1735" s="26" t="s">
        <v>29</v>
      </c>
      <c r="P1735" s="29"/>
      <c r="Q1735" s="6"/>
      <c r="R1735" s="29"/>
      <c r="S1735" s="10"/>
      <c r="T1735" s="8"/>
    </row>
    <row r="1736" spans="1:20" ht="15.75" customHeight="1" x14ac:dyDescent="0.35">
      <c r="A1736" s="25" t="s">
        <v>2084</v>
      </c>
      <c r="B1736" s="25" t="s">
        <v>2213</v>
      </c>
      <c r="C1736" s="26">
        <v>316646</v>
      </c>
      <c r="D1736" s="25" t="s">
        <v>2279</v>
      </c>
      <c r="E1736" s="25" t="s">
        <v>2228</v>
      </c>
      <c r="F1736" s="26" t="s">
        <v>27</v>
      </c>
      <c r="G1736" s="26" t="s">
        <v>27</v>
      </c>
      <c r="H1736" s="26"/>
      <c r="I1736" s="26"/>
      <c r="J1736" s="26">
        <v>1</v>
      </c>
      <c r="K1736" s="26">
        <v>138</v>
      </c>
      <c r="L1736" s="26" t="s">
        <v>28</v>
      </c>
      <c r="M1736" s="27">
        <v>2302</v>
      </c>
      <c r="N1736" s="28"/>
      <c r="O1736" s="26" t="s">
        <v>29</v>
      </c>
      <c r="P1736" s="29"/>
      <c r="Q1736" s="6"/>
      <c r="R1736" s="29"/>
      <c r="S1736" s="10"/>
      <c r="T1736" s="8"/>
    </row>
    <row r="1737" spans="1:20" ht="15.75" customHeight="1" x14ac:dyDescent="0.35">
      <c r="A1737" s="25" t="s">
        <v>2084</v>
      </c>
      <c r="B1737" s="25" t="s">
        <v>2213</v>
      </c>
      <c r="C1737" s="26">
        <v>316650</v>
      </c>
      <c r="D1737" s="25" t="s">
        <v>2219</v>
      </c>
      <c r="E1737" s="25" t="s">
        <v>2215</v>
      </c>
      <c r="F1737" s="26" t="s">
        <v>27</v>
      </c>
      <c r="G1737" s="26" t="s">
        <v>27</v>
      </c>
      <c r="H1737" s="26"/>
      <c r="I1737" s="26"/>
      <c r="J1737" s="26">
        <v>1</v>
      </c>
      <c r="K1737" s="26">
        <v>138</v>
      </c>
      <c r="L1737" s="26" t="s">
        <v>28</v>
      </c>
      <c r="M1737" s="27">
        <v>2325</v>
      </c>
      <c r="N1737" s="28"/>
      <c r="O1737" s="26" t="s">
        <v>29</v>
      </c>
      <c r="P1737" s="29"/>
      <c r="Q1737" s="6"/>
      <c r="R1737" s="29"/>
      <c r="S1737" s="10"/>
      <c r="T1737" s="8"/>
    </row>
    <row r="1738" spans="1:20" ht="15.75" customHeight="1" x14ac:dyDescent="0.35">
      <c r="A1738" s="25" t="s">
        <v>2084</v>
      </c>
      <c r="B1738" s="25" t="s">
        <v>2213</v>
      </c>
      <c r="C1738" s="26">
        <v>316652</v>
      </c>
      <c r="D1738" s="25" t="s">
        <v>2280</v>
      </c>
      <c r="E1738" s="25" t="s">
        <v>2240</v>
      </c>
      <c r="F1738" s="26" t="s">
        <v>27</v>
      </c>
      <c r="G1738" s="26" t="s">
        <v>27</v>
      </c>
      <c r="H1738" s="26"/>
      <c r="I1738" s="26"/>
      <c r="J1738" s="26">
        <v>1</v>
      </c>
      <c r="K1738" s="26">
        <v>138</v>
      </c>
      <c r="L1738" s="26" t="s">
        <v>28</v>
      </c>
      <c r="M1738" s="27">
        <v>2285</v>
      </c>
      <c r="N1738" s="28"/>
      <c r="O1738" s="26" t="s">
        <v>29</v>
      </c>
      <c r="P1738" s="29"/>
      <c r="Q1738" s="6"/>
      <c r="R1738" s="29"/>
      <c r="S1738" s="10"/>
      <c r="T1738" s="8"/>
    </row>
    <row r="1739" spans="1:20" ht="15.75" customHeight="1" x14ac:dyDescent="0.35">
      <c r="A1739" s="25" t="s">
        <v>2084</v>
      </c>
      <c r="B1739" s="25" t="s">
        <v>2281</v>
      </c>
      <c r="C1739" s="26">
        <v>130629</v>
      </c>
      <c r="D1739" s="25" t="s">
        <v>2282</v>
      </c>
      <c r="E1739" s="25" t="s">
        <v>2283</v>
      </c>
      <c r="F1739" s="26" t="s">
        <v>90</v>
      </c>
      <c r="G1739" s="26" t="s">
        <v>90</v>
      </c>
      <c r="H1739" s="26">
        <v>1</v>
      </c>
      <c r="I1739" s="26">
        <v>2</v>
      </c>
      <c r="J1739" s="26">
        <v>1</v>
      </c>
      <c r="K1739" s="26">
        <v>138</v>
      </c>
      <c r="L1739" s="26" t="s">
        <v>28</v>
      </c>
      <c r="M1739" s="27">
        <v>2351</v>
      </c>
      <c r="N1739" s="28">
        <v>159283.09</v>
      </c>
      <c r="O1739" s="26" t="s">
        <v>29</v>
      </c>
      <c r="P1739" s="29"/>
      <c r="Q1739" s="6"/>
      <c r="R1739" s="29"/>
      <c r="S1739" s="10"/>
      <c r="T1739" s="8">
        <v>1</v>
      </c>
    </row>
    <row r="1740" spans="1:20" ht="15.75" customHeight="1" x14ac:dyDescent="0.35">
      <c r="A1740" s="25" t="s">
        <v>2084</v>
      </c>
      <c r="B1740" s="25" t="s">
        <v>2281</v>
      </c>
      <c r="C1740" s="26">
        <v>130634</v>
      </c>
      <c r="D1740" s="25" t="s">
        <v>2284</v>
      </c>
      <c r="E1740" s="25" t="s">
        <v>2283</v>
      </c>
      <c r="F1740" s="26" t="s">
        <v>90</v>
      </c>
      <c r="G1740" s="26" t="s">
        <v>90</v>
      </c>
      <c r="H1740" s="26"/>
      <c r="I1740" s="26"/>
      <c r="J1740" s="26">
        <v>1</v>
      </c>
      <c r="K1740" s="26">
        <v>138</v>
      </c>
      <c r="L1740" s="26" t="s">
        <v>28</v>
      </c>
      <c r="M1740" s="27">
        <v>2358</v>
      </c>
      <c r="N1740" s="28"/>
      <c r="O1740" s="26" t="s">
        <v>29</v>
      </c>
      <c r="P1740" s="29"/>
      <c r="Q1740" s="6"/>
      <c r="R1740" s="29"/>
      <c r="S1740" s="10"/>
      <c r="T1740" s="8"/>
    </row>
    <row r="1741" spans="1:20" ht="15.75" customHeight="1" x14ac:dyDescent="0.35">
      <c r="A1741" s="25" t="s">
        <v>2084</v>
      </c>
      <c r="B1741" s="25" t="s">
        <v>2281</v>
      </c>
      <c r="C1741" s="26">
        <v>130644</v>
      </c>
      <c r="D1741" s="25" t="s">
        <v>2285</v>
      </c>
      <c r="E1741" s="25" t="s">
        <v>2283</v>
      </c>
      <c r="F1741" s="26" t="s">
        <v>90</v>
      </c>
      <c r="G1741" s="26" t="s">
        <v>90</v>
      </c>
      <c r="H1741" s="26"/>
      <c r="I1741" s="26"/>
      <c r="J1741" s="26">
        <v>1</v>
      </c>
      <c r="K1741" s="26">
        <v>138</v>
      </c>
      <c r="L1741" s="26" t="s">
        <v>28</v>
      </c>
      <c r="M1741" s="27">
        <v>2362</v>
      </c>
      <c r="N1741" s="28"/>
      <c r="O1741" s="26" t="s">
        <v>29</v>
      </c>
      <c r="P1741" s="29"/>
      <c r="Q1741" s="6"/>
      <c r="R1741" s="29"/>
      <c r="S1741" s="10"/>
      <c r="T1741" s="8"/>
    </row>
    <row r="1742" spans="1:20" ht="15.75" customHeight="1" x14ac:dyDescent="0.35">
      <c r="A1742" s="25" t="s">
        <v>2084</v>
      </c>
      <c r="B1742" s="25" t="s">
        <v>2281</v>
      </c>
      <c r="C1742" s="26">
        <v>130648</v>
      </c>
      <c r="D1742" s="25" t="s">
        <v>2286</v>
      </c>
      <c r="E1742" s="25" t="s">
        <v>2283</v>
      </c>
      <c r="F1742" s="26" t="s">
        <v>90</v>
      </c>
      <c r="G1742" s="26" t="s">
        <v>90</v>
      </c>
      <c r="H1742" s="26"/>
      <c r="I1742" s="26"/>
      <c r="J1742" s="26">
        <v>1</v>
      </c>
      <c r="K1742" s="26">
        <v>138</v>
      </c>
      <c r="L1742" s="26" t="s">
        <v>28</v>
      </c>
      <c r="M1742" s="27">
        <v>2348</v>
      </c>
      <c r="N1742" s="28"/>
      <c r="O1742" s="26" t="s">
        <v>29</v>
      </c>
      <c r="P1742" s="29"/>
      <c r="Q1742" s="6"/>
      <c r="R1742" s="29"/>
      <c r="S1742" s="10"/>
      <c r="T1742" s="8"/>
    </row>
    <row r="1743" spans="1:20" ht="15.75" customHeight="1" x14ac:dyDescent="0.35">
      <c r="A1743" s="25" t="s">
        <v>2084</v>
      </c>
      <c r="B1743" s="25" t="s">
        <v>2281</v>
      </c>
      <c r="C1743" s="26">
        <v>130650</v>
      </c>
      <c r="D1743" s="25" t="s">
        <v>2287</v>
      </c>
      <c r="E1743" s="25" t="s">
        <v>2283</v>
      </c>
      <c r="F1743" s="26" t="s">
        <v>90</v>
      </c>
      <c r="G1743" s="26" t="s">
        <v>90</v>
      </c>
      <c r="H1743" s="26"/>
      <c r="I1743" s="26"/>
      <c r="J1743" s="26">
        <v>1</v>
      </c>
      <c r="K1743" s="26">
        <v>138</v>
      </c>
      <c r="L1743" s="26" t="s">
        <v>28</v>
      </c>
      <c r="M1743" s="27">
        <v>2354</v>
      </c>
      <c r="N1743" s="28"/>
      <c r="O1743" s="26" t="s">
        <v>29</v>
      </c>
      <c r="P1743" s="29"/>
      <c r="Q1743" s="6"/>
      <c r="R1743" s="29"/>
      <c r="S1743" s="10"/>
      <c r="T1743" s="8"/>
    </row>
    <row r="1744" spans="1:20" ht="15.75" customHeight="1" x14ac:dyDescent="0.35">
      <c r="A1744" s="25" t="s">
        <v>2084</v>
      </c>
      <c r="B1744" s="25" t="s">
        <v>2281</v>
      </c>
      <c r="C1744" s="26">
        <v>130651</v>
      </c>
      <c r="D1744" s="25" t="s">
        <v>2288</v>
      </c>
      <c r="E1744" s="25" t="s">
        <v>2283</v>
      </c>
      <c r="F1744" s="26" t="s">
        <v>90</v>
      </c>
      <c r="G1744" s="26" t="s">
        <v>90</v>
      </c>
      <c r="H1744" s="26"/>
      <c r="I1744" s="26"/>
      <c r="J1744" s="26">
        <v>1</v>
      </c>
      <c r="K1744" s="26">
        <v>138</v>
      </c>
      <c r="L1744" s="26" t="s">
        <v>28</v>
      </c>
      <c r="M1744" s="27">
        <v>2356</v>
      </c>
      <c r="N1744" s="28"/>
      <c r="O1744" s="26" t="s">
        <v>29</v>
      </c>
      <c r="P1744" s="29"/>
      <c r="Q1744" s="6"/>
      <c r="R1744" s="29"/>
      <c r="S1744" s="10"/>
      <c r="T1744" s="8"/>
    </row>
    <row r="1745" spans="1:20" ht="15.75" customHeight="1" x14ac:dyDescent="0.35">
      <c r="A1745" s="25" t="s">
        <v>2084</v>
      </c>
      <c r="B1745" s="25" t="s">
        <v>2281</v>
      </c>
      <c r="C1745" s="26">
        <v>130652</v>
      </c>
      <c r="D1745" s="25" t="s">
        <v>726</v>
      </c>
      <c r="E1745" s="25" t="s">
        <v>2283</v>
      </c>
      <c r="F1745" s="26" t="s">
        <v>90</v>
      </c>
      <c r="G1745" s="26" t="s">
        <v>90</v>
      </c>
      <c r="H1745" s="26"/>
      <c r="I1745" s="26"/>
      <c r="J1745" s="26">
        <v>1</v>
      </c>
      <c r="K1745" s="26">
        <v>138</v>
      </c>
      <c r="L1745" s="26" t="s">
        <v>28</v>
      </c>
      <c r="M1745" s="27">
        <v>2360</v>
      </c>
      <c r="N1745" s="28"/>
      <c r="O1745" s="26" t="s">
        <v>29</v>
      </c>
      <c r="P1745" s="29"/>
      <c r="Q1745" s="6"/>
      <c r="R1745" s="29"/>
      <c r="S1745" s="10"/>
      <c r="T1745" s="8"/>
    </row>
    <row r="1746" spans="1:20" ht="15.75" customHeight="1" x14ac:dyDescent="0.35">
      <c r="A1746" s="25" t="s">
        <v>2084</v>
      </c>
      <c r="B1746" s="25" t="s">
        <v>2281</v>
      </c>
      <c r="C1746" s="26">
        <v>130690</v>
      </c>
      <c r="D1746" s="25" t="s">
        <v>2289</v>
      </c>
      <c r="E1746" s="25" t="s">
        <v>2290</v>
      </c>
      <c r="F1746" s="26" t="s">
        <v>90</v>
      </c>
      <c r="G1746" s="26" t="s">
        <v>90</v>
      </c>
      <c r="H1746" s="26"/>
      <c r="I1746" s="26"/>
      <c r="J1746" s="26">
        <v>1</v>
      </c>
      <c r="K1746" s="26">
        <v>138</v>
      </c>
      <c r="L1746" s="26" t="s">
        <v>28</v>
      </c>
      <c r="M1746" s="27">
        <v>2365</v>
      </c>
      <c r="N1746" s="28"/>
      <c r="O1746" s="26" t="s">
        <v>29</v>
      </c>
      <c r="P1746" s="29"/>
      <c r="Q1746" s="6"/>
      <c r="R1746" s="29"/>
      <c r="S1746" s="10"/>
      <c r="T1746" s="8"/>
    </row>
    <row r="1747" spans="1:20" ht="15.75" customHeight="1" x14ac:dyDescent="0.35">
      <c r="A1747" s="25" t="s">
        <v>2084</v>
      </c>
      <c r="B1747" s="25" t="s">
        <v>2281</v>
      </c>
      <c r="C1747" s="26">
        <v>130693</v>
      </c>
      <c r="D1747" s="25" t="s">
        <v>2291</v>
      </c>
      <c r="E1747" s="25" t="s">
        <v>2290</v>
      </c>
      <c r="F1747" s="26" t="s">
        <v>90</v>
      </c>
      <c r="G1747" s="26" t="s">
        <v>90</v>
      </c>
      <c r="H1747" s="26"/>
      <c r="I1747" s="26"/>
      <c r="J1747" s="26">
        <v>1</v>
      </c>
      <c r="K1747" s="26">
        <v>138</v>
      </c>
      <c r="L1747" s="26" t="s">
        <v>28</v>
      </c>
      <c r="M1747" s="27">
        <v>2367</v>
      </c>
      <c r="N1747" s="28"/>
      <c r="O1747" s="26" t="s">
        <v>29</v>
      </c>
      <c r="P1747" s="29"/>
      <c r="Q1747" s="6"/>
      <c r="R1747" s="29"/>
      <c r="S1747" s="10"/>
      <c r="T1747" s="8"/>
    </row>
    <row r="1748" spans="1:20" ht="15.75" customHeight="1" x14ac:dyDescent="0.35">
      <c r="A1748" s="25" t="s">
        <v>2084</v>
      </c>
      <c r="B1748" s="25" t="s">
        <v>2281</v>
      </c>
      <c r="C1748" s="26">
        <v>130699</v>
      </c>
      <c r="D1748" s="25" t="s">
        <v>2292</v>
      </c>
      <c r="E1748" s="25" t="s">
        <v>2293</v>
      </c>
      <c r="F1748" s="26" t="s">
        <v>90</v>
      </c>
      <c r="G1748" s="26" t="s">
        <v>90</v>
      </c>
      <c r="H1748" s="26"/>
      <c r="I1748" s="26"/>
      <c r="J1748" s="26">
        <v>1</v>
      </c>
      <c r="K1748" s="26">
        <v>138</v>
      </c>
      <c r="L1748" s="26" t="s">
        <v>28</v>
      </c>
      <c r="M1748" s="27">
        <v>2349</v>
      </c>
      <c r="N1748" s="28"/>
      <c r="O1748" s="26" t="s">
        <v>29</v>
      </c>
      <c r="P1748" s="29"/>
      <c r="Q1748" s="6"/>
      <c r="R1748" s="29"/>
      <c r="S1748" s="10"/>
      <c r="T1748" s="8"/>
    </row>
    <row r="1749" spans="1:20" ht="15.75" customHeight="1" x14ac:dyDescent="0.35">
      <c r="A1749" s="25" t="s">
        <v>2084</v>
      </c>
      <c r="B1749" s="25" t="s">
        <v>2281</v>
      </c>
      <c r="C1749" s="26">
        <v>130718</v>
      </c>
      <c r="D1749" s="25" t="s">
        <v>2294</v>
      </c>
      <c r="E1749" s="25" t="s">
        <v>2295</v>
      </c>
      <c r="F1749" s="26" t="s">
        <v>215</v>
      </c>
      <c r="G1749" s="26" t="s">
        <v>215</v>
      </c>
      <c r="H1749" s="26"/>
      <c r="I1749" s="26"/>
      <c r="J1749" s="26">
        <v>1</v>
      </c>
      <c r="K1749" s="26">
        <v>138</v>
      </c>
      <c r="L1749" s="26" t="s">
        <v>28</v>
      </c>
      <c r="M1749" s="27">
        <v>2337</v>
      </c>
      <c r="N1749" s="28"/>
      <c r="O1749" s="26" t="s">
        <v>29</v>
      </c>
      <c r="P1749" s="29"/>
      <c r="Q1749" s="6"/>
      <c r="R1749" s="29"/>
      <c r="S1749" s="10"/>
      <c r="T1749" s="8"/>
    </row>
    <row r="1750" spans="1:20" ht="15.75" customHeight="1" x14ac:dyDescent="0.35">
      <c r="A1750" s="25" t="s">
        <v>2084</v>
      </c>
      <c r="B1750" s="25" t="s">
        <v>2281</v>
      </c>
      <c r="C1750" s="26">
        <v>130723</v>
      </c>
      <c r="D1750" s="25" t="s">
        <v>2296</v>
      </c>
      <c r="E1750" s="25" t="s">
        <v>2295</v>
      </c>
      <c r="F1750" s="26" t="s">
        <v>215</v>
      </c>
      <c r="G1750" s="26" t="s">
        <v>215</v>
      </c>
      <c r="H1750" s="26"/>
      <c r="I1750" s="26"/>
      <c r="J1750" s="26">
        <v>1</v>
      </c>
      <c r="K1750" s="26">
        <v>138</v>
      </c>
      <c r="L1750" s="26" t="s">
        <v>28</v>
      </c>
      <c r="M1750" s="27">
        <v>2338</v>
      </c>
      <c r="N1750" s="28"/>
      <c r="O1750" s="26" t="s">
        <v>29</v>
      </c>
      <c r="P1750" s="29"/>
      <c r="Q1750" s="6"/>
      <c r="R1750" s="29"/>
      <c r="S1750" s="10"/>
      <c r="T1750" s="8"/>
    </row>
    <row r="1751" spans="1:20" ht="15.75" customHeight="1" x14ac:dyDescent="0.35">
      <c r="A1751" s="25" t="s">
        <v>2084</v>
      </c>
      <c r="B1751" s="25" t="s">
        <v>2281</v>
      </c>
      <c r="C1751" s="26">
        <v>130725</v>
      </c>
      <c r="D1751" s="25" t="s">
        <v>2297</v>
      </c>
      <c r="E1751" s="25" t="s">
        <v>2295</v>
      </c>
      <c r="F1751" s="26" t="s">
        <v>215</v>
      </c>
      <c r="G1751" s="26" t="s">
        <v>215</v>
      </c>
      <c r="H1751" s="26"/>
      <c r="I1751" s="26"/>
      <c r="J1751" s="26">
        <v>1</v>
      </c>
      <c r="K1751" s="26">
        <v>138</v>
      </c>
      <c r="L1751" s="26" t="s">
        <v>28</v>
      </c>
      <c r="M1751" s="27">
        <v>2339</v>
      </c>
      <c r="N1751" s="28"/>
      <c r="O1751" s="26" t="s">
        <v>29</v>
      </c>
      <c r="P1751" s="29"/>
      <c r="Q1751" s="6"/>
      <c r="R1751" s="29"/>
      <c r="S1751" s="10"/>
      <c r="T1751" s="8"/>
    </row>
    <row r="1752" spans="1:20" ht="15.75" customHeight="1" x14ac:dyDescent="0.35">
      <c r="A1752" s="25" t="s">
        <v>2084</v>
      </c>
      <c r="B1752" s="25" t="s">
        <v>2281</v>
      </c>
      <c r="C1752" s="26">
        <v>130768</v>
      </c>
      <c r="D1752" s="25" t="s">
        <v>2298</v>
      </c>
      <c r="E1752" s="25" t="s">
        <v>2299</v>
      </c>
      <c r="F1752" s="26" t="s">
        <v>90</v>
      </c>
      <c r="G1752" s="26" t="s">
        <v>90</v>
      </c>
      <c r="H1752" s="26"/>
      <c r="I1752" s="26"/>
      <c r="J1752" s="26">
        <v>1</v>
      </c>
      <c r="K1752" s="26">
        <v>138</v>
      </c>
      <c r="L1752" s="26" t="s">
        <v>28</v>
      </c>
      <c r="M1752" s="27">
        <v>2346</v>
      </c>
      <c r="N1752" s="28"/>
      <c r="O1752" s="26" t="s">
        <v>29</v>
      </c>
      <c r="P1752" s="29"/>
      <c r="Q1752" s="6"/>
      <c r="R1752" s="29"/>
      <c r="S1752" s="10"/>
      <c r="T1752" s="8"/>
    </row>
    <row r="1753" spans="1:20" ht="15.75" customHeight="1" x14ac:dyDescent="0.35">
      <c r="A1753" s="25" t="s">
        <v>2084</v>
      </c>
      <c r="B1753" s="25" t="s">
        <v>2281</v>
      </c>
      <c r="C1753" s="26">
        <v>130777</v>
      </c>
      <c r="D1753" s="25" t="s">
        <v>2300</v>
      </c>
      <c r="E1753" s="25" t="s">
        <v>2299</v>
      </c>
      <c r="F1753" s="26" t="s">
        <v>90</v>
      </c>
      <c r="G1753" s="26" t="s">
        <v>90</v>
      </c>
      <c r="H1753" s="26"/>
      <c r="I1753" s="26"/>
      <c r="J1753" s="26">
        <v>1</v>
      </c>
      <c r="K1753" s="26">
        <v>138</v>
      </c>
      <c r="L1753" s="26" t="s">
        <v>28</v>
      </c>
      <c r="M1753" s="27">
        <v>2368</v>
      </c>
      <c r="N1753" s="28"/>
      <c r="O1753" s="26" t="s">
        <v>29</v>
      </c>
      <c r="P1753" s="29"/>
      <c r="Q1753" s="6"/>
      <c r="R1753" s="29"/>
      <c r="S1753" s="10"/>
      <c r="T1753" s="8"/>
    </row>
    <row r="1754" spans="1:20" ht="15.75" customHeight="1" x14ac:dyDescent="0.35">
      <c r="A1754" s="25" t="s">
        <v>2084</v>
      </c>
      <c r="B1754" s="25" t="s">
        <v>2281</v>
      </c>
      <c r="C1754" s="26">
        <v>130808</v>
      </c>
      <c r="D1754" s="25" t="s">
        <v>2301</v>
      </c>
      <c r="E1754" s="25" t="s">
        <v>2302</v>
      </c>
      <c r="F1754" s="26" t="s">
        <v>90</v>
      </c>
      <c r="G1754" s="26" t="s">
        <v>90</v>
      </c>
      <c r="H1754" s="26"/>
      <c r="I1754" s="26"/>
      <c r="J1754" s="26">
        <v>1</v>
      </c>
      <c r="K1754" s="26">
        <v>138</v>
      </c>
      <c r="L1754" s="26" t="s">
        <v>28</v>
      </c>
      <c r="M1754" s="27">
        <v>2344</v>
      </c>
      <c r="N1754" s="28"/>
      <c r="O1754" s="26" t="s">
        <v>29</v>
      </c>
      <c r="P1754" s="29"/>
      <c r="Q1754" s="6"/>
      <c r="R1754" s="29"/>
      <c r="S1754" s="10"/>
      <c r="T1754" s="8"/>
    </row>
    <row r="1755" spans="1:20" ht="15.75" customHeight="1" x14ac:dyDescent="0.35">
      <c r="A1755" s="25" t="s">
        <v>2084</v>
      </c>
      <c r="B1755" s="25" t="s">
        <v>2281</v>
      </c>
      <c r="C1755" s="26">
        <v>130809</v>
      </c>
      <c r="D1755" s="25" t="s">
        <v>2303</v>
      </c>
      <c r="E1755" s="25" t="s">
        <v>2302</v>
      </c>
      <c r="F1755" s="26" t="s">
        <v>90</v>
      </c>
      <c r="G1755" s="26" t="s">
        <v>90</v>
      </c>
      <c r="H1755" s="26"/>
      <c r="I1755" s="26"/>
      <c r="J1755" s="26">
        <v>1</v>
      </c>
      <c r="K1755" s="26">
        <v>138</v>
      </c>
      <c r="L1755" s="26" t="s">
        <v>28</v>
      </c>
      <c r="M1755" s="27">
        <v>2345</v>
      </c>
      <c r="N1755" s="28"/>
      <c r="O1755" s="26" t="s">
        <v>29</v>
      </c>
      <c r="P1755" s="29"/>
      <c r="Q1755" s="6"/>
      <c r="R1755" s="29"/>
      <c r="S1755" s="10"/>
      <c r="T1755" s="8"/>
    </row>
    <row r="1756" spans="1:20" ht="15.75" customHeight="1" x14ac:dyDescent="0.35">
      <c r="A1756" s="25" t="s">
        <v>2084</v>
      </c>
      <c r="B1756" s="25" t="s">
        <v>2281</v>
      </c>
      <c r="C1756" s="26">
        <v>130810</v>
      </c>
      <c r="D1756" s="25" t="s">
        <v>2304</v>
      </c>
      <c r="E1756" s="25" t="s">
        <v>2302</v>
      </c>
      <c r="F1756" s="26" t="s">
        <v>90</v>
      </c>
      <c r="G1756" s="26" t="s">
        <v>90</v>
      </c>
      <c r="H1756" s="26"/>
      <c r="I1756" s="26"/>
      <c r="J1756" s="26">
        <v>1</v>
      </c>
      <c r="K1756" s="26">
        <v>138</v>
      </c>
      <c r="L1756" s="26" t="s">
        <v>28</v>
      </c>
      <c r="M1756" s="27">
        <v>2347</v>
      </c>
      <c r="N1756" s="28"/>
      <c r="O1756" s="26" t="s">
        <v>29</v>
      </c>
      <c r="P1756" s="29"/>
      <c r="Q1756" s="6"/>
      <c r="R1756" s="29"/>
      <c r="S1756" s="10"/>
      <c r="T1756" s="8"/>
    </row>
    <row r="1757" spans="1:20" ht="15.75" customHeight="1" x14ac:dyDescent="0.35">
      <c r="A1757" s="25" t="s">
        <v>2084</v>
      </c>
      <c r="B1757" s="25" t="s">
        <v>2281</v>
      </c>
      <c r="C1757" s="26">
        <v>130816</v>
      </c>
      <c r="D1757" s="25" t="s">
        <v>2305</v>
      </c>
      <c r="E1757" s="25" t="s">
        <v>2302</v>
      </c>
      <c r="F1757" s="26" t="s">
        <v>90</v>
      </c>
      <c r="G1757" s="26" t="s">
        <v>90</v>
      </c>
      <c r="H1757" s="26"/>
      <c r="I1757" s="26"/>
      <c r="J1757" s="26">
        <v>1</v>
      </c>
      <c r="K1757" s="26">
        <v>138</v>
      </c>
      <c r="L1757" s="26" t="s">
        <v>28</v>
      </c>
      <c r="M1757" s="27">
        <v>2352</v>
      </c>
      <c r="N1757" s="28"/>
      <c r="O1757" s="26" t="s">
        <v>29</v>
      </c>
      <c r="P1757" s="29"/>
      <c r="Q1757" s="6"/>
      <c r="R1757" s="29"/>
      <c r="S1757" s="10"/>
      <c r="T1757" s="8"/>
    </row>
    <row r="1758" spans="1:20" ht="15.75" customHeight="1" x14ac:dyDescent="0.35">
      <c r="A1758" s="25" t="s">
        <v>2084</v>
      </c>
      <c r="B1758" s="25" t="s">
        <v>2281</v>
      </c>
      <c r="C1758" s="26">
        <v>130823</v>
      </c>
      <c r="D1758" s="25" t="s">
        <v>2306</v>
      </c>
      <c r="E1758" s="25" t="s">
        <v>2302</v>
      </c>
      <c r="F1758" s="26" t="s">
        <v>90</v>
      </c>
      <c r="G1758" s="26" t="s">
        <v>90</v>
      </c>
      <c r="H1758" s="26"/>
      <c r="I1758" s="26"/>
      <c r="J1758" s="26">
        <v>1</v>
      </c>
      <c r="K1758" s="26">
        <v>138</v>
      </c>
      <c r="L1758" s="26" t="s">
        <v>28</v>
      </c>
      <c r="M1758" s="27">
        <v>2357</v>
      </c>
      <c r="N1758" s="28"/>
      <c r="O1758" s="26" t="s">
        <v>29</v>
      </c>
      <c r="P1758" s="29"/>
      <c r="Q1758" s="6"/>
      <c r="R1758" s="29"/>
      <c r="S1758" s="10"/>
      <c r="T1758" s="8"/>
    </row>
    <row r="1759" spans="1:20" ht="15.75" customHeight="1" x14ac:dyDescent="0.35">
      <c r="A1759" s="25" t="s">
        <v>2084</v>
      </c>
      <c r="B1759" s="25" t="s">
        <v>2281</v>
      </c>
      <c r="C1759" s="26">
        <v>130843</v>
      </c>
      <c r="D1759" s="25" t="s">
        <v>2307</v>
      </c>
      <c r="E1759" s="25" t="s">
        <v>2302</v>
      </c>
      <c r="F1759" s="26" t="s">
        <v>90</v>
      </c>
      <c r="G1759" s="26" t="s">
        <v>90</v>
      </c>
      <c r="H1759" s="26"/>
      <c r="I1759" s="26"/>
      <c r="J1759" s="26">
        <v>1</v>
      </c>
      <c r="K1759" s="26">
        <v>138</v>
      </c>
      <c r="L1759" s="26" t="s">
        <v>28</v>
      </c>
      <c r="M1759" s="27">
        <v>2363</v>
      </c>
      <c r="N1759" s="28"/>
      <c r="O1759" s="26" t="s">
        <v>29</v>
      </c>
      <c r="P1759" s="29"/>
      <c r="Q1759" s="6"/>
      <c r="R1759" s="29"/>
      <c r="S1759" s="10"/>
      <c r="T1759" s="8"/>
    </row>
    <row r="1760" spans="1:20" ht="15.75" customHeight="1" x14ac:dyDescent="0.35">
      <c r="A1760" s="25" t="s">
        <v>2084</v>
      </c>
      <c r="B1760" s="25" t="s">
        <v>2281</v>
      </c>
      <c r="C1760" s="26">
        <v>130862</v>
      </c>
      <c r="D1760" s="25" t="s">
        <v>2308</v>
      </c>
      <c r="E1760" s="25" t="s">
        <v>2309</v>
      </c>
      <c r="F1760" s="26" t="s">
        <v>215</v>
      </c>
      <c r="G1760" s="26" t="s">
        <v>215</v>
      </c>
      <c r="H1760" s="26"/>
      <c r="I1760" s="26"/>
      <c r="J1760" s="26">
        <v>1</v>
      </c>
      <c r="K1760" s="26">
        <v>138</v>
      </c>
      <c r="L1760" s="26" t="s">
        <v>28</v>
      </c>
      <c r="M1760" s="27">
        <v>2340</v>
      </c>
      <c r="N1760" s="28"/>
      <c r="O1760" s="26" t="s">
        <v>29</v>
      </c>
      <c r="P1760" s="29"/>
      <c r="Q1760" s="6"/>
      <c r="R1760" s="29"/>
      <c r="S1760" s="10"/>
      <c r="T1760" s="8"/>
    </row>
    <row r="1761" spans="1:20" ht="15.75" customHeight="1" x14ac:dyDescent="0.35">
      <c r="A1761" s="25" t="s">
        <v>2084</v>
      </c>
      <c r="B1761" s="25" t="s">
        <v>2281</v>
      </c>
      <c r="C1761" s="26">
        <v>130867</v>
      </c>
      <c r="D1761" s="25" t="s">
        <v>2310</v>
      </c>
      <c r="E1761" s="25" t="s">
        <v>2309</v>
      </c>
      <c r="F1761" s="26" t="s">
        <v>215</v>
      </c>
      <c r="G1761" s="26" t="s">
        <v>215</v>
      </c>
      <c r="H1761" s="26"/>
      <c r="I1761" s="26"/>
      <c r="J1761" s="26">
        <v>1</v>
      </c>
      <c r="K1761" s="26">
        <v>138</v>
      </c>
      <c r="L1761" s="26" t="s">
        <v>28</v>
      </c>
      <c r="M1761" s="27">
        <v>2341</v>
      </c>
      <c r="N1761" s="28"/>
      <c r="O1761" s="26" t="s">
        <v>29</v>
      </c>
      <c r="P1761" s="29"/>
      <c r="Q1761" s="6"/>
      <c r="R1761" s="29"/>
      <c r="S1761" s="10"/>
      <c r="T1761" s="8"/>
    </row>
    <row r="1762" spans="1:20" ht="15.75" customHeight="1" x14ac:dyDescent="0.35">
      <c r="A1762" s="25" t="s">
        <v>2084</v>
      </c>
      <c r="B1762" s="25" t="s">
        <v>2281</v>
      </c>
      <c r="C1762" s="26">
        <v>208501</v>
      </c>
      <c r="D1762" s="25" t="s">
        <v>2311</v>
      </c>
      <c r="E1762" s="25" t="s">
        <v>2302</v>
      </c>
      <c r="F1762" s="26" t="s">
        <v>90</v>
      </c>
      <c r="G1762" s="26" t="s">
        <v>90</v>
      </c>
      <c r="H1762" s="26"/>
      <c r="I1762" s="26"/>
      <c r="J1762" s="26">
        <v>1</v>
      </c>
      <c r="K1762" s="26">
        <v>138</v>
      </c>
      <c r="L1762" s="26" t="s">
        <v>28</v>
      </c>
      <c r="M1762" s="27">
        <v>2342</v>
      </c>
      <c r="N1762" s="28"/>
      <c r="O1762" s="26" t="s">
        <v>29</v>
      </c>
      <c r="P1762" s="29"/>
      <c r="Q1762" s="6"/>
      <c r="R1762" s="29"/>
      <c r="S1762" s="10"/>
      <c r="T1762" s="8"/>
    </row>
    <row r="1763" spans="1:20" ht="15.75" customHeight="1" x14ac:dyDescent="0.35">
      <c r="A1763" s="25" t="s">
        <v>2084</v>
      </c>
      <c r="B1763" s="25" t="s">
        <v>2281</v>
      </c>
      <c r="C1763" s="26">
        <v>208503</v>
      </c>
      <c r="D1763" s="25" t="s">
        <v>2312</v>
      </c>
      <c r="E1763" s="25" t="s">
        <v>2302</v>
      </c>
      <c r="F1763" s="26" t="s">
        <v>90</v>
      </c>
      <c r="G1763" s="26" t="s">
        <v>90</v>
      </c>
      <c r="H1763" s="26"/>
      <c r="I1763" s="26"/>
      <c r="J1763" s="26">
        <v>1</v>
      </c>
      <c r="K1763" s="26">
        <v>138</v>
      </c>
      <c r="L1763" s="26" t="s">
        <v>28</v>
      </c>
      <c r="M1763" s="27">
        <v>2343</v>
      </c>
      <c r="N1763" s="28"/>
      <c r="O1763" s="26" t="s">
        <v>29</v>
      </c>
      <c r="P1763" s="29"/>
      <c r="Q1763" s="6"/>
      <c r="R1763" s="29"/>
      <c r="S1763" s="10"/>
      <c r="T1763" s="8"/>
    </row>
    <row r="1764" spans="1:20" ht="15.75" customHeight="1" x14ac:dyDescent="0.35">
      <c r="A1764" s="25" t="s">
        <v>2084</v>
      </c>
      <c r="B1764" s="25" t="s">
        <v>2281</v>
      </c>
      <c r="C1764" s="26">
        <v>208510</v>
      </c>
      <c r="D1764" s="25" t="s">
        <v>2313</v>
      </c>
      <c r="E1764" s="25" t="s">
        <v>2295</v>
      </c>
      <c r="F1764" s="26" t="s">
        <v>215</v>
      </c>
      <c r="G1764" s="26" t="s">
        <v>215</v>
      </c>
      <c r="H1764" s="26"/>
      <c r="I1764" s="26"/>
      <c r="J1764" s="26">
        <v>1</v>
      </c>
      <c r="K1764" s="26">
        <v>138</v>
      </c>
      <c r="L1764" s="26" t="s">
        <v>28</v>
      </c>
      <c r="M1764" s="27">
        <v>2336</v>
      </c>
      <c r="N1764" s="28"/>
      <c r="O1764" s="26" t="s">
        <v>29</v>
      </c>
      <c r="P1764" s="29"/>
      <c r="Q1764" s="6"/>
      <c r="R1764" s="29"/>
      <c r="S1764" s="10"/>
      <c r="T1764" s="8"/>
    </row>
    <row r="1765" spans="1:20" ht="15.75" customHeight="1" x14ac:dyDescent="0.35">
      <c r="A1765" s="25" t="s">
        <v>2084</v>
      </c>
      <c r="B1765" s="25" t="s">
        <v>2281</v>
      </c>
      <c r="C1765" s="26">
        <v>208514</v>
      </c>
      <c r="D1765" s="25" t="s">
        <v>2314</v>
      </c>
      <c r="E1765" s="25" t="s">
        <v>2293</v>
      </c>
      <c r="F1765" s="26" t="s">
        <v>90</v>
      </c>
      <c r="G1765" s="26" t="s">
        <v>90</v>
      </c>
      <c r="H1765" s="26"/>
      <c r="I1765" s="26"/>
      <c r="J1765" s="26">
        <v>1</v>
      </c>
      <c r="K1765" s="26">
        <v>138</v>
      </c>
      <c r="L1765" s="26" t="s">
        <v>28</v>
      </c>
      <c r="M1765" s="27">
        <v>2355</v>
      </c>
      <c r="N1765" s="28"/>
      <c r="O1765" s="26" t="s">
        <v>29</v>
      </c>
      <c r="P1765" s="29"/>
      <c r="Q1765" s="6"/>
      <c r="R1765" s="29"/>
      <c r="S1765" s="10"/>
      <c r="T1765" s="8"/>
    </row>
    <row r="1766" spans="1:20" ht="15.75" customHeight="1" x14ac:dyDescent="0.35">
      <c r="A1766" s="25" t="s">
        <v>2084</v>
      </c>
      <c r="B1766" s="25" t="s">
        <v>2281</v>
      </c>
      <c r="C1766" s="26">
        <v>208522</v>
      </c>
      <c r="D1766" s="25" t="s">
        <v>2315</v>
      </c>
      <c r="E1766" s="25" t="s">
        <v>2293</v>
      </c>
      <c r="F1766" s="26" t="s">
        <v>90</v>
      </c>
      <c r="G1766" s="26" t="s">
        <v>90</v>
      </c>
      <c r="H1766" s="26"/>
      <c r="I1766" s="26"/>
      <c r="J1766" s="26">
        <v>1</v>
      </c>
      <c r="K1766" s="26">
        <v>138</v>
      </c>
      <c r="L1766" s="26" t="s">
        <v>28</v>
      </c>
      <c r="M1766" s="27">
        <v>2350</v>
      </c>
      <c r="N1766" s="28"/>
      <c r="O1766" s="26" t="s">
        <v>29</v>
      </c>
      <c r="P1766" s="29"/>
      <c r="Q1766" s="6"/>
      <c r="R1766" s="29"/>
      <c r="S1766" s="10"/>
      <c r="T1766" s="8"/>
    </row>
    <row r="1767" spans="1:20" ht="15.75" customHeight="1" x14ac:dyDescent="0.35">
      <c r="A1767" s="25" t="s">
        <v>2084</v>
      </c>
      <c r="B1767" s="25" t="s">
        <v>2281</v>
      </c>
      <c r="C1767" s="26">
        <v>208524</v>
      </c>
      <c r="D1767" s="25" t="s">
        <v>2316</v>
      </c>
      <c r="E1767" s="25" t="s">
        <v>2317</v>
      </c>
      <c r="F1767" s="26" t="s">
        <v>90</v>
      </c>
      <c r="G1767" s="26" t="s">
        <v>90</v>
      </c>
      <c r="H1767" s="26"/>
      <c r="I1767" s="26"/>
      <c r="J1767" s="26">
        <v>1</v>
      </c>
      <c r="K1767" s="26">
        <v>138</v>
      </c>
      <c r="L1767" s="26" t="s">
        <v>28</v>
      </c>
      <c r="M1767" s="27">
        <v>2364</v>
      </c>
      <c r="N1767" s="28"/>
      <c r="O1767" s="26" t="s">
        <v>29</v>
      </c>
      <c r="P1767" s="29"/>
      <c r="Q1767" s="6"/>
      <c r="R1767" s="29"/>
      <c r="S1767" s="10"/>
      <c r="T1767" s="8"/>
    </row>
    <row r="1768" spans="1:20" ht="15.75" customHeight="1" x14ac:dyDescent="0.35">
      <c r="A1768" s="25" t="s">
        <v>2084</v>
      </c>
      <c r="B1768" s="25" t="s">
        <v>2281</v>
      </c>
      <c r="C1768" s="26">
        <v>208529</v>
      </c>
      <c r="D1768" s="25" t="s">
        <v>2318</v>
      </c>
      <c r="E1768" s="25" t="s">
        <v>2290</v>
      </c>
      <c r="F1768" s="26" t="s">
        <v>90</v>
      </c>
      <c r="G1768" s="26" t="s">
        <v>90</v>
      </c>
      <c r="H1768" s="26"/>
      <c r="I1768" s="26"/>
      <c r="J1768" s="26">
        <v>1</v>
      </c>
      <c r="K1768" s="26">
        <v>138</v>
      </c>
      <c r="L1768" s="26" t="s">
        <v>28</v>
      </c>
      <c r="M1768" s="27">
        <v>2359</v>
      </c>
      <c r="N1768" s="28"/>
      <c r="O1768" s="26" t="s">
        <v>29</v>
      </c>
      <c r="P1768" s="29"/>
      <c r="Q1768" s="6"/>
      <c r="R1768" s="29"/>
      <c r="S1768" s="10"/>
      <c r="T1768" s="8"/>
    </row>
    <row r="1769" spans="1:20" ht="15.75" customHeight="1" x14ac:dyDescent="0.35">
      <c r="A1769" s="25" t="s">
        <v>2084</v>
      </c>
      <c r="B1769" s="25" t="s">
        <v>2281</v>
      </c>
      <c r="C1769" s="26">
        <v>208530</v>
      </c>
      <c r="D1769" s="25" t="s">
        <v>2319</v>
      </c>
      <c r="E1769" s="25" t="s">
        <v>2302</v>
      </c>
      <c r="F1769" s="26" t="s">
        <v>90</v>
      </c>
      <c r="G1769" s="26" t="s">
        <v>90</v>
      </c>
      <c r="H1769" s="26"/>
      <c r="I1769" s="26"/>
      <c r="J1769" s="26">
        <v>1</v>
      </c>
      <c r="K1769" s="26">
        <v>138</v>
      </c>
      <c r="L1769" s="26" t="s">
        <v>28</v>
      </c>
      <c r="M1769" s="27">
        <v>2361</v>
      </c>
      <c r="N1769" s="28"/>
      <c r="O1769" s="26" t="s">
        <v>29</v>
      </c>
      <c r="P1769" s="29"/>
      <c r="Q1769" s="6"/>
      <c r="R1769" s="29"/>
      <c r="S1769" s="10"/>
      <c r="T1769" s="8"/>
    </row>
    <row r="1770" spans="1:20" ht="15.75" customHeight="1" x14ac:dyDescent="0.35">
      <c r="A1770" s="25" t="s">
        <v>2084</v>
      </c>
      <c r="B1770" s="25" t="s">
        <v>2281</v>
      </c>
      <c r="C1770" s="26">
        <v>208532</v>
      </c>
      <c r="D1770" s="25" t="s">
        <v>1560</v>
      </c>
      <c r="E1770" s="25" t="s">
        <v>2293</v>
      </c>
      <c r="F1770" s="26" t="s">
        <v>90</v>
      </c>
      <c r="G1770" s="26" t="s">
        <v>90</v>
      </c>
      <c r="H1770" s="26"/>
      <c r="I1770" s="26"/>
      <c r="J1770" s="26">
        <v>1</v>
      </c>
      <c r="K1770" s="26">
        <v>138</v>
      </c>
      <c r="L1770" s="26" t="s">
        <v>28</v>
      </c>
      <c r="M1770" s="27">
        <v>2366</v>
      </c>
      <c r="N1770" s="28"/>
      <c r="O1770" s="26" t="s">
        <v>29</v>
      </c>
      <c r="P1770" s="29"/>
      <c r="Q1770" s="6"/>
      <c r="R1770" s="29"/>
      <c r="S1770" s="10"/>
      <c r="T1770" s="8"/>
    </row>
    <row r="1771" spans="1:20" ht="15.75" customHeight="1" x14ac:dyDescent="0.35">
      <c r="A1771" s="25" t="s">
        <v>2084</v>
      </c>
      <c r="B1771" s="25" t="s">
        <v>2281</v>
      </c>
      <c r="C1771" s="26">
        <v>316919</v>
      </c>
      <c r="D1771" s="25" t="s">
        <v>2320</v>
      </c>
      <c r="E1771" s="25" t="s">
        <v>2290</v>
      </c>
      <c r="F1771" s="26" t="s">
        <v>90</v>
      </c>
      <c r="G1771" s="26" t="s">
        <v>90</v>
      </c>
      <c r="H1771" s="26"/>
      <c r="I1771" s="26"/>
      <c r="J1771" s="26">
        <v>1</v>
      </c>
      <c r="K1771" s="26">
        <v>138</v>
      </c>
      <c r="L1771" s="26" t="s">
        <v>28</v>
      </c>
      <c r="M1771" s="27">
        <v>2353</v>
      </c>
      <c r="N1771" s="28"/>
      <c r="O1771" s="26" t="s">
        <v>29</v>
      </c>
      <c r="P1771" s="29"/>
      <c r="Q1771" s="6"/>
      <c r="R1771" s="29"/>
      <c r="S1771" s="10"/>
      <c r="T1771" s="8"/>
    </row>
    <row r="1772" spans="1:20" ht="15.75" customHeight="1" x14ac:dyDescent="0.35">
      <c r="A1772" s="25" t="s">
        <v>2084</v>
      </c>
      <c r="B1772" s="25" t="s">
        <v>2321</v>
      </c>
      <c r="C1772" s="26">
        <v>130930</v>
      </c>
      <c r="D1772" s="25" t="s">
        <v>2322</v>
      </c>
      <c r="E1772" s="25" t="s">
        <v>2323</v>
      </c>
      <c r="F1772" s="26" t="s">
        <v>90</v>
      </c>
      <c r="G1772" s="26" t="s">
        <v>90</v>
      </c>
      <c r="H1772" s="26"/>
      <c r="I1772" s="26"/>
      <c r="J1772" s="26">
        <v>1</v>
      </c>
      <c r="K1772" s="26">
        <v>138</v>
      </c>
      <c r="L1772" s="26" t="s">
        <v>28</v>
      </c>
      <c r="M1772" s="27">
        <v>2385</v>
      </c>
      <c r="N1772" s="28"/>
      <c r="O1772" s="26" t="s">
        <v>29</v>
      </c>
      <c r="P1772" s="29"/>
      <c r="Q1772" s="6"/>
      <c r="R1772" s="29"/>
      <c r="S1772" s="10"/>
      <c r="T1772" s="8"/>
    </row>
    <row r="1773" spans="1:20" ht="15.75" customHeight="1" x14ac:dyDescent="0.35">
      <c r="A1773" s="25" t="s">
        <v>2084</v>
      </c>
      <c r="B1773" s="25" t="s">
        <v>2321</v>
      </c>
      <c r="C1773" s="26">
        <v>130931</v>
      </c>
      <c r="D1773" s="25" t="s">
        <v>2324</v>
      </c>
      <c r="E1773" s="25" t="s">
        <v>2323</v>
      </c>
      <c r="F1773" s="26" t="s">
        <v>90</v>
      </c>
      <c r="G1773" s="26" t="s">
        <v>90</v>
      </c>
      <c r="H1773" s="26"/>
      <c r="I1773" s="26"/>
      <c r="J1773" s="26">
        <v>1</v>
      </c>
      <c r="K1773" s="26">
        <v>138</v>
      </c>
      <c r="L1773" s="26" t="s">
        <v>28</v>
      </c>
      <c r="M1773" s="27">
        <v>2386</v>
      </c>
      <c r="N1773" s="28"/>
      <c r="O1773" s="26" t="s">
        <v>29</v>
      </c>
      <c r="P1773" s="29"/>
      <c r="Q1773" s="6"/>
      <c r="R1773" s="29"/>
      <c r="S1773" s="10"/>
      <c r="T1773" s="8"/>
    </row>
    <row r="1774" spans="1:20" ht="15.75" customHeight="1" x14ac:dyDescent="0.35">
      <c r="A1774" s="25" t="s">
        <v>2084</v>
      </c>
      <c r="B1774" s="25" t="s">
        <v>2321</v>
      </c>
      <c r="C1774" s="26">
        <v>130932</v>
      </c>
      <c r="D1774" s="25" t="s">
        <v>2325</v>
      </c>
      <c r="E1774" s="25" t="s">
        <v>2323</v>
      </c>
      <c r="F1774" s="26" t="s">
        <v>90</v>
      </c>
      <c r="G1774" s="26" t="s">
        <v>90</v>
      </c>
      <c r="H1774" s="26"/>
      <c r="I1774" s="26"/>
      <c r="J1774" s="26">
        <v>1</v>
      </c>
      <c r="K1774" s="26">
        <v>138</v>
      </c>
      <c r="L1774" s="26" t="s">
        <v>28</v>
      </c>
      <c r="M1774" s="27">
        <v>2392</v>
      </c>
      <c r="N1774" s="28"/>
      <c r="O1774" s="26" t="s">
        <v>29</v>
      </c>
      <c r="P1774" s="29"/>
      <c r="Q1774" s="6"/>
      <c r="R1774" s="29"/>
      <c r="S1774" s="10"/>
      <c r="T1774" s="8"/>
    </row>
    <row r="1775" spans="1:20" ht="15.75" customHeight="1" x14ac:dyDescent="0.35">
      <c r="A1775" s="25" t="s">
        <v>2084</v>
      </c>
      <c r="B1775" s="25" t="s">
        <v>2321</v>
      </c>
      <c r="C1775" s="26">
        <v>130940</v>
      </c>
      <c r="D1775" s="25" t="s">
        <v>2326</v>
      </c>
      <c r="E1775" s="25" t="s">
        <v>2323</v>
      </c>
      <c r="F1775" s="26" t="s">
        <v>90</v>
      </c>
      <c r="G1775" s="26" t="s">
        <v>90</v>
      </c>
      <c r="H1775" s="26"/>
      <c r="I1775" s="26"/>
      <c r="J1775" s="26">
        <v>1</v>
      </c>
      <c r="K1775" s="26">
        <v>138</v>
      </c>
      <c r="L1775" s="26" t="s">
        <v>28</v>
      </c>
      <c r="M1775" s="27">
        <v>2396</v>
      </c>
      <c r="N1775" s="28"/>
      <c r="O1775" s="26" t="s">
        <v>29</v>
      </c>
      <c r="P1775" s="29"/>
      <c r="Q1775" s="6"/>
      <c r="R1775" s="29"/>
      <c r="S1775" s="10"/>
      <c r="T1775" s="8"/>
    </row>
    <row r="1776" spans="1:20" ht="15.75" customHeight="1" x14ac:dyDescent="0.35">
      <c r="A1776" s="25" t="s">
        <v>2084</v>
      </c>
      <c r="B1776" s="25" t="s">
        <v>2321</v>
      </c>
      <c r="C1776" s="26">
        <v>130946</v>
      </c>
      <c r="D1776" s="25" t="s">
        <v>2327</v>
      </c>
      <c r="E1776" s="25" t="s">
        <v>2323</v>
      </c>
      <c r="F1776" s="26" t="s">
        <v>90</v>
      </c>
      <c r="G1776" s="26" t="s">
        <v>90</v>
      </c>
      <c r="H1776" s="26"/>
      <c r="I1776" s="26"/>
      <c r="J1776" s="26">
        <v>1</v>
      </c>
      <c r="K1776" s="26">
        <v>138</v>
      </c>
      <c r="L1776" s="26" t="s">
        <v>28</v>
      </c>
      <c r="M1776" s="27">
        <v>2402</v>
      </c>
      <c r="N1776" s="28"/>
      <c r="O1776" s="26" t="s">
        <v>29</v>
      </c>
      <c r="P1776" s="29"/>
      <c r="Q1776" s="6"/>
      <c r="R1776" s="29"/>
      <c r="S1776" s="10"/>
      <c r="T1776" s="8"/>
    </row>
    <row r="1777" spans="1:20" ht="15.75" customHeight="1" x14ac:dyDescent="0.35">
      <c r="A1777" s="25" t="s">
        <v>2084</v>
      </c>
      <c r="B1777" s="25" t="s">
        <v>2321</v>
      </c>
      <c r="C1777" s="26">
        <v>130947</v>
      </c>
      <c r="D1777" s="25" t="s">
        <v>1273</v>
      </c>
      <c r="E1777" s="25" t="s">
        <v>2323</v>
      </c>
      <c r="F1777" s="26" t="s">
        <v>90</v>
      </c>
      <c r="G1777" s="26" t="s">
        <v>90</v>
      </c>
      <c r="H1777" s="26">
        <v>1</v>
      </c>
      <c r="I1777" s="26">
        <v>1</v>
      </c>
      <c r="J1777" s="26">
        <v>1</v>
      </c>
      <c r="K1777" s="26">
        <v>138</v>
      </c>
      <c r="L1777" s="26" t="s">
        <v>28</v>
      </c>
      <c r="M1777" s="27">
        <v>2406</v>
      </c>
      <c r="N1777" s="30">
        <v>149388.48000000001</v>
      </c>
      <c r="O1777" s="26" t="s">
        <v>29</v>
      </c>
      <c r="P1777" s="29"/>
      <c r="Q1777" s="6"/>
      <c r="R1777" s="29"/>
      <c r="S1777" s="10"/>
      <c r="T1777" s="8">
        <v>1</v>
      </c>
    </row>
    <row r="1778" spans="1:20" ht="15.75" customHeight="1" x14ac:dyDescent="0.35">
      <c r="A1778" s="25" t="s">
        <v>2084</v>
      </c>
      <c r="B1778" s="25" t="s">
        <v>2321</v>
      </c>
      <c r="C1778" s="26">
        <v>130956</v>
      </c>
      <c r="D1778" s="25" t="s">
        <v>2328</v>
      </c>
      <c r="E1778" s="25" t="s">
        <v>2329</v>
      </c>
      <c r="F1778" s="26" t="s">
        <v>215</v>
      </c>
      <c r="G1778" s="26" t="s">
        <v>215</v>
      </c>
      <c r="H1778" s="26">
        <v>1</v>
      </c>
      <c r="I1778" s="26">
        <v>2</v>
      </c>
      <c r="J1778" s="26">
        <v>1</v>
      </c>
      <c r="K1778" s="26">
        <v>138</v>
      </c>
      <c r="L1778" s="26" t="s">
        <v>28</v>
      </c>
      <c r="M1778" s="27">
        <v>2369</v>
      </c>
      <c r="N1778" s="30">
        <v>369182.57</v>
      </c>
      <c r="O1778" s="26" t="s">
        <v>29</v>
      </c>
      <c r="P1778" s="29"/>
      <c r="Q1778" s="6"/>
      <c r="R1778" s="29"/>
      <c r="S1778" s="10"/>
      <c r="T1778" s="8">
        <v>1</v>
      </c>
    </row>
    <row r="1779" spans="1:20" ht="15.75" customHeight="1" x14ac:dyDescent="0.35">
      <c r="A1779" s="25" t="s">
        <v>2084</v>
      </c>
      <c r="B1779" s="25" t="s">
        <v>2321</v>
      </c>
      <c r="C1779" s="26">
        <v>130961</v>
      </c>
      <c r="D1779" s="25" t="s">
        <v>2330</v>
      </c>
      <c r="E1779" s="25" t="s">
        <v>2329</v>
      </c>
      <c r="F1779" s="26" t="s">
        <v>215</v>
      </c>
      <c r="G1779" s="26" t="s">
        <v>215</v>
      </c>
      <c r="H1779" s="26">
        <v>1</v>
      </c>
      <c r="I1779" s="26">
        <v>1</v>
      </c>
      <c r="J1779" s="26">
        <v>1</v>
      </c>
      <c r="K1779" s="26">
        <v>138</v>
      </c>
      <c r="L1779" s="26" t="s">
        <v>28</v>
      </c>
      <c r="M1779" s="27">
        <v>2380</v>
      </c>
      <c r="N1779" s="30">
        <v>123724.46</v>
      </c>
      <c r="O1779" s="26" t="s">
        <v>29</v>
      </c>
      <c r="P1779" s="29"/>
      <c r="Q1779" s="6"/>
      <c r="R1779" s="29"/>
      <c r="S1779" s="10"/>
      <c r="T1779" s="8">
        <v>1</v>
      </c>
    </row>
    <row r="1780" spans="1:20" ht="15.75" customHeight="1" x14ac:dyDescent="0.35">
      <c r="A1780" s="25" t="s">
        <v>2084</v>
      </c>
      <c r="B1780" s="25" t="s">
        <v>2321</v>
      </c>
      <c r="C1780" s="26">
        <v>130971</v>
      </c>
      <c r="D1780" s="25" t="s">
        <v>2331</v>
      </c>
      <c r="E1780" s="25" t="s">
        <v>2329</v>
      </c>
      <c r="F1780" s="26" t="s">
        <v>215</v>
      </c>
      <c r="G1780" s="26" t="s">
        <v>215</v>
      </c>
      <c r="H1780" s="26">
        <v>1</v>
      </c>
      <c r="I1780" s="26">
        <v>2</v>
      </c>
      <c r="J1780" s="26">
        <v>1</v>
      </c>
      <c r="K1780" s="26">
        <v>138</v>
      </c>
      <c r="L1780" s="26" t="s">
        <v>28</v>
      </c>
      <c r="M1780" s="27">
        <v>2374</v>
      </c>
      <c r="N1780" s="30">
        <v>188877.94</v>
      </c>
      <c r="O1780" s="26" t="s">
        <v>29</v>
      </c>
      <c r="P1780" s="29"/>
      <c r="Q1780" s="6"/>
      <c r="R1780" s="29"/>
      <c r="S1780" s="10"/>
      <c r="T1780" s="8">
        <v>1</v>
      </c>
    </row>
    <row r="1781" spans="1:20" ht="15.75" customHeight="1" x14ac:dyDescent="0.35">
      <c r="A1781" s="25" t="s">
        <v>2084</v>
      </c>
      <c r="B1781" s="25" t="s">
        <v>2321</v>
      </c>
      <c r="C1781" s="26">
        <v>130973</v>
      </c>
      <c r="D1781" s="25" t="s">
        <v>2332</v>
      </c>
      <c r="E1781" s="25" t="s">
        <v>2329</v>
      </c>
      <c r="F1781" s="26" t="s">
        <v>215</v>
      </c>
      <c r="G1781" s="26" t="s">
        <v>215</v>
      </c>
      <c r="H1781" s="26">
        <v>1</v>
      </c>
      <c r="I1781" s="26">
        <v>2</v>
      </c>
      <c r="J1781" s="26">
        <v>1</v>
      </c>
      <c r="K1781" s="26">
        <v>138</v>
      </c>
      <c r="L1781" s="26" t="s">
        <v>28</v>
      </c>
      <c r="M1781" s="27">
        <v>2375</v>
      </c>
      <c r="N1781" s="30">
        <v>151330.76999999999</v>
      </c>
      <c r="O1781" s="26" t="s">
        <v>29</v>
      </c>
      <c r="P1781" s="29"/>
      <c r="Q1781" s="6"/>
      <c r="R1781" s="29"/>
      <c r="S1781" s="10"/>
      <c r="T1781" s="8">
        <v>1</v>
      </c>
    </row>
    <row r="1782" spans="1:20" ht="15.75" customHeight="1" x14ac:dyDescent="0.35">
      <c r="A1782" s="25" t="s">
        <v>2084</v>
      </c>
      <c r="B1782" s="25" t="s">
        <v>2321</v>
      </c>
      <c r="C1782" s="26">
        <v>130976</v>
      </c>
      <c r="D1782" s="25" t="s">
        <v>2333</v>
      </c>
      <c r="E1782" s="25" t="s">
        <v>2329</v>
      </c>
      <c r="F1782" s="26" t="s">
        <v>215</v>
      </c>
      <c r="G1782" s="26" t="s">
        <v>215</v>
      </c>
      <c r="H1782" s="26"/>
      <c r="I1782" s="26"/>
      <c r="J1782" s="26">
        <v>1</v>
      </c>
      <c r="K1782" s="26">
        <v>138</v>
      </c>
      <c r="L1782" s="26" t="s">
        <v>28</v>
      </c>
      <c r="M1782" s="27">
        <v>2378</v>
      </c>
      <c r="N1782" s="28"/>
      <c r="O1782" s="26" t="s">
        <v>29</v>
      </c>
      <c r="P1782" s="29"/>
      <c r="Q1782" s="6"/>
      <c r="R1782" s="29"/>
      <c r="S1782" s="10"/>
      <c r="T1782" s="8"/>
    </row>
    <row r="1783" spans="1:20" ht="15.75" customHeight="1" x14ac:dyDescent="0.35">
      <c r="A1783" s="25" t="s">
        <v>2084</v>
      </c>
      <c r="B1783" s="25" t="s">
        <v>2321</v>
      </c>
      <c r="C1783" s="26">
        <v>130977</v>
      </c>
      <c r="D1783" s="25" t="s">
        <v>2334</v>
      </c>
      <c r="E1783" s="25" t="s">
        <v>2329</v>
      </c>
      <c r="F1783" s="26" t="s">
        <v>215</v>
      </c>
      <c r="G1783" s="26" t="s">
        <v>215</v>
      </c>
      <c r="H1783" s="26"/>
      <c r="I1783" s="26"/>
      <c r="J1783" s="26">
        <v>1</v>
      </c>
      <c r="K1783" s="26">
        <v>138</v>
      </c>
      <c r="L1783" s="26" t="s">
        <v>28</v>
      </c>
      <c r="M1783" s="27">
        <v>2381</v>
      </c>
      <c r="N1783" s="28"/>
      <c r="O1783" s="26" t="s">
        <v>29</v>
      </c>
      <c r="P1783" s="29"/>
      <c r="Q1783" s="6"/>
      <c r="R1783" s="29"/>
      <c r="S1783" s="10"/>
      <c r="T1783" s="8"/>
    </row>
    <row r="1784" spans="1:20" ht="15.75" customHeight="1" x14ac:dyDescent="0.35">
      <c r="A1784" s="25" t="s">
        <v>2084</v>
      </c>
      <c r="B1784" s="25" t="s">
        <v>2321</v>
      </c>
      <c r="C1784" s="26">
        <v>130978</v>
      </c>
      <c r="D1784" s="25" t="s">
        <v>2335</v>
      </c>
      <c r="E1784" s="25" t="s">
        <v>2329</v>
      </c>
      <c r="F1784" s="26" t="s">
        <v>215</v>
      </c>
      <c r="G1784" s="26" t="s">
        <v>215</v>
      </c>
      <c r="H1784" s="26"/>
      <c r="I1784" s="26"/>
      <c r="J1784" s="26">
        <v>1</v>
      </c>
      <c r="K1784" s="26">
        <v>138</v>
      </c>
      <c r="L1784" s="26" t="s">
        <v>28</v>
      </c>
      <c r="M1784" s="27">
        <v>2383</v>
      </c>
      <c r="N1784" s="28"/>
      <c r="O1784" s="26" t="s">
        <v>29</v>
      </c>
      <c r="P1784" s="29"/>
      <c r="Q1784" s="6"/>
      <c r="R1784" s="29"/>
      <c r="S1784" s="10"/>
      <c r="T1784" s="8"/>
    </row>
    <row r="1785" spans="1:20" ht="15.75" customHeight="1" x14ac:dyDescent="0.35">
      <c r="A1785" s="25" t="s">
        <v>2084</v>
      </c>
      <c r="B1785" s="25" t="s">
        <v>2321</v>
      </c>
      <c r="C1785" s="26">
        <v>131025</v>
      </c>
      <c r="D1785" s="25" t="s">
        <v>2336</v>
      </c>
      <c r="E1785" s="25" t="s">
        <v>2337</v>
      </c>
      <c r="F1785" s="26" t="s">
        <v>215</v>
      </c>
      <c r="G1785" s="26" t="s">
        <v>215</v>
      </c>
      <c r="H1785" s="26"/>
      <c r="I1785" s="26"/>
      <c r="J1785" s="26">
        <v>1</v>
      </c>
      <c r="K1785" s="26">
        <v>138</v>
      </c>
      <c r="L1785" s="26" t="s">
        <v>28</v>
      </c>
      <c r="M1785" s="27">
        <v>2376</v>
      </c>
      <c r="N1785" s="28"/>
      <c r="O1785" s="26" t="s">
        <v>29</v>
      </c>
      <c r="P1785" s="29"/>
      <c r="Q1785" s="6"/>
      <c r="R1785" s="29"/>
      <c r="S1785" s="10"/>
      <c r="T1785" s="8"/>
    </row>
    <row r="1786" spans="1:20" ht="15.75" customHeight="1" x14ac:dyDescent="0.35">
      <c r="A1786" s="25" t="s">
        <v>2084</v>
      </c>
      <c r="B1786" s="25" t="s">
        <v>2321</v>
      </c>
      <c r="C1786" s="26">
        <v>131035</v>
      </c>
      <c r="D1786" s="25" t="s">
        <v>2338</v>
      </c>
      <c r="E1786" s="25" t="s">
        <v>2339</v>
      </c>
      <c r="F1786" s="26" t="s">
        <v>90</v>
      </c>
      <c r="G1786" s="26" t="s">
        <v>90</v>
      </c>
      <c r="H1786" s="26">
        <v>1</v>
      </c>
      <c r="I1786" s="26">
        <v>1</v>
      </c>
      <c r="J1786" s="26">
        <v>1</v>
      </c>
      <c r="K1786" s="26">
        <v>138</v>
      </c>
      <c r="L1786" s="26" t="s">
        <v>28</v>
      </c>
      <c r="M1786" s="27">
        <v>2400</v>
      </c>
      <c r="N1786" s="30">
        <v>123724.46</v>
      </c>
      <c r="O1786" s="26" t="s">
        <v>29</v>
      </c>
      <c r="P1786" s="29"/>
      <c r="Q1786" s="6"/>
      <c r="R1786" s="29"/>
      <c r="S1786" s="10"/>
      <c r="T1786" s="8">
        <v>1</v>
      </c>
    </row>
    <row r="1787" spans="1:20" ht="15.75" customHeight="1" x14ac:dyDescent="0.35">
      <c r="A1787" s="25" t="s">
        <v>2084</v>
      </c>
      <c r="B1787" s="25" t="s">
        <v>2321</v>
      </c>
      <c r="C1787" s="26">
        <v>131049</v>
      </c>
      <c r="D1787" s="25" t="s">
        <v>977</v>
      </c>
      <c r="E1787" s="25" t="s">
        <v>2340</v>
      </c>
      <c r="F1787" s="26" t="s">
        <v>90</v>
      </c>
      <c r="G1787" s="26" t="s">
        <v>90</v>
      </c>
      <c r="H1787" s="26">
        <v>1</v>
      </c>
      <c r="I1787" s="26">
        <v>2</v>
      </c>
      <c r="J1787" s="26">
        <v>1</v>
      </c>
      <c r="K1787" s="26">
        <v>138</v>
      </c>
      <c r="L1787" s="26" t="s">
        <v>28</v>
      </c>
      <c r="M1787" s="27">
        <v>2389</v>
      </c>
      <c r="N1787" s="30">
        <v>477676.74</v>
      </c>
      <c r="O1787" s="26" t="s">
        <v>29</v>
      </c>
      <c r="P1787" s="29"/>
      <c r="Q1787" s="6"/>
      <c r="R1787" s="29"/>
      <c r="S1787" s="10"/>
      <c r="T1787" s="8">
        <v>1</v>
      </c>
    </row>
    <row r="1788" spans="1:20" ht="15.75" customHeight="1" x14ac:dyDescent="0.35">
      <c r="A1788" s="25" t="s">
        <v>2084</v>
      </c>
      <c r="B1788" s="25" t="s">
        <v>2321</v>
      </c>
      <c r="C1788" s="26">
        <v>131052</v>
      </c>
      <c r="D1788" s="25" t="s">
        <v>2341</v>
      </c>
      <c r="E1788" s="25" t="s">
        <v>2340</v>
      </c>
      <c r="F1788" s="26" t="s">
        <v>90</v>
      </c>
      <c r="G1788" s="26" t="s">
        <v>90</v>
      </c>
      <c r="H1788" s="26"/>
      <c r="I1788" s="26"/>
      <c r="J1788" s="26">
        <v>1</v>
      </c>
      <c r="K1788" s="26">
        <v>138</v>
      </c>
      <c r="L1788" s="26" t="s">
        <v>28</v>
      </c>
      <c r="M1788" s="27">
        <v>2391</v>
      </c>
      <c r="N1788" s="28"/>
      <c r="O1788" s="26" t="s">
        <v>29</v>
      </c>
      <c r="P1788" s="29"/>
      <c r="Q1788" s="6"/>
      <c r="R1788" s="29"/>
      <c r="S1788" s="10"/>
      <c r="T1788" s="8"/>
    </row>
    <row r="1789" spans="1:20" ht="15.75" customHeight="1" x14ac:dyDescent="0.35">
      <c r="A1789" s="25" t="s">
        <v>2084</v>
      </c>
      <c r="B1789" s="25" t="s">
        <v>2321</v>
      </c>
      <c r="C1789" s="26">
        <v>131057</v>
      </c>
      <c r="D1789" s="25" t="s">
        <v>2342</v>
      </c>
      <c r="E1789" s="25" t="s">
        <v>2340</v>
      </c>
      <c r="F1789" s="26" t="s">
        <v>90</v>
      </c>
      <c r="G1789" s="26" t="s">
        <v>90</v>
      </c>
      <c r="H1789" s="26">
        <v>1</v>
      </c>
      <c r="I1789" s="26">
        <v>2</v>
      </c>
      <c r="J1789" s="26">
        <v>1</v>
      </c>
      <c r="K1789" s="26">
        <v>138</v>
      </c>
      <c r="L1789" s="26" t="s">
        <v>28</v>
      </c>
      <c r="M1789" s="27">
        <v>2398</v>
      </c>
      <c r="N1789" s="30">
        <v>151330.76999999999</v>
      </c>
      <c r="O1789" s="26" t="s">
        <v>29</v>
      </c>
      <c r="P1789" s="29"/>
      <c r="Q1789" s="6"/>
      <c r="R1789" s="29"/>
      <c r="S1789" s="10"/>
      <c r="T1789" s="8">
        <v>1</v>
      </c>
    </row>
    <row r="1790" spans="1:20" ht="15.75" customHeight="1" x14ac:dyDescent="0.35">
      <c r="A1790" s="25" t="s">
        <v>2084</v>
      </c>
      <c r="B1790" s="25" t="s">
        <v>2321</v>
      </c>
      <c r="C1790" s="26">
        <v>131061</v>
      </c>
      <c r="D1790" s="25" t="s">
        <v>2343</v>
      </c>
      <c r="E1790" s="25" t="s">
        <v>2340</v>
      </c>
      <c r="F1790" s="26" t="s">
        <v>90</v>
      </c>
      <c r="G1790" s="26" t="s">
        <v>90</v>
      </c>
      <c r="H1790" s="26"/>
      <c r="I1790" s="26"/>
      <c r="J1790" s="26">
        <v>1</v>
      </c>
      <c r="K1790" s="26">
        <v>138</v>
      </c>
      <c r="L1790" s="26" t="s">
        <v>28</v>
      </c>
      <c r="M1790" s="27">
        <v>2407</v>
      </c>
      <c r="N1790" s="28"/>
      <c r="O1790" s="26" t="s">
        <v>29</v>
      </c>
      <c r="P1790" s="29"/>
      <c r="Q1790" s="6"/>
      <c r="R1790" s="29"/>
      <c r="S1790" s="10"/>
      <c r="T1790" s="8"/>
    </row>
    <row r="1791" spans="1:20" ht="15.75" customHeight="1" x14ac:dyDescent="0.35">
      <c r="A1791" s="25" t="s">
        <v>2084</v>
      </c>
      <c r="B1791" s="25" t="s">
        <v>2321</v>
      </c>
      <c r="C1791" s="26">
        <v>131067</v>
      </c>
      <c r="D1791" s="25" t="s">
        <v>2344</v>
      </c>
      <c r="E1791" s="25" t="s">
        <v>2340</v>
      </c>
      <c r="F1791" s="26" t="s">
        <v>90</v>
      </c>
      <c r="G1791" s="26" t="s">
        <v>90</v>
      </c>
      <c r="H1791" s="26"/>
      <c r="I1791" s="26"/>
      <c r="J1791" s="26">
        <v>1</v>
      </c>
      <c r="K1791" s="26">
        <v>138</v>
      </c>
      <c r="L1791" s="26" t="s">
        <v>28</v>
      </c>
      <c r="M1791" s="27">
        <v>2388</v>
      </c>
      <c r="N1791" s="28"/>
      <c r="O1791" s="26" t="s">
        <v>29</v>
      </c>
      <c r="P1791" s="29"/>
      <c r="Q1791" s="6"/>
      <c r="R1791" s="29"/>
      <c r="S1791" s="10"/>
      <c r="T1791" s="8"/>
    </row>
    <row r="1792" spans="1:20" ht="15.75" customHeight="1" x14ac:dyDescent="0.35">
      <c r="A1792" s="25" t="s">
        <v>2084</v>
      </c>
      <c r="B1792" s="25" t="s">
        <v>2321</v>
      </c>
      <c r="C1792" s="26">
        <v>131078</v>
      </c>
      <c r="D1792" s="25" t="s">
        <v>2345</v>
      </c>
      <c r="E1792" s="25" t="s">
        <v>2340</v>
      </c>
      <c r="F1792" s="26" t="s">
        <v>90</v>
      </c>
      <c r="G1792" s="26" t="s">
        <v>90</v>
      </c>
      <c r="H1792" s="26"/>
      <c r="I1792" s="26"/>
      <c r="J1792" s="26">
        <v>1</v>
      </c>
      <c r="K1792" s="26">
        <v>138</v>
      </c>
      <c r="L1792" s="26" t="s">
        <v>28</v>
      </c>
      <c r="M1792" s="27">
        <v>2403</v>
      </c>
      <c r="N1792" s="28"/>
      <c r="O1792" s="26" t="s">
        <v>29</v>
      </c>
      <c r="P1792" s="29"/>
      <c r="Q1792" s="6"/>
      <c r="R1792" s="29"/>
      <c r="S1792" s="10"/>
      <c r="T1792" s="8"/>
    </row>
    <row r="1793" spans="1:20" ht="15.75" customHeight="1" x14ac:dyDescent="0.35">
      <c r="A1793" s="25" t="s">
        <v>2084</v>
      </c>
      <c r="B1793" s="25" t="s">
        <v>2321</v>
      </c>
      <c r="C1793" s="26">
        <v>131079</v>
      </c>
      <c r="D1793" s="25" t="s">
        <v>2346</v>
      </c>
      <c r="E1793" s="25" t="s">
        <v>2340</v>
      </c>
      <c r="F1793" s="26" t="s">
        <v>90</v>
      </c>
      <c r="G1793" s="26" t="s">
        <v>90</v>
      </c>
      <c r="H1793" s="26"/>
      <c r="I1793" s="26"/>
      <c r="J1793" s="26">
        <v>1</v>
      </c>
      <c r="K1793" s="26">
        <v>138</v>
      </c>
      <c r="L1793" s="26" t="s">
        <v>28</v>
      </c>
      <c r="M1793" s="27">
        <v>2404</v>
      </c>
      <c r="N1793" s="28"/>
      <c r="O1793" s="26" t="s">
        <v>29</v>
      </c>
      <c r="P1793" s="29"/>
      <c r="Q1793" s="6"/>
      <c r="R1793" s="29"/>
      <c r="S1793" s="10"/>
      <c r="T1793" s="8"/>
    </row>
    <row r="1794" spans="1:20" ht="15.75" customHeight="1" x14ac:dyDescent="0.35">
      <c r="A1794" s="25" t="s">
        <v>2084</v>
      </c>
      <c r="B1794" s="25" t="s">
        <v>2321</v>
      </c>
      <c r="C1794" s="26">
        <v>131085</v>
      </c>
      <c r="D1794" s="25" t="s">
        <v>2347</v>
      </c>
      <c r="E1794" s="25" t="s">
        <v>2348</v>
      </c>
      <c r="F1794" s="26" t="s">
        <v>215</v>
      </c>
      <c r="G1794" s="26" t="s">
        <v>215</v>
      </c>
      <c r="H1794" s="26"/>
      <c r="I1794" s="26"/>
      <c r="J1794" s="26">
        <v>1</v>
      </c>
      <c r="K1794" s="26">
        <v>138</v>
      </c>
      <c r="L1794" s="26" t="s">
        <v>28</v>
      </c>
      <c r="M1794" s="27">
        <v>2382</v>
      </c>
      <c r="N1794" s="28"/>
      <c r="O1794" s="26" t="s">
        <v>29</v>
      </c>
      <c r="P1794" s="29"/>
      <c r="Q1794" s="6"/>
      <c r="R1794" s="29"/>
      <c r="S1794" s="10"/>
      <c r="T1794" s="8"/>
    </row>
    <row r="1795" spans="1:20" ht="15.75" customHeight="1" x14ac:dyDescent="0.35">
      <c r="A1795" s="25" t="s">
        <v>2084</v>
      </c>
      <c r="B1795" s="25" t="s">
        <v>2321</v>
      </c>
      <c r="C1795" s="26">
        <v>131098</v>
      </c>
      <c r="D1795" s="25" t="s">
        <v>2349</v>
      </c>
      <c r="E1795" s="25" t="s">
        <v>2348</v>
      </c>
      <c r="F1795" s="26" t="s">
        <v>215</v>
      </c>
      <c r="G1795" s="26" t="s">
        <v>215</v>
      </c>
      <c r="H1795" s="26"/>
      <c r="I1795" s="26"/>
      <c r="J1795" s="26">
        <v>1</v>
      </c>
      <c r="K1795" s="26">
        <v>138</v>
      </c>
      <c r="L1795" s="26" t="s">
        <v>28</v>
      </c>
      <c r="M1795" s="27">
        <v>2372</v>
      </c>
      <c r="N1795" s="28"/>
      <c r="O1795" s="26" t="s">
        <v>29</v>
      </c>
      <c r="P1795" s="29"/>
      <c r="Q1795" s="6"/>
      <c r="R1795" s="29"/>
      <c r="S1795" s="10"/>
      <c r="T1795" s="8"/>
    </row>
    <row r="1796" spans="1:20" ht="15.75" customHeight="1" x14ac:dyDescent="0.35">
      <c r="A1796" s="25" t="s">
        <v>2084</v>
      </c>
      <c r="B1796" s="25" t="s">
        <v>2321</v>
      </c>
      <c r="C1796" s="26">
        <v>131102</v>
      </c>
      <c r="D1796" s="25" t="s">
        <v>2350</v>
      </c>
      <c r="E1796" s="25" t="s">
        <v>2348</v>
      </c>
      <c r="F1796" s="26" t="s">
        <v>215</v>
      </c>
      <c r="G1796" s="26" t="s">
        <v>215</v>
      </c>
      <c r="H1796" s="26"/>
      <c r="I1796" s="26"/>
      <c r="J1796" s="26">
        <v>1</v>
      </c>
      <c r="K1796" s="26">
        <v>138</v>
      </c>
      <c r="L1796" s="26" t="s">
        <v>28</v>
      </c>
      <c r="M1796" s="27">
        <v>2379</v>
      </c>
      <c r="N1796" s="28"/>
      <c r="O1796" s="26" t="s">
        <v>29</v>
      </c>
      <c r="P1796" s="29"/>
      <c r="Q1796" s="6"/>
      <c r="R1796" s="29"/>
      <c r="S1796" s="10"/>
      <c r="T1796" s="8"/>
    </row>
    <row r="1797" spans="1:20" ht="15.75" customHeight="1" x14ac:dyDescent="0.35">
      <c r="A1797" s="25" t="s">
        <v>2084</v>
      </c>
      <c r="B1797" s="25" t="s">
        <v>2321</v>
      </c>
      <c r="C1797" s="26">
        <v>131105</v>
      </c>
      <c r="D1797" s="25" t="s">
        <v>2351</v>
      </c>
      <c r="E1797" s="25" t="s">
        <v>2348</v>
      </c>
      <c r="F1797" s="26" t="s">
        <v>215</v>
      </c>
      <c r="G1797" s="26" t="s">
        <v>215</v>
      </c>
      <c r="H1797" s="26"/>
      <c r="I1797" s="26"/>
      <c r="J1797" s="26">
        <v>1</v>
      </c>
      <c r="K1797" s="26">
        <v>138</v>
      </c>
      <c r="L1797" s="26" t="s">
        <v>28</v>
      </c>
      <c r="M1797" s="27">
        <v>2384</v>
      </c>
      <c r="N1797" s="28"/>
      <c r="O1797" s="26" t="s">
        <v>29</v>
      </c>
      <c r="P1797" s="29"/>
      <c r="Q1797" s="6"/>
      <c r="R1797" s="29"/>
      <c r="S1797" s="10"/>
      <c r="T1797" s="8"/>
    </row>
    <row r="1798" spans="1:20" ht="15.75" customHeight="1" x14ac:dyDescent="0.35">
      <c r="A1798" s="25" t="s">
        <v>2084</v>
      </c>
      <c r="B1798" s="25" t="s">
        <v>2321</v>
      </c>
      <c r="C1798" s="26">
        <v>131125</v>
      </c>
      <c r="D1798" s="25" t="s">
        <v>2352</v>
      </c>
      <c r="E1798" s="25" t="s">
        <v>2353</v>
      </c>
      <c r="F1798" s="26" t="s">
        <v>90</v>
      </c>
      <c r="G1798" s="26" t="s">
        <v>90</v>
      </c>
      <c r="H1798" s="26">
        <v>1</v>
      </c>
      <c r="I1798" s="26">
        <v>1</v>
      </c>
      <c r="J1798" s="26">
        <v>1</v>
      </c>
      <c r="K1798" s="26">
        <v>138</v>
      </c>
      <c r="L1798" s="26" t="s">
        <v>28</v>
      </c>
      <c r="M1798" s="27">
        <v>2395</v>
      </c>
      <c r="N1798" s="30">
        <v>421377.59</v>
      </c>
      <c r="O1798" s="26" t="s">
        <v>29</v>
      </c>
      <c r="P1798" s="29"/>
      <c r="Q1798" s="6"/>
      <c r="R1798" s="29"/>
      <c r="S1798" s="10"/>
      <c r="T1798" s="8">
        <v>1</v>
      </c>
    </row>
    <row r="1799" spans="1:20" ht="15.75" customHeight="1" x14ac:dyDescent="0.35">
      <c r="A1799" s="25" t="s">
        <v>2084</v>
      </c>
      <c r="B1799" s="25" t="s">
        <v>2321</v>
      </c>
      <c r="C1799" s="26">
        <v>131164</v>
      </c>
      <c r="D1799" s="25" t="s">
        <v>2354</v>
      </c>
      <c r="E1799" s="25" t="s">
        <v>2355</v>
      </c>
      <c r="F1799" s="26" t="s">
        <v>90</v>
      </c>
      <c r="G1799" s="26" t="s">
        <v>90</v>
      </c>
      <c r="H1799" s="26"/>
      <c r="I1799" s="26"/>
      <c r="J1799" s="26">
        <v>1</v>
      </c>
      <c r="K1799" s="26">
        <v>138</v>
      </c>
      <c r="L1799" s="26" t="s">
        <v>28</v>
      </c>
      <c r="M1799" s="27">
        <v>2387</v>
      </c>
      <c r="N1799" s="28"/>
      <c r="O1799" s="26" t="s">
        <v>29</v>
      </c>
      <c r="P1799" s="29"/>
      <c r="Q1799" s="6"/>
      <c r="R1799" s="29"/>
      <c r="S1799" s="10"/>
      <c r="T1799" s="8"/>
    </row>
    <row r="1800" spans="1:20" ht="15.75" customHeight="1" x14ac:dyDescent="0.35">
      <c r="A1800" s="25" t="s">
        <v>2084</v>
      </c>
      <c r="B1800" s="25" t="s">
        <v>2321</v>
      </c>
      <c r="C1800" s="26">
        <v>131166</v>
      </c>
      <c r="D1800" s="25" t="s">
        <v>2356</v>
      </c>
      <c r="E1800" s="25" t="s">
        <v>2355</v>
      </c>
      <c r="F1800" s="26" t="s">
        <v>90</v>
      </c>
      <c r="G1800" s="26" t="s">
        <v>90</v>
      </c>
      <c r="H1800" s="26"/>
      <c r="I1800" s="26"/>
      <c r="J1800" s="26">
        <v>1</v>
      </c>
      <c r="K1800" s="26">
        <v>138</v>
      </c>
      <c r="L1800" s="26" t="s">
        <v>28</v>
      </c>
      <c r="M1800" s="27">
        <v>2390</v>
      </c>
      <c r="N1800" s="28"/>
      <c r="O1800" s="26" t="s">
        <v>29</v>
      </c>
      <c r="P1800" s="29"/>
      <c r="Q1800" s="6"/>
      <c r="R1800" s="29"/>
      <c r="S1800" s="10"/>
      <c r="T1800" s="8"/>
    </row>
    <row r="1801" spans="1:20" ht="15.75" customHeight="1" x14ac:dyDescent="0.35">
      <c r="A1801" s="25" t="s">
        <v>2084</v>
      </c>
      <c r="B1801" s="25" t="s">
        <v>2321</v>
      </c>
      <c r="C1801" s="26">
        <v>131170</v>
      </c>
      <c r="D1801" s="25" t="s">
        <v>2357</v>
      </c>
      <c r="E1801" s="25" t="s">
        <v>2355</v>
      </c>
      <c r="F1801" s="26" t="s">
        <v>90</v>
      </c>
      <c r="G1801" s="26" t="s">
        <v>90</v>
      </c>
      <c r="H1801" s="26">
        <v>1</v>
      </c>
      <c r="I1801" s="26">
        <v>3</v>
      </c>
      <c r="J1801" s="26">
        <v>1</v>
      </c>
      <c r="K1801" s="26">
        <v>138</v>
      </c>
      <c r="L1801" s="26" t="s">
        <v>28</v>
      </c>
      <c r="M1801" s="27">
        <v>2393</v>
      </c>
      <c r="N1801" s="30">
        <v>240299.44</v>
      </c>
      <c r="O1801" s="26" t="s">
        <v>29</v>
      </c>
      <c r="P1801" s="29"/>
      <c r="Q1801" s="6"/>
      <c r="R1801" s="29"/>
      <c r="S1801" s="10"/>
      <c r="T1801" s="8">
        <v>1</v>
      </c>
    </row>
    <row r="1802" spans="1:20" ht="15.75" customHeight="1" x14ac:dyDescent="0.35">
      <c r="A1802" s="25" t="s">
        <v>2084</v>
      </c>
      <c r="B1802" s="25" t="s">
        <v>2321</v>
      </c>
      <c r="C1802" s="26">
        <v>209004</v>
      </c>
      <c r="D1802" s="25" t="s">
        <v>2358</v>
      </c>
      <c r="E1802" s="25" t="s">
        <v>237</v>
      </c>
      <c r="F1802" s="26" t="s">
        <v>90</v>
      </c>
      <c r="G1802" s="26" t="s">
        <v>90</v>
      </c>
      <c r="H1802" s="26"/>
      <c r="I1802" s="26"/>
      <c r="J1802" s="26">
        <v>1</v>
      </c>
      <c r="K1802" s="26">
        <v>138</v>
      </c>
      <c r="L1802" s="26" t="s">
        <v>28</v>
      </c>
      <c r="M1802" s="27">
        <v>2405</v>
      </c>
      <c r="N1802" s="28"/>
      <c r="O1802" s="26" t="s">
        <v>29</v>
      </c>
      <c r="P1802" s="29"/>
      <c r="Q1802" s="6"/>
      <c r="R1802" s="29"/>
      <c r="S1802" s="10"/>
      <c r="T1802" s="8"/>
    </row>
    <row r="1803" spans="1:20" ht="15.75" customHeight="1" x14ac:dyDescent="0.35">
      <c r="A1803" s="25" t="s">
        <v>2084</v>
      </c>
      <c r="B1803" s="25" t="s">
        <v>2321</v>
      </c>
      <c r="C1803" s="26">
        <v>209006</v>
      </c>
      <c r="D1803" s="25" t="s">
        <v>2359</v>
      </c>
      <c r="E1803" s="25" t="s">
        <v>2323</v>
      </c>
      <c r="F1803" s="26" t="s">
        <v>90</v>
      </c>
      <c r="G1803" s="26" t="s">
        <v>90</v>
      </c>
      <c r="H1803" s="26"/>
      <c r="I1803" s="26"/>
      <c r="J1803" s="26">
        <v>1</v>
      </c>
      <c r="K1803" s="26">
        <v>138</v>
      </c>
      <c r="L1803" s="26" t="s">
        <v>28</v>
      </c>
      <c r="M1803" s="27">
        <v>2408</v>
      </c>
      <c r="N1803" s="28"/>
      <c r="O1803" s="26" t="s">
        <v>29</v>
      </c>
      <c r="P1803" s="29"/>
      <c r="Q1803" s="6"/>
      <c r="R1803" s="29"/>
      <c r="S1803" s="10"/>
      <c r="T1803" s="8"/>
    </row>
    <row r="1804" spans="1:20" ht="15.75" customHeight="1" x14ac:dyDescent="0.35">
      <c r="A1804" s="25" t="s">
        <v>2084</v>
      </c>
      <c r="B1804" s="25" t="s">
        <v>2321</v>
      </c>
      <c r="C1804" s="26">
        <v>209013</v>
      </c>
      <c r="D1804" s="25" t="s">
        <v>2360</v>
      </c>
      <c r="E1804" s="25" t="s">
        <v>2355</v>
      </c>
      <c r="F1804" s="26" t="s">
        <v>90</v>
      </c>
      <c r="G1804" s="26" t="s">
        <v>90</v>
      </c>
      <c r="H1804" s="26"/>
      <c r="I1804" s="26"/>
      <c r="J1804" s="26">
        <v>1</v>
      </c>
      <c r="K1804" s="26">
        <v>138</v>
      </c>
      <c r="L1804" s="26" t="s">
        <v>28</v>
      </c>
      <c r="M1804" s="27">
        <v>2412</v>
      </c>
      <c r="N1804" s="28"/>
      <c r="O1804" s="26" t="s">
        <v>29</v>
      </c>
      <c r="P1804" s="29"/>
      <c r="Q1804" s="6"/>
      <c r="R1804" s="29"/>
      <c r="S1804" s="10"/>
      <c r="T1804" s="8"/>
    </row>
    <row r="1805" spans="1:20" ht="15.75" customHeight="1" x14ac:dyDescent="0.35">
      <c r="A1805" s="25" t="s">
        <v>2084</v>
      </c>
      <c r="B1805" s="25" t="s">
        <v>2321</v>
      </c>
      <c r="C1805" s="26">
        <v>209015</v>
      </c>
      <c r="D1805" s="25" t="s">
        <v>2361</v>
      </c>
      <c r="E1805" s="25" t="s">
        <v>237</v>
      </c>
      <c r="F1805" s="26" t="s">
        <v>90</v>
      </c>
      <c r="G1805" s="26" t="s">
        <v>90</v>
      </c>
      <c r="H1805" s="26"/>
      <c r="I1805" s="26"/>
      <c r="J1805" s="26">
        <v>1</v>
      </c>
      <c r="K1805" s="26">
        <v>138</v>
      </c>
      <c r="L1805" s="26" t="s">
        <v>28</v>
      </c>
      <c r="M1805" s="27">
        <v>2397</v>
      </c>
      <c r="N1805" s="28"/>
      <c r="O1805" s="26" t="s">
        <v>29</v>
      </c>
      <c r="P1805" s="29"/>
      <c r="Q1805" s="6"/>
      <c r="R1805" s="29"/>
      <c r="S1805" s="10"/>
      <c r="T1805" s="8"/>
    </row>
    <row r="1806" spans="1:20" ht="15.75" customHeight="1" x14ac:dyDescent="0.35">
      <c r="A1806" s="25" t="s">
        <v>2084</v>
      </c>
      <c r="B1806" s="25" t="s">
        <v>2321</v>
      </c>
      <c r="C1806" s="26">
        <v>209019</v>
      </c>
      <c r="D1806" s="25" t="s">
        <v>2362</v>
      </c>
      <c r="E1806" s="25" t="s">
        <v>2329</v>
      </c>
      <c r="F1806" s="26" t="s">
        <v>215</v>
      </c>
      <c r="G1806" s="26" t="s">
        <v>215</v>
      </c>
      <c r="H1806" s="26"/>
      <c r="I1806" s="26"/>
      <c r="J1806" s="26">
        <v>1</v>
      </c>
      <c r="K1806" s="26">
        <v>138</v>
      </c>
      <c r="L1806" s="26" t="s">
        <v>28</v>
      </c>
      <c r="M1806" s="27">
        <v>2377</v>
      </c>
      <c r="N1806" s="28"/>
      <c r="O1806" s="26" t="s">
        <v>29</v>
      </c>
      <c r="P1806" s="29"/>
      <c r="Q1806" s="6"/>
      <c r="R1806" s="29"/>
      <c r="S1806" s="10"/>
      <c r="T1806" s="8"/>
    </row>
    <row r="1807" spans="1:20" ht="15.75" customHeight="1" x14ac:dyDescent="0.35">
      <c r="A1807" s="25" t="s">
        <v>2084</v>
      </c>
      <c r="B1807" s="25" t="s">
        <v>2321</v>
      </c>
      <c r="C1807" s="26">
        <v>209020</v>
      </c>
      <c r="D1807" s="25" t="s">
        <v>2363</v>
      </c>
      <c r="E1807" s="25" t="s">
        <v>237</v>
      </c>
      <c r="F1807" s="26" t="s">
        <v>90</v>
      </c>
      <c r="G1807" s="26" t="s">
        <v>90</v>
      </c>
      <c r="H1807" s="26"/>
      <c r="I1807" s="26"/>
      <c r="J1807" s="26">
        <v>1</v>
      </c>
      <c r="K1807" s="26">
        <v>138</v>
      </c>
      <c r="L1807" s="26" t="s">
        <v>28</v>
      </c>
      <c r="M1807" s="27">
        <v>2411</v>
      </c>
      <c r="N1807" s="28"/>
      <c r="O1807" s="26" t="s">
        <v>29</v>
      </c>
      <c r="P1807" s="29"/>
      <c r="Q1807" s="6"/>
      <c r="R1807" s="29"/>
      <c r="S1807" s="10"/>
      <c r="T1807" s="8"/>
    </row>
    <row r="1808" spans="1:20" ht="15.75" customHeight="1" x14ac:dyDescent="0.35">
      <c r="A1808" s="25" t="s">
        <v>2084</v>
      </c>
      <c r="B1808" s="25" t="s">
        <v>2321</v>
      </c>
      <c r="C1808" s="26">
        <v>209023</v>
      </c>
      <c r="D1808" s="25" t="s">
        <v>2364</v>
      </c>
      <c r="E1808" s="25" t="s">
        <v>2340</v>
      </c>
      <c r="F1808" s="26" t="s">
        <v>90</v>
      </c>
      <c r="G1808" s="26" t="s">
        <v>90</v>
      </c>
      <c r="H1808" s="26"/>
      <c r="I1808" s="26"/>
      <c r="J1808" s="26">
        <v>1</v>
      </c>
      <c r="K1808" s="26">
        <v>138</v>
      </c>
      <c r="L1808" s="26" t="s">
        <v>28</v>
      </c>
      <c r="M1808" s="27">
        <v>2399</v>
      </c>
      <c r="N1808" s="28"/>
      <c r="O1808" s="26" t="s">
        <v>29</v>
      </c>
      <c r="P1808" s="29"/>
      <c r="Q1808" s="6"/>
      <c r="R1808" s="29"/>
      <c r="S1808" s="10"/>
      <c r="T1808" s="8"/>
    </row>
    <row r="1809" spans="1:20" ht="15.75" customHeight="1" x14ac:dyDescent="0.35">
      <c r="A1809" s="25" t="s">
        <v>2084</v>
      </c>
      <c r="B1809" s="25" t="s">
        <v>2321</v>
      </c>
      <c r="C1809" s="26">
        <v>209024</v>
      </c>
      <c r="D1809" s="25" t="s">
        <v>2365</v>
      </c>
      <c r="E1809" s="25" t="s">
        <v>2340</v>
      </c>
      <c r="F1809" s="26" t="s">
        <v>90</v>
      </c>
      <c r="G1809" s="26" t="s">
        <v>90</v>
      </c>
      <c r="H1809" s="26"/>
      <c r="I1809" s="26"/>
      <c r="J1809" s="26">
        <v>1</v>
      </c>
      <c r="K1809" s="26">
        <v>138</v>
      </c>
      <c r="L1809" s="26" t="s">
        <v>28</v>
      </c>
      <c r="M1809" s="27">
        <v>2410</v>
      </c>
      <c r="N1809" s="28"/>
      <c r="O1809" s="26" t="s">
        <v>29</v>
      </c>
      <c r="P1809" s="29"/>
      <c r="Q1809" s="6"/>
      <c r="R1809" s="29"/>
      <c r="S1809" s="10"/>
      <c r="T1809" s="8"/>
    </row>
    <row r="1810" spans="1:20" ht="15.75" customHeight="1" x14ac:dyDescent="0.35">
      <c r="A1810" s="25" t="s">
        <v>2084</v>
      </c>
      <c r="B1810" s="25" t="s">
        <v>2321</v>
      </c>
      <c r="C1810" s="26">
        <v>209026</v>
      </c>
      <c r="D1810" s="25" t="s">
        <v>2366</v>
      </c>
      <c r="E1810" s="25" t="s">
        <v>2355</v>
      </c>
      <c r="F1810" s="26" t="s">
        <v>90</v>
      </c>
      <c r="G1810" s="26" t="s">
        <v>90</v>
      </c>
      <c r="H1810" s="26"/>
      <c r="I1810" s="26"/>
      <c r="J1810" s="26">
        <v>1</v>
      </c>
      <c r="K1810" s="26">
        <v>138</v>
      </c>
      <c r="L1810" s="26" t="s">
        <v>28</v>
      </c>
      <c r="M1810" s="27">
        <v>2401</v>
      </c>
      <c r="N1810" s="28"/>
      <c r="O1810" s="26" t="s">
        <v>29</v>
      </c>
      <c r="P1810" s="29"/>
      <c r="Q1810" s="6"/>
      <c r="R1810" s="29"/>
      <c r="S1810" s="10"/>
      <c r="T1810" s="8"/>
    </row>
    <row r="1811" spans="1:20" ht="15.75" customHeight="1" x14ac:dyDescent="0.35">
      <c r="A1811" s="25" t="s">
        <v>2084</v>
      </c>
      <c r="B1811" s="25" t="s">
        <v>2321</v>
      </c>
      <c r="C1811" s="26">
        <v>209029</v>
      </c>
      <c r="D1811" s="25" t="s">
        <v>2367</v>
      </c>
      <c r="E1811" s="25" t="s">
        <v>2348</v>
      </c>
      <c r="F1811" s="26" t="s">
        <v>215</v>
      </c>
      <c r="G1811" s="26" t="s">
        <v>215</v>
      </c>
      <c r="H1811" s="26">
        <v>1</v>
      </c>
      <c r="I1811" s="26">
        <v>2</v>
      </c>
      <c r="J1811" s="26">
        <v>1</v>
      </c>
      <c r="K1811" s="26">
        <v>138</v>
      </c>
      <c r="L1811" s="26" t="s">
        <v>28</v>
      </c>
      <c r="M1811" s="27">
        <v>2371</v>
      </c>
      <c r="N1811" s="30">
        <v>151330.76999999999</v>
      </c>
      <c r="O1811" s="26" t="s">
        <v>29</v>
      </c>
      <c r="P1811" s="29"/>
      <c r="Q1811" s="6"/>
      <c r="R1811" s="29"/>
      <c r="S1811" s="10"/>
      <c r="T1811" s="8">
        <v>1</v>
      </c>
    </row>
    <row r="1812" spans="1:20" ht="15.75" customHeight="1" x14ac:dyDescent="0.35">
      <c r="A1812" s="25" t="s">
        <v>2084</v>
      </c>
      <c r="B1812" s="25" t="s">
        <v>2321</v>
      </c>
      <c r="C1812" s="26">
        <v>209032</v>
      </c>
      <c r="D1812" s="25" t="s">
        <v>2368</v>
      </c>
      <c r="E1812" s="25" t="s">
        <v>2329</v>
      </c>
      <c r="F1812" s="26" t="s">
        <v>215</v>
      </c>
      <c r="G1812" s="26" t="s">
        <v>215</v>
      </c>
      <c r="H1812" s="26"/>
      <c r="I1812" s="26"/>
      <c r="J1812" s="26">
        <v>1</v>
      </c>
      <c r="K1812" s="26">
        <v>138</v>
      </c>
      <c r="L1812" s="26" t="s">
        <v>28</v>
      </c>
      <c r="M1812" s="27">
        <v>2370</v>
      </c>
      <c r="N1812" s="28"/>
      <c r="O1812" s="26" t="s">
        <v>29</v>
      </c>
      <c r="P1812" s="29"/>
      <c r="Q1812" s="6"/>
      <c r="R1812" s="29"/>
      <c r="S1812" s="10"/>
      <c r="T1812" s="8"/>
    </row>
    <row r="1813" spans="1:20" ht="15.75" customHeight="1" x14ac:dyDescent="0.35">
      <c r="A1813" s="25" t="s">
        <v>2084</v>
      </c>
      <c r="B1813" s="25" t="s">
        <v>2321</v>
      </c>
      <c r="C1813" s="26">
        <v>209033</v>
      </c>
      <c r="D1813" s="25" t="s">
        <v>2369</v>
      </c>
      <c r="E1813" s="25" t="s">
        <v>237</v>
      </c>
      <c r="F1813" s="26" t="s">
        <v>90</v>
      </c>
      <c r="G1813" s="26" t="s">
        <v>90</v>
      </c>
      <c r="H1813" s="26"/>
      <c r="I1813" s="26"/>
      <c r="J1813" s="26">
        <v>1</v>
      </c>
      <c r="K1813" s="26">
        <v>138</v>
      </c>
      <c r="L1813" s="26" t="s">
        <v>28</v>
      </c>
      <c r="M1813" s="27">
        <v>2394</v>
      </c>
      <c r="N1813" s="28"/>
      <c r="O1813" s="26" t="s">
        <v>29</v>
      </c>
      <c r="P1813" s="29"/>
      <c r="Q1813" s="6"/>
      <c r="R1813" s="29"/>
      <c r="S1813" s="10"/>
      <c r="T1813" s="8"/>
    </row>
    <row r="1814" spans="1:20" ht="15.75" customHeight="1" x14ac:dyDescent="0.35">
      <c r="A1814" s="25" t="s">
        <v>2084</v>
      </c>
      <c r="B1814" s="25" t="s">
        <v>2321</v>
      </c>
      <c r="C1814" s="26">
        <v>209036</v>
      </c>
      <c r="D1814" s="25" t="s">
        <v>2370</v>
      </c>
      <c r="E1814" s="25" t="s">
        <v>237</v>
      </c>
      <c r="F1814" s="26" t="s">
        <v>90</v>
      </c>
      <c r="G1814" s="26" t="s">
        <v>90</v>
      </c>
      <c r="H1814" s="26">
        <v>1</v>
      </c>
      <c r="I1814" s="26">
        <v>2</v>
      </c>
      <c r="J1814" s="26">
        <v>1</v>
      </c>
      <c r="K1814" s="26">
        <v>138</v>
      </c>
      <c r="L1814" s="26" t="s">
        <v>28</v>
      </c>
      <c r="M1814" s="27">
        <v>2409</v>
      </c>
      <c r="N1814" s="30">
        <v>477676.74</v>
      </c>
      <c r="O1814" s="26" t="s">
        <v>29</v>
      </c>
      <c r="P1814" s="29"/>
      <c r="Q1814" s="6"/>
      <c r="R1814" s="29"/>
      <c r="S1814" s="10"/>
      <c r="T1814" s="8">
        <v>1</v>
      </c>
    </row>
    <row r="1815" spans="1:20" ht="15.75" customHeight="1" x14ac:dyDescent="0.35">
      <c r="A1815" s="25" t="s">
        <v>2084</v>
      </c>
      <c r="B1815" s="25" t="s">
        <v>2321</v>
      </c>
      <c r="C1815" s="26">
        <v>316801</v>
      </c>
      <c r="D1815" s="25" t="s">
        <v>2371</v>
      </c>
      <c r="E1815" s="25" t="s">
        <v>2337</v>
      </c>
      <c r="F1815" s="26" t="s">
        <v>215</v>
      </c>
      <c r="G1815" s="26" t="s">
        <v>215</v>
      </c>
      <c r="H1815" s="26">
        <v>1</v>
      </c>
      <c r="I1815" s="26">
        <v>2</v>
      </c>
      <c r="J1815" s="26">
        <v>1</v>
      </c>
      <c r="K1815" s="26">
        <v>138</v>
      </c>
      <c r="L1815" s="26" t="s">
        <v>28</v>
      </c>
      <c r="M1815" s="27">
        <v>2373</v>
      </c>
      <c r="N1815" s="30">
        <v>477676.74</v>
      </c>
      <c r="O1815" s="26" t="s">
        <v>29</v>
      </c>
      <c r="P1815" s="29"/>
      <c r="Q1815" s="6"/>
      <c r="R1815" s="29"/>
      <c r="S1815" s="10"/>
      <c r="T1815" s="8">
        <v>1</v>
      </c>
    </row>
    <row r="1816" spans="1:20" ht="15.75" customHeight="1" x14ac:dyDescent="0.35">
      <c r="A1816" s="25" t="s">
        <v>2084</v>
      </c>
      <c r="B1816" s="25" t="s">
        <v>2372</v>
      </c>
      <c r="C1816" s="26">
        <v>326101</v>
      </c>
      <c r="D1816" s="25" t="s">
        <v>2373</v>
      </c>
      <c r="E1816" s="25" t="s">
        <v>2374</v>
      </c>
      <c r="F1816" s="26" t="s">
        <v>215</v>
      </c>
      <c r="G1816" s="26" t="s">
        <v>215</v>
      </c>
      <c r="H1816" s="26"/>
      <c r="I1816" s="26"/>
      <c r="J1816" s="26">
        <v>1</v>
      </c>
      <c r="K1816" s="26">
        <v>138</v>
      </c>
      <c r="L1816" s="26" t="s">
        <v>28</v>
      </c>
      <c r="M1816" s="27">
        <v>2413</v>
      </c>
      <c r="N1816" s="28"/>
      <c r="O1816" s="26" t="s">
        <v>29</v>
      </c>
      <c r="P1816" s="29"/>
      <c r="Q1816" s="6"/>
      <c r="R1816" s="29"/>
      <c r="S1816" s="10"/>
      <c r="T1816" s="8"/>
    </row>
    <row r="1817" spans="1:20" ht="15.75" customHeight="1" x14ac:dyDescent="0.35">
      <c r="A1817" s="29" t="s">
        <v>205</v>
      </c>
      <c r="B1817" s="29" t="s">
        <v>317</v>
      </c>
      <c r="C1817" s="31">
        <v>322507</v>
      </c>
      <c r="D1817" s="32" t="s">
        <v>2375</v>
      </c>
      <c r="E1817" s="32" t="s">
        <v>319</v>
      </c>
      <c r="F1817" s="29">
        <v>2</v>
      </c>
      <c r="G1817" s="33"/>
      <c r="H1817" s="8">
        <v>1</v>
      </c>
      <c r="I1817" s="8">
        <v>4</v>
      </c>
      <c r="J1817" s="29"/>
      <c r="K1817" s="10"/>
      <c r="L1817" s="10"/>
      <c r="M1817" s="11"/>
      <c r="N1817" s="34">
        <v>100690.38</v>
      </c>
      <c r="O1817" s="26" t="s">
        <v>29</v>
      </c>
      <c r="P1817" s="29"/>
      <c r="Q1817" s="6"/>
      <c r="R1817" s="29"/>
      <c r="S1817" s="10"/>
      <c r="T1817" s="8">
        <v>1</v>
      </c>
    </row>
  </sheetData>
  <autoFilter ref="A7:U1816" xr:uid="{00000000-0009-0000-0000-000000000000}"/>
  <printOptions horizontalCentered="1"/>
  <pageMargins left="0.25" right="0.25" top="0.5" bottom="0.5" header="0" footer="0"/>
  <pageSetup paperSize="9" scale="6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Z30"/>
  <sheetViews>
    <sheetView tabSelected="1" topLeftCell="A4" zoomScale="40" zoomScaleNormal="40" zoomScaleSheetLayoutView="40" workbookViewId="0">
      <pane xSplit="5" ySplit="6" topLeftCell="AA16" activePane="bottomRight" state="frozen"/>
      <selection activeCell="A4" sqref="A4"/>
      <selection pane="topRight" activeCell="F4" sqref="F4"/>
      <selection pane="bottomLeft" activeCell="A9" sqref="A9"/>
      <selection pane="bottomRight" activeCell="AD19" sqref="AD19"/>
    </sheetView>
  </sheetViews>
  <sheetFormatPr defaultColWidth="14.453125" defaultRowHeight="15" customHeight="1" x14ac:dyDescent="0.35"/>
  <cols>
    <col min="1" max="1" width="31.1796875" customWidth="1"/>
    <col min="2" max="2" width="37.54296875" customWidth="1"/>
    <col min="3" max="3" width="28.1796875" customWidth="1"/>
    <col min="4" max="4" width="24.453125" style="80" customWidth="1"/>
    <col min="5" max="5" width="41.54296875" style="80" customWidth="1"/>
    <col min="6" max="6" width="23.7265625" style="108" customWidth="1"/>
    <col min="7" max="7" width="18.453125" style="80" customWidth="1"/>
    <col min="8" max="8" width="15.7265625" customWidth="1"/>
    <col min="9" max="9" width="44.26953125" customWidth="1"/>
    <col min="10" max="10" width="13.26953125" style="80" customWidth="1"/>
    <col min="11" max="11" width="34.7265625" style="69" customWidth="1"/>
    <col min="12" max="12" width="31.81640625" style="110" customWidth="1"/>
    <col min="13" max="13" width="22.81640625" customWidth="1"/>
    <col min="14" max="14" width="26.81640625" customWidth="1"/>
    <col min="15" max="15" width="25.81640625" style="67" customWidth="1"/>
    <col min="16" max="16" width="24.7265625" style="75" customWidth="1"/>
    <col min="17" max="17" width="24.1796875" style="75" customWidth="1"/>
    <col min="18" max="19" width="15.81640625" customWidth="1"/>
    <col min="20" max="20" width="17.54296875" style="141" customWidth="1"/>
    <col min="21" max="21" width="27.1796875" style="141" bestFit="1" customWidth="1"/>
    <col min="22" max="23" width="15.81640625" style="141" customWidth="1"/>
    <col min="24" max="24" width="27.1796875" style="141" bestFit="1" customWidth="1"/>
    <col min="25" max="25" width="26.7265625" style="141" bestFit="1" customWidth="1"/>
    <col min="26" max="26" width="27.1796875" style="141" bestFit="1" customWidth="1"/>
    <col min="27" max="27" width="21.81640625" style="141" customWidth="1"/>
    <col min="28" max="28" width="20.7265625" style="141" customWidth="1"/>
    <col min="29" max="29" width="19.1796875" bestFit="1" customWidth="1"/>
    <col min="30" max="30" width="77" customWidth="1"/>
    <col min="31" max="43" width="15.81640625" hidden="1" customWidth="1"/>
    <col min="44" max="45" width="15.81640625" style="67" hidden="1" customWidth="1"/>
    <col min="46" max="47" width="15.81640625" hidden="1" customWidth="1"/>
    <col min="48" max="48" width="15.81640625" style="72" hidden="1" customWidth="1"/>
    <col min="49" max="49" width="38.6328125" style="72" bestFit="1" customWidth="1"/>
    <col min="50" max="50" width="19.36328125" style="72" bestFit="1" customWidth="1"/>
    <col min="51" max="51" width="48.36328125" style="77" bestFit="1" customWidth="1"/>
    <col min="52" max="16384" width="14.453125" style="72"/>
  </cols>
  <sheetData>
    <row r="1" spans="1:51" customFormat="1" ht="26" x14ac:dyDescent="0.6">
      <c r="A1" s="115" t="s">
        <v>0</v>
      </c>
      <c r="B1" s="2"/>
      <c r="C1" s="5"/>
      <c r="D1" s="15"/>
      <c r="E1" s="15"/>
      <c r="F1" s="19"/>
      <c r="G1" s="15"/>
      <c r="H1" s="15"/>
      <c r="I1" s="5"/>
      <c r="J1" s="15"/>
      <c r="K1" s="70"/>
      <c r="L1" s="109"/>
      <c r="M1" s="5"/>
      <c r="N1" s="5"/>
      <c r="O1" s="66"/>
      <c r="P1" s="74"/>
      <c r="Q1" s="74"/>
      <c r="R1" s="5"/>
      <c r="S1" s="5"/>
      <c r="T1" s="137"/>
      <c r="U1" s="137"/>
      <c r="V1" s="137"/>
      <c r="W1" s="137"/>
      <c r="X1" s="137"/>
      <c r="Y1" s="137"/>
      <c r="Z1" s="137"/>
      <c r="AA1" s="137"/>
      <c r="AB1" s="137"/>
      <c r="AC1" s="5"/>
      <c r="AD1" s="68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7"/>
      <c r="AS1" s="67"/>
      <c r="AV1" s="73"/>
      <c r="AY1" s="67"/>
    </row>
    <row r="2" spans="1:51" customFormat="1" ht="26" x14ac:dyDescent="0.6">
      <c r="A2" s="115" t="s">
        <v>1</v>
      </c>
      <c r="B2" s="2"/>
      <c r="C2" s="5"/>
      <c r="D2" s="15"/>
      <c r="E2" s="15"/>
      <c r="F2" s="19"/>
      <c r="G2" s="15"/>
      <c r="H2" s="15"/>
      <c r="I2" s="5"/>
      <c r="J2" s="15"/>
      <c r="K2" s="70"/>
      <c r="L2" s="109"/>
      <c r="M2" s="5"/>
      <c r="N2" s="5"/>
      <c r="O2" s="66"/>
      <c r="P2" s="74"/>
      <c r="Q2" s="74"/>
      <c r="R2" s="5"/>
      <c r="S2" s="5"/>
      <c r="T2" s="137"/>
      <c r="U2" s="137"/>
      <c r="V2" s="137"/>
      <c r="W2" s="137"/>
      <c r="X2" s="137"/>
      <c r="Y2" s="137"/>
      <c r="Z2" s="137"/>
      <c r="AA2" s="137"/>
      <c r="AB2" s="13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7"/>
      <c r="AS2" s="67"/>
      <c r="AV2" s="73"/>
      <c r="AY2" s="67"/>
    </row>
    <row r="3" spans="1:51" customFormat="1" ht="26" x14ac:dyDescent="0.6">
      <c r="A3" s="115" t="s">
        <v>2378</v>
      </c>
      <c r="B3" s="2"/>
      <c r="C3" s="5"/>
      <c r="D3" s="15"/>
      <c r="E3" s="15"/>
      <c r="F3" s="19"/>
      <c r="G3" s="15"/>
      <c r="H3" s="15"/>
      <c r="I3" s="5"/>
      <c r="J3" s="15"/>
      <c r="K3" s="70"/>
      <c r="L3" s="109"/>
      <c r="M3" s="68"/>
      <c r="N3" s="68"/>
      <c r="O3" s="66"/>
      <c r="P3" s="74"/>
      <c r="Q3" s="74"/>
      <c r="R3" s="5"/>
      <c r="S3" s="5"/>
      <c r="T3" s="137"/>
      <c r="U3" s="137"/>
      <c r="V3" s="137"/>
      <c r="W3" s="137"/>
      <c r="X3" s="137"/>
      <c r="Y3" s="137"/>
      <c r="Z3" s="137"/>
      <c r="AA3" s="137"/>
      <c r="AB3" s="137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7"/>
      <c r="AS3" s="67"/>
      <c r="AV3" s="73"/>
      <c r="AY3" s="67"/>
    </row>
    <row r="4" spans="1:51" customFormat="1" ht="26" x14ac:dyDescent="0.6">
      <c r="A4" s="115" t="s">
        <v>2566</v>
      </c>
      <c r="B4" s="2"/>
      <c r="C4" s="5"/>
      <c r="D4" s="15"/>
      <c r="E4" s="15"/>
      <c r="F4" s="19"/>
      <c r="G4" s="15"/>
      <c r="H4" s="15"/>
      <c r="I4" s="5"/>
      <c r="J4" s="15"/>
      <c r="K4" s="70"/>
      <c r="L4" s="109"/>
      <c r="M4" s="5"/>
      <c r="N4" s="5"/>
      <c r="O4" s="66"/>
      <c r="P4" s="74"/>
      <c r="Q4" s="74"/>
      <c r="R4" s="5"/>
      <c r="S4" s="5"/>
      <c r="T4" s="137"/>
      <c r="U4" s="137"/>
      <c r="V4" s="137"/>
      <c r="W4" s="137"/>
      <c r="X4" s="137"/>
      <c r="Y4" s="137"/>
      <c r="Z4" s="137"/>
      <c r="AA4" s="137"/>
      <c r="AB4" s="137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67"/>
      <c r="AS4" s="67"/>
      <c r="AV4" s="73"/>
      <c r="AY4" s="67"/>
    </row>
    <row r="5" spans="1:51" customFormat="1" ht="15.5" x14ac:dyDescent="0.35">
      <c r="B5" s="2"/>
      <c r="C5" s="5"/>
      <c r="D5" s="15"/>
      <c r="E5" s="15"/>
      <c r="F5" s="19"/>
      <c r="G5" s="15"/>
      <c r="H5" s="15"/>
      <c r="I5" s="5"/>
      <c r="J5" s="15"/>
      <c r="K5" s="70"/>
      <c r="L5" s="109"/>
      <c r="M5" s="5"/>
      <c r="N5" s="5"/>
      <c r="O5" s="66"/>
      <c r="P5" s="74"/>
      <c r="Q5" s="74"/>
      <c r="R5" s="5"/>
      <c r="S5" s="5"/>
      <c r="T5" s="137"/>
      <c r="U5" s="137"/>
      <c r="V5" s="137"/>
      <c r="W5" s="137"/>
      <c r="X5" s="137"/>
      <c r="Y5" s="137"/>
      <c r="Z5" s="137"/>
      <c r="AA5" s="137"/>
      <c r="AB5" s="137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67"/>
      <c r="AS5" s="67"/>
      <c r="AY5" s="67"/>
    </row>
    <row r="6" spans="1:51" s="126" customFormat="1" ht="28.5" x14ac:dyDescent="0.65">
      <c r="A6" s="161" t="s">
        <v>2533</v>
      </c>
      <c r="B6" s="161"/>
      <c r="C6" s="116"/>
      <c r="D6" s="117"/>
      <c r="E6" s="117"/>
      <c r="F6" s="118"/>
      <c r="G6" s="119"/>
      <c r="H6" s="120">
        <f>SUBTOTAL(9,H9:H23)</f>
        <v>14</v>
      </c>
      <c r="I6" s="120"/>
      <c r="J6" s="120"/>
      <c r="K6" s="121">
        <f>SUBTOTAL(9,K9:K23)</f>
        <v>221188598.64000002</v>
      </c>
      <c r="L6" s="122">
        <f>SUM(L9:L23)</f>
        <v>221008214.99000001</v>
      </c>
      <c r="M6" s="116"/>
      <c r="N6" s="116"/>
      <c r="O6" s="123"/>
      <c r="P6" s="124"/>
      <c r="Q6" s="124"/>
      <c r="R6" s="116"/>
      <c r="S6" s="116"/>
      <c r="T6" s="138"/>
      <c r="U6" s="138"/>
      <c r="V6" s="138"/>
      <c r="W6" s="138"/>
      <c r="X6" s="138"/>
      <c r="Y6" s="138"/>
      <c r="Z6" s="138"/>
      <c r="AA6" s="138"/>
      <c r="AB6" s="138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25"/>
      <c r="AS6" s="125"/>
      <c r="AT6" s="116"/>
      <c r="AU6" s="116"/>
      <c r="AY6" s="127"/>
    </row>
    <row r="7" spans="1:51" s="93" customFormat="1" ht="130" x14ac:dyDescent="0.6">
      <c r="A7" s="81" t="s">
        <v>2379</v>
      </c>
      <c r="B7" s="81" t="s">
        <v>4</v>
      </c>
      <c r="C7" s="81" t="s">
        <v>5</v>
      </c>
      <c r="D7" s="81" t="s">
        <v>6</v>
      </c>
      <c r="E7" s="81" t="s">
        <v>7</v>
      </c>
      <c r="F7" s="81" t="s">
        <v>8</v>
      </c>
      <c r="G7" s="81" t="s">
        <v>9</v>
      </c>
      <c r="H7" s="81" t="s">
        <v>11</v>
      </c>
      <c r="I7" s="81" t="s">
        <v>18</v>
      </c>
      <c r="J7" s="81" t="s">
        <v>2380</v>
      </c>
      <c r="K7" s="82" t="s">
        <v>2595</v>
      </c>
      <c r="L7" s="88" t="s">
        <v>2381</v>
      </c>
      <c r="M7" s="83" t="s">
        <v>2572</v>
      </c>
      <c r="N7" s="83" t="s">
        <v>2573</v>
      </c>
      <c r="O7" s="89" t="s">
        <v>2382</v>
      </c>
      <c r="P7" s="84" t="s">
        <v>2383</v>
      </c>
      <c r="Q7" s="84" t="s">
        <v>2384</v>
      </c>
      <c r="R7" s="90" t="s">
        <v>2385</v>
      </c>
      <c r="S7" s="90" t="s">
        <v>2386</v>
      </c>
      <c r="T7" s="139" t="s">
        <v>2387</v>
      </c>
      <c r="U7" s="139" t="s">
        <v>2575</v>
      </c>
      <c r="V7" s="139" t="s">
        <v>2576</v>
      </c>
      <c r="W7" s="139" t="s">
        <v>2577</v>
      </c>
      <c r="X7" s="139" t="s">
        <v>2601</v>
      </c>
      <c r="Y7" s="139" t="s">
        <v>2597</v>
      </c>
      <c r="Z7" s="139" t="s">
        <v>2598</v>
      </c>
      <c r="AA7" s="139" t="s">
        <v>2596</v>
      </c>
      <c r="AB7" s="139" t="s">
        <v>2388</v>
      </c>
      <c r="AC7" s="91" t="s">
        <v>2389</v>
      </c>
      <c r="AD7" s="92" t="s">
        <v>2390</v>
      </c>
      <c r="AE7" s="85" t="s">
        <v>2391</v>
      </c>
      <c r="AF7" s="85" t="s">
        <v>2392</v>
      </c>
      <c r="AG7" s="85" t="s">
        <v>2393</v>
      </c>
      <c r="AH7" s="85" t="s">
        <v>2394</v>
      </c>
      <c r="AI7" s="85" t="s">
        <v>2395</v>
      </c>
      <c r="AJ7" s="85" t="s">
        <v>2396</v>
      </c>
      <c r="AK7" s="85" t="s">
        <v>2397</v>
      </c>
      <c r="AL7" s="85" t="s">
        <v>2398</v>
      </c>
      <c r="AM7" s="85" t="s">
        <v>2399</v>
      </c>
      <c r="AN7" s="85" t="s">
        <v>2400</v>
      </c>
      <c r="AO7" s="85" t="s">
        <v>2401</v>
      </c>
      <c r="AP7" s="85" t="s">
        <v>2402</v>
      </c>
      <c r="AQ7" s="83" t="s">
        <v>2403</v>
      </c>
      <c r="AR7" s="86" t="s">
        <v>2404</v>
      </c>
      <c r="AS7" s="86" t="s">
        <v>2405</v>
      </c>
      <c r="AT7" s="87" t="s">
        <v>2406</v>
      </c>
      <c r="AU7" s="87" t="s">
        <v>2407</v>
      </c>
      <c r="AV7" s="81" t="s">
        <v>2408</v>
      </c>
      <c r="AW7" s="143" t="s">
        <v>2603</v>
      </c>
      <c r="AX7" s="143" t="s">
        <v>2633</v>
      </c>
      <c r="AY7" s="143" t="s">
        <v>2634</v>
      </c>
    </row>
    <row r="8" spans="1:51" s="93" customFormat="1" ht="26" x14ac:dyDescent="0.6">
      <c r="A8" s="165" t="s">
        <v>2532</v>
      </c>
      <c r="B8" s="166"/>
      <c r="C8" s="166"/>
      <c r="D8" s="166"/>
      <c r="E8" s="167"/>
      <c r="F8" s="81"/>
      <c r="G8" s="81"/>
      <c r="H8" s="81"/>
      <c r="I8" s="81"/>
      <c r="J8" s="81"/>
      <c r="K8" s="82"/>
      <c r="L8" s="144"/>
      <c r="M8" s="83"/>
      <c r="N8" s="83"/>
      <c r="O8" s="89"/>
      <c r="P8" s="84"/>
      <c r="Q8" s="84"/>
      <c r="R8" s="90"/>
      <c r="S8" s="90"/>
      <c r="T8" s="139"/>
      <c r="U8" s="139"/>
      <c r="V8" s="139"/>
      <c r="W8" s="139"/>
      <c r="X8" s="139"/>
      <c r="Y8" s="139"/>
      <c r="Z8" s="139"/>
      <c r="AA8" s="139"/>
      <c r="AB8" s="139"/>
      <c r="AC8" s="91"/>
      <c r="AD8" s="92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3"/>
      <c r="AR8" s="86"/>
      <c r="AS8" s="86"/>
      <c r="AT8" s="87"/>
      <c r="AU8" s="87"/>
      <c r="AV8" s="81"/>
      <c r="AW8" s="143"/>
      <c r="AX8" s="143"/>
      <c r="AY8" s="143"/>
    </row>
    <row r="9" spans="1:51" s="79" customFormat="1" ht="109.5" customHeight="1" x14ac:dyDescent="0.35">
      <c r="A9" s="94" t="s">
        <v>2520</v>
      </c>
      <c r="B9" s="94" t="s">
        <v>2521</v>
      </c>
      <c r="C9" s="94" t="s">
        <v>418</v>
      </c>
      <c r="D9" s="94">
        <v>100722</v>
      </c>
      <c r="E9" s="94" t="s">
        <v>2522</v>
      </c>
      <c r="F9" s="98" t="s">
        <v>2534</v>
      </c>
      <c r="G9" s="94" t="s">
        <v>2568</v>
      </c>
      <c r="H9" s="94">
        <v>1</v>
      </c>
      <c r="I9" s="96" t="s">
        <v>2581</v>
      </c>
      <c r="J9" s="94" t="s">
        <v>2532</v>
      </c>
      <c r="K9" s="130">
        <v>13802984.989999998</v>
      </c>
      <c r="L9" s="162">
        <v>107615135</v>
      </c>
      <c r="M9" s="94" t="s">
        <v>2555</v>
      </c>
      <c r="N9" s="94" t="s">
        <v>2574</v>
      </c>
      <c r="O9" s="129">
        <v>0</v>
      </c>
      <c r="P9" s="114" t="s">
        <v>2562</v>
      </c>
      <c r="Q9" s="112"/>
      <c r="R9" s="95"/>
      <c r="S9" s="98" t="s">
        <v>2561</v>
      </c>
      <c r="T9" s="140" t="s">
        <v>2600</v>
      </c>
      <c r="U9" s="140" t="s">
        <v>2600</v>
      </c>
      <c r="V9" s="140" t="s">
        <v>2600</v>
      </c>
      <c r="W9" s="140" t="s">
        <v>2600</v>
      </c>
      <c r="X9" s="140" t="s">
        <v>2602</v>
      </c>
      <c r="Y9" s="140" t="s">
        <v>2599</v>
      </c>
      <c r="Z9" s="140" t="s">
        <v>2563</v>
      </c>
      <c r="AA9" s="140" t="s">
        <v>2558</v>
      </c>
      <c r="AB9" s="140" t="s">
        <v>2557</v>
      </c>
      <c r="AC9" s="98" t="s">
        <v>2556</v>
      </c>
      <c r="AD9" s="94" t="s">
        <v>2565</v>
      </c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111"/>
      <c r="AS9" s="111"/>
      <c r="AT9" s="95"/>
      <c r="AU9" s="95"/>
      <c r="AV9" s="95"/>
      <c r="AW9" s="95" t="s">
        <v>2616</v>
      </c>
      <c r="AX9" s="133" t="s">
        <v>2617</v>
      </c>
      <c r="AY9" s="132" t="s">
        <v>2618</v>
      </c>
    </row>
    <row r="10" spans="1:51" customFormat="1" ht="109.5" customHeight="1" x14ac:dyDescent="0.35">
      <c r="A10" s="94" t="s">
        <v>2520</v>
      </c>
      <c r="B10" s="94" t="s">
        <v>2521</v>
      </c>
      <c r="C10" s="94" t="s">
        <v>418</v>
      </c>
      <c r="D10" s="94">
        <v>100475</v>
      </c>
      <c r="E10" s="94" t="s">
        <v>2523</v>
      </c>
      <c r="F10" s="98" t="s">
        <v>2535</v>
      </c>
      <c r="G10" s="94" t="s">
        <v>2568</v>
      </c>
      <c r="H10" s="94">
        <v>1</v>
      </c>
      <c r="I10" s="96" t="s">
        <v>2582</v>
      </c>
      <c r="J10" s="94" t="s">
        <v>2532</v>
      </c>
      <c r="K10" s="130">
        <v>13802984.989999998</v>
      </c>
      <c r="L10" s="163"/>
      <c r="M10" s="94" t="s">
        <v>2555</v>
      </c>
      <c r="N10" s="94" t="s">
        <v>2574</v>
      </c>
      <c r="O10" s="129">
        <v>0</v>
      </c>
      <c r="P10" s="114" t="s">
        <v>2562</v>
      </c>
      <c r="Q10" s="105"/>
      <c r="R10" s="99"/>
      <c r="S10" s="98" t="s">
        <v>2561</v>
      </c>
      <c r="T10" s="140" t="s">
        <v>2600</v>
      </c>
      <c r="U10" s="140" t="s">
        <v>2600</v>
      </c>
      <c r="V10" s="140" t="s">
        <v>2600</v>
      </c>
      <c r="W10" s="140" t="s">
        <v>2600</v>
      </c>
      <c r="X10" s="140" t="s">
        <v>2602</v>
      </c>
      <c r="Y10" s="140" t="s">
        <v>2599</v>
      </c>
      <c r="Z10" s="140" t="s">
        <v>2563</v>
      </c>
      <c r="AA10" s="140" t="s">
        <v>2558</v>
      </c>
      <c r="AB10" s="140" t="s">
        <v>2557</v>
      </c>
      <c r="AC10" s="98" t="s">
        <v>2556</v>
      </c>
      <c r="AD10" s="94" t="s">
        <v>2565</v>
      </c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104"/>
      <c r="AS10" s="104"/>
      <c r="AT10" s="99"/>
      <c r="AU10" s="99"/>
      <c r="AV10" s="99"/>
      <c r="AW10" s="95" t="s">
        <v>2616</v>
      </c>
      <c r="AX10" s="133" t="s">
        <v>2617</v>
      </c>
      <c r="AY10" s="132" t="s">
        <v>2618</v>
      </c>
    </row>
    <row r="11" spans="1:51" customFormat="1" ht="109.5" customHeight="1" x14ac:dyDescent="0.35">
      <c r="A11" s="94" t="s">
        <v>2520</v>
      </c>
      <c r="B11" s="94" t="s">
        <v>2521</v>
      </c>
      <c r="C11" s="94" t="s">
        <v>442</v>
      </c>
      <c r="D11" s="94">
        <v>100992</v>
      </c>
      <c r="E11" s="94" t="s">
        <v>503</v>
      </c>
      <c r="F11" s="98" t="s">
        <v>2536</v>
      </c>
      <c r="G11" s="94" t="s">
        <v>2568</v>
      </c>
      <c r="H11" s="94">
        <v>1</v>
      </c>
      <c r="I11" s="96" t="s">
        <v>2583</v>
      </c>
      <c r="J11" s="94" t="s">
        <v>2532</v>
      </c>
      <c r="K11" s="130">
        <v>13802984.989999998</v>
      </c>
      <c r="L11" s="163"/>
      <c r="M11" s="94" t="s">
        <v>2555</v>
      </c>
      <c r="N11" s="94" t="s">
        <v>2574</v>
      </c>
      <c r="O11" s="129">
        <v>0</v>
      </c>
      <c r="P11" s="114" t="s">
        <v>2562</v>
      </c>
      <c r="Q11" s="105"/>
      <c r="R11" s="99"/>
      <c r="S11" s="98" t="s">
        <v>2561</v>
      </c>
      <c r="T11" s="140" t="s">
        <v>2600</v>
      </c>
      <c r="U11" s="140" t="s">
        <v>2600</v>
      </c>
      <c r="V11" s="140" t="s">
        <v>2600</v>
      </c>
      <c r="W11" s="140" t="s">
        <v>2600</v>
      </c>
      <c r="X11" s="140" t="s">
        <v>2602</v>
      </c>
      <c r="Y11" s="140" t="s">
        <v>2599</v>
      </c>
      <c r="Z11" s="140" t="s">
        <v>2563</v>
      </c>
      <c r="AA11" s="140" t="s">
        <v>2558</v>
      </c>
      <c r="AB11" s="140" t="s">
        <v>2557</v>
      </c>
      <c r="AC11" s="98" t="s">
        <v>2556</v>
      </c>
      <c r="AD11" s="94" t="s">
        <v>2565</v>
      </c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104"/>
      <c r="AS11" s="104"/>
      <c r="AT11" s="99"/>
      <c r="AU11" s="99"/>
      <c r="AV11" s="99"/>
      <c r="AW11" s="131" t="s">
        <v>2619</v>
      </c>
      <c r="AX11" s="133" t="s">
        <v>2620</v>
      </c>
      <c r="AY11" s="132" t="s">
        <v>2621</v>
      </c>
    </row>
    <row r="12" spans="1:51" customFormat="1" ht="109.5" customHeight="1" x14ac:dyDescent="0.35">
      <c r="A12" s="94" t="s">
        <v>2520</v>
      </c>
      <c r="B12" s="94" t="s">
        <v>2531</v>
      </c>
      <c r="C12" s="94" t="s">
        <v>583</v>
      </c>
      <c r="D12" s="94">
        <v>104069</v>
      </c>
      <c r="E12" s="94" t="s">
        <v>2524</v>
      </c>
      <c r="F12" s="98" t="s">
        <v>2537</v>
      </c>
      <c r="G12" s="128" t="s">
        <v>2569</v>
      </c>
      <c r="H12" s="94">
        <v>1</v>
      </c>
      <c r="I12" s="96" t="s">
        <v>2584</v>
      </c>
      <c r="J12" s="94" t="s">
        <v>2532</v>
      </c>
      <c r="K12" s="130">
        <v>10773230.02</v>
      </c>
      <c r="L12" s="163"/>
      <c r="M12" s="94" t="s">
        <v>2555</v>
      </c>
      <c r="N12" s="94" t="s">
        <v>2574</v>
      </c>
      <c r="O12" s="129">
        <v>0</v>
      </c>
      <c r="P12" s="114" t="s">
        <v>2562</v>
      </c>
      <c r="Q12" s="105"/>
      <c r="R12" s="99"/>
      <c r="S12" s="98" t="s">
        <v>2561</v>
      </c>
      <c r="T12" s="140" t="s">
        <v>2600</v>
      </c>
      <c r="U12" s="140" t="s">
        <v>2600</v>
      </c>
      <c r="V12" s="140" t="s">
        <v>2600</v>
      </c>
      <c r="W12" s="140" t="s">
        <v>2600</v>
      </c>
      <c r="X12" s="140" t="s">
        <v>2602</v>
      </c>
      <c r="Y12" s="140" t="s">
        <v>2599</v>
      </c>
      <c r="Z12" s="140" t="s">
        <v>2563</v>
      </c>
      <c r="AA12" s="140" t="s">
        <v>2558</v>
      </c>
      <c r="AB12" s="140" t="s">
        <v>2557</v>
      </c>
      <c r="AC12" s="98" t="s">
        <v>2556</v>
      </c>
      <c r="AD12" s="94" t="s">
        <v>2565</v>
      </c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104"/>
      <c r="AS12" s="104"/>
      <c r="AT12" s="99"/>
      <c r="AU12" s="99"/>
      <c r="AV12" s="99"/>
      <c r="AW12" s="131" t="s">
        <v>2622</v>
      </c>
      <c r="AX12" s="94" t="s">
        <v>2623</v>
      </c>
      <c r="AY12" s="132" t="s">
        <v>2624</v>
      </c>
    </row>
    <row r="13" spans="1:51" customFormat="1" ht="109.5" customHeight="1" x14ac:dyDescent="0.35">
      <c r="A13" s="94" t="s">
        <v>2520</v>
      </c>
      <c r="B13" s="94" t="s">
        <v>2531</v>
      </c>
      <c r="C13" s="94" t="s">
        <v>583</v>
      </c>
      <c r="D13" s="94">
        <v>104028</v>
      </c>
      <c r="E13" s="94" t="s">
        <v>2525</v>
      </c>
      <c r="F13" s="100" t="s">
        <v>2538</v>
      </c>
      <c r="G13" s="128" t="s">
        <v>2569</v>
      </c>
      <c r="H13" s="94">
        <v>1</v>
      </c>
      <c r="I13" s="96" t="s">
        <v>2585</v>
      </c>
      <c r="J13" s="94" t="s">
        <v>2532</v>
      </c>
      <c r="K13" s="130">
        <v>14977950.009999998</v>
      </c>
      <c r="L13" s="163"/>
      <c r="M13" s="94" t="s">
        <v>2555</v>
      </c>
      <c r="N13" s="94" t="s">
        <v>2574</v>
      </c>
      <c r="O13" s="129">
        <v>0</v>
      </c>
      <c r="P13" s="114" t="s">
        <v>2562</v>
      </c>
      <c r="Q13" s="105"/>
      <c r="R13" s="99"/>
      <c r="S13" s="98" t="s">
        <v>2561</v>
      </c>
      <c r="T13" s="140" t="s">
        <v>2600</v>
      </c>
      <c r="U13" s="140" t="s">
        <v>2600</v>
      </c>
      <c r="V13" s="140" t="s">
        <v>2600</v>
      </c>
      <c r="W13" s="140" t="s">
        <v>2600</v>
      </c>
      <c r="X13" s="140" t="s">
        <v>2602</v>
      </c>
      <c r="Y13" s="140" t="s">
        <v>2599</v>
      </c>
      <c r="Z13" s="140" t="s">
        <v>2563</v>
      </c>
      <c r="AA13" s="140" t="s">
        <v>2558</v>
      </c>
      <c r="AB13" s="140" t="s">
        <v>2557</v>
      </c>
      <c r="AC13" s="98" t="s">
        <v>2556</v>
      </c>
      <c r="AD13" s="94" t="s">
        <v>2565</v>
      </c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104"/>
      <c r="AS13" s="104"/>
      <c r="AT13" s="99"/>
      <c r="AU13" s="99"/>
      <c r="AV13" s="99"/>
      <c r="AW13" s="131" t="s">
        <v>2622</v>
      </c>
      <c r="AX13" s="94" t="s">
        <v>2623</v>
      </c>
      <c r="AY13" s="132" t="s">
        <v>2624</v>
      </c>
    </row>
    <row r="14" spans="1:51" customFormat="1" ht="109.5" customHeight="1" x14ac:dyDescent="0.35">
      <c r="A14" s="94" t="s">
        <v>2520</v>
      </c>
      <c r="B14" s="94" t="s">
        <v>2530</v>
      </c>
      <c r="C14" s="94" t="s">
        <v>2412</v>
      </c>
      <c r="D14" s="94">
        <v>105071</v>
      </c>
      <c r="E14" s="94" t="s">
        <v>2526</v>
      </c>
      <c r="F14" s="100" t="s">
        <v>2539</v>
      </c>
      <c r="G14" s="94" t="s">
        <v>2570</v>
      </c>
      <c r="H14" s="94">
        <v>1</v>
      </c>
      <c r="I14" s="96" t="s">
        <v>2586</v>
      </c>
      <c r="J14" s="94" t="s">
        <v>2532</v>
      </c>
      <c r="K14" s="130">
        <v>10694159.98</v>
      </c>
      <c r="L14" s="163"/>
      <c r="M14" s="94" t="s">
        <v>2555</v>
      </c>
      <c r="N14" s="94" t="s">
        <v>2574</v>
      </c>
      <c r="O14" s="129">
        <v>0</v>
      </c>
      <c r="P14" s="114" t="s">
        <v>2562</v>
      </c>
      <c r="Q14" s="105"/>
      <c r="R14" s="99"/>
      <c r="S14" s="98" t="s">
        <v>2561</v>
      </c>
      <c r="T14" s="140" t="s">
        <v>2600</v>
      </c>
      <c r="U14" s="140" t="s">
        <v>2600</v>
      </c>
      <c r="V14" s="140" t="s">
        <v>2600</v>
      </c>
      <c r="W14" s="140" t="s">
        <v>2600</v>
      </c>
      <c r="X14" s="140" t="s">
        <v>2602</v>
      </c>
      <c r="Y14" s="140" t="s">
        <v>2599</v>
      </c>
      <c r="Z14" s="140" t="s">
        <v>2563</v>
      </c>
      <c r="AA14" s="140" t="s">
        <v>2558</v>
      </c>
      <c r="AB14" s="140" t="s">
        <v>2557</v>
      </c>
      <c r="AC14" s="98" t="s">
        <v>2556</v>
      </c>
      <c r="AD14" s="94" t="s">
        <v>2565</v>
      </c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104"/>
      <c r="AS14" s="104"/>
      <c r="AT14" s="99"/>
      <c r="AU14" s="99"/>
      <c r="AV14" s="99"/>
      <c r="AW14" s="131" t="s">
        <v>2625</v>
      </c>
      <c r="AX14" s="94" t="s">
        <v>2626</v>
      </c>
      <c r="AY14" s="132" t="s">
        <v>2627</v>
      </c>
    </row>
    <row r="15" spans="1:51" customFormat="1" ht="109.5" customHeight="1" x14ac:dyDescent="0.35">
      <c r="A15" s="94" t="s">
        <v>2520</v>
      </c>
      <c r="B15" s="94" t="s">
        <v>2529</v>
      </c>
      <c r="C15" s="94" t="s">
        <v>1243</v>
      </c>
      <c r="D15" s="94">
        <v>112663</v>
      </c>
      <c r="E15" s="94" t="s">
        <v>2527</v>
      </c>
      <c r="F15" s="100" t="s">
        <v>2540</v>
      </c>
      <c r="G15" s="94" t="s">
        <v>2571</v>
      </c>
      <c r="H15" s="94">
        <v>1</v>
      </c>
      <c r="I15" s="96" t="s">
        <v>2587</v>
      </c>
      <c r="J15" s="94" t="s">
        <v>2532</v>
      </c>
      <c r="K15" s="130">
        <v>14880420.02</v>
      </c>
      <c r="L15" s="163"/>
      <c r="M15" s="94" t="s">
        <v>2555</v>
      </c>
      <c r="N15" s="94" t="s">
        <v>2574</v>
      </c>
      <c r="O15" s="129">
        <v>0</v>
      </c>
      <c r="P15" s="114" t="s">
        <v>2562</v>
      </c>
      <c r="Q15" s="105"/>
      <c r="R15" s="99"/>
      <c r="S15" s="98" t="s">
        <v>2561</v>
      </c>
      <c r="T15" s="140" t="s">
        <v>2600</v>
      </c>
      <c r="U15" s="140" t="s">
        <v>2600</v>
      </c>
      <c r="V15" s="140" t="s">
        <v>2600</v>
      </c>
      <c r="W15" s="140" t="s">
        <v>2600</v>
      </c>
      <c r="X15" s="140" t="s">
        <v>2602</v>
      </c>
      <c r="Y15" s="140" t="s">
        <v>2599</v>
      </c>
      <c r="Z15" s="140" t="s">
        <v>2563</v>
      </c>
      <c r="AA15" s="140" t="s">
        <v>2558</v>
      </c>
      <c r="AB15" s="140" t="s">
        <v>2557</v>
      </c>
      <c r="AC15" s="98" t="s">
        <v>2556</v>
      </c>
      <c r="AD15" s="94" t="s">
        <v>2565</v>
      </c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104"/>
      <c r="AS15" s="104"/>
      <c r="AT15" s="99"/>
      <c r="AU15" s="99"/>
      <c r="AV15" s="99"/>
      <c r="AW15" s="131" t="s">
        <v>2628</v>
      </c>
      <c r="AX15" s="94" t="s">
        <v>2629</v>
      </c>
      <c r="AY15" s="132" t="s">
        <v>2615</v>
      </c>
    </row>
    <row r="16" spans="1:51" ht="109.5" customHeight="1" x14ac:dyDescent="0.35">
      <c r="A16" s="101" t="s">
        <v>2520</v>
      </c>
      <c r="B16" s="101" t="s">
        <v>2529</v>
      </c>
      <c r="C16" s="101" t="s">
        <v>1243</v>
      </c>
      <c r="D16" s="101">
        <v>113141</v>
      </c>
      <c r="E16" s="101" t="s">
        <v>2528</v>
      </c>
      <c r="F16" s="102" t="s">
        <v>2541</v>
      </c>
      <c r="G16" s="94" t="s">
        <v>2571</v>
      </c>
      <c r="H16" s="101">
        <v>1</v>
      </c>
      <c r="I16" s="96" t="s">
        <v>2588</v>
      </c>
      <c r="J16" s="101" t="s">
        <v>2532</v>
      </c>
      <c r="K16" s="130">
        <v>14880420.02</v>
      </c>
      <c r="L16" s="164"/>
      <c r="M16" s="94" t="s">
        <v>2555</v>
      </c>
      <c r="N16" s="94" t="s">
        <v>2574</v>
      </c>
      <c r="O16" s="129">
        <v>0</v>
      </c>
      <c r="P16" s="114" t="s">
        <v>2562</v>
      </c>
      <c r="Q16" s="105"/>
      <c r="R16" s="99"/>
      <c r="S16" s="98" t="s">
        <v>2561</v>
      </c>
      <c r="T16" s="140" t="s">
        <v>2600</v>
      </c>
      <c r="U16" s="140" t="s">
        <v>2600</v>
      </c>
      <c r="V16" s="140" t="s">
        <v>2600</v>
      </c>
      <c r="W16" s="140" t="s">
        <v>2600</v>
      </c>
      <c r="X16" s="140" t="s">
        <v>2602</v>
      </c>
      <c r="Y16" s="140" t="s">
        <v>2599</v>
      </c>
      <c r="Z16" s="140" t="s">
        <v>2563</v>
      </c>
      <c r="AA16" s="140" t="s">
        <v>2558</v>
      </c>
      <c r="AB16" s="140" t="s">
        <v>2557</v>
      </c>
      <c r="AC16" s="98" t="s">
        <v>2556</v>
      </c>
      <c r="AD16" s="94" t="s">
        <v>2565</v>
      </c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104"/>
      <c r="AS16" s="104"/>
      <c r="AT16" s="99"/>
      <c r="AU16" s="99"/>
      <c r="AV16" s="99"/>
      <c r="AW16" s="131" t="s">
        <v>2628</v>
      </c>
      <c r="AX16" s="94" t="s">
        <v>2629</v>
      </c>
      <c r="AY16" s="132" t="s">
        <v>2615</v>
      </c>
    </row>
    <row r="17" spans="1:52" s="71" customFormat="1" ht="109.5" customHeight="1" x14ac:dyDescent="0.5">
      <c r="A17" s="101" t="s">
        <v>2520</v>
      </c>
      <c r="B17" s="103" t="s">
        <v>2521</v>
      </c>
      <c r="C17" s="103" t="s">
        <v>413</v>
      </c>
      <c r="D17" s="103">
        <v>100165</v>
      </c>
      <c r="E17" s="103" t="s">
        <v>2542</v>
      </c>
      <c r="F17" s="98" t="s">
        <v>2543</v>
      </c>
      <c r="G17" s="94" t="s">
        <v>2567</v>
      </c>
      <c r="H17" s="101">
        <v>1</v>
      </c>
      <c r="I17" s="96" t="s">
        <v>2589</v>
      </c>
      <c r="J17" s="94" t="s">
        <v>2554</v>
      </c>
      <c r="K17" s="130">
        <v>19564522.91</v>
      </c>
      <c r="L17" s="162">
        <v>113393079.98999999</v>
      </c>
      <c r="M17" s="94" t="s">
        <v>2555</v>
      </c>
      <c r="N17" s="94" t="s">
        <v>2574</v>
      </c>
      <c r="O17" s="129">
        <v>0</v>
      </c>
      <c r="P17" s="114" t="s">
        <v>2562</v>
      </c>
      <c r="Q17" s="107"/>
      <c r="R17" s="97"/>
      <c r="S17" s="98" t="s">
        <v>2560</v>
      </c>
      <c r="T17" s="140" t="s">
        <v>2564</v>
      </c>
      <c r="U17" s="140" t="s">
        <v>2578</v>
      </c>
      <c r="V17" s="140" t="s">
        <v>2559</v>
      </c>
      <c r="W17" s="140" t="s">
        <v>2579</v>
      </c>
      <c r="X17" s="140" t="s">
        <v>2600</v>
      </c>
      <c r="Y17" s="140" t="s">
        <v>2600</v>
      </c>
      <c r="Z17" s="140" t="s">
        <v>2600</v>
      </c>
      <c r="AA17" s="140" t="s">
        <v>2558</v>
      </c>
      <c r="AB17" s="140" t="s">
        <v>2557</v>
      </c>
      <c r="AC17" s="98" t="s">
        <v>2556</v>
      </c>
      <c r="AD17" s="94" t="s">
        <v>2565</v>
      </c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106"/>
      <c r="AS17" s="106"/>
      <c r="AT17" s="97"/>
      <c r="AU17" s="97"/>
      <c r="AV17" s="113"/>
      <c r="AW17" s="131" t="s">
        <v>2630</v>
      </c>
      <c r="AX17" s="134" t="s">
        <v>2631</v>
      </c>
      <c r="AY17" s="135" t="s">
        <v>2632</v>
      </c>
      <c r="AZ17" s="136"/>
    </row>
    <row r="18" spans="1:52" s="160" customFormat="1" ht="26" x14ac:dyDescent="0.5">
      <c r="A18" s="168" t="s">
        <v>2554</v>
      </c>
      <c r="B18" s="169"/>
      <c r="C18" s="169"/>
      <c r="D18" s="169"/>
      <c r="E18" s="170"/>
      <c r="F18" s="146"/>
      <c r="G18" s="147"/>
      <c r="H18" s="148"/>
      <c r="I18" s="149"/>
      <c r="J18" s="147"/>
      <c r="K18" s="150"/>
      <c r="L18" s="163"/>
      <c r="M18" s="147"/>
      <c r="N18" s="147"/>
      <c r="O18" s="151"/>
      <c r="P18" s="152"/>
      <c r="Q18" s="153"/>
      <c r="R18" s="154"/>
      <c r="S18" s="146"/>
      <c r="T18" s="155"/>
      <c r="U18" s="155"/>
      <c r="V18" s="155"/>
      <c r="W18" s="155"/>
      <c r="X18" s="155"/>
      <c r="Y18" s="155"/>
      <c r="Z18" s="155"/>
      <c r="AA18" s="155"/>
      <c r="AB18" s="155"/>
      <c r="AC18" s="146"/>
      <c r="AD18" s="147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6"/>
      <c r="AS18" s="156"/>
      <c r="AT18" s="154"/>
      <c r="AU18" s="154"/>
      <c r="AV18" s="157"/>
      <c r="AW18" s="158"/>
      <c r="AX18" s="147"/>
      <c r="AY18" s="159"/>
    </row>
    <row r="19" spans="1:52" s="71" customFormat="1" ht="109.5" customHeight="1" x14ac:dyDescent="0.5">
      <c r="A19" s="101" t="s">
        <v>2520</v>
      </c>
      <c r="B19" s="94" t="s">
        <v>2530</v>
      </c>
      <c r="C19" s="145" t="s">
        <v>635</v>
      </c>
      <c r="D19" s="94">
        <v>157502</v>
      </c>
      <c r="E19" s="94" t="s">
        <v>2546</v>
      </c>
      <c r="F19" s="98" t="s">
        <v>2550</v>
      </c>
      <c r="G19" s="94" t="s">
        <v>2567</v>
      </c>
      <c r="H19" s="101">
        <v>1</v>
      </c>
      <c r="I19" s="96" t="s">
        <v>2590</v>
      </c>
      <c r="J19" s="94" t="s">
        <v>2554</v>
      </c>
      <c r="K19" s="130">
        <v>15787739.9</v>
      </c>
      <c r="L19" s="163"/>
      <c r="M19" s="94" t="s">
        <v>2555</v>
      </c>
      <c r="N19" s="94" t="s">
        <v>2574</v>
      </c>
      <c r="O19" s="129">
        <v>0</v>
      </c>
      <c r="P19" s="114" t="s">
        <v>2562</v>
      </c>
      <c r="Q19" s="107"/>
      <c r="R19" s="97"/>
      <c r="S19" s="98" t="s">
        <v>2560</v>
      </c>
      <c r="T19" s="140" t="s">
        <v>2564</v>
      </c>
      <c r="U19" s="140" t="s">
        <v>2578</v>
      </c>
      <c r="V19" s="140" t="s">
        <v>2559</v>
      </c>
      <c r="W19" s="140" t="s">
        <v>2579</v>
      </c>
      <c r="X19" s="140" t="s">
        <v>2600</v>
      </c>
      <c r="Y19" s="140" t="s">
        <v>2600</v>
      </c>
      <c r="Z19" s="140" t="s">
        <v>2600</v>
      </c>
      <c r="AA19" s="140" t="s">
        <v>2558</v>
      </c>
      <c r="AB19" s="140" t="s">
        <v>2557</v>
      </c>
      <c r="AC19" s="98" t="s">
        <v>2556</v>
      </c>
      <c r="AD19" s="94" t="s">
        <v>2565</v>
      </c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106"/>
      <c r="AS19" s="106"/>
      <c r="AT19" s="97"/>
      <c r="AU19" s="97"/>
      <c r="AV19" s="113"/>
      <c r="AW19" s="131" t="s">
        <v>2604</v>
      </c>
      <c r="AX19" s="94" t="s">
        <v>2605</v>
      </c>
      <c r="AY19" s="132" t="s">
        <v>2606</v>
      </c>
    </row>
    <row r="20" spans="1:52" s="71" customFormat="1" ht="109.5" customHeight="1" x14ac:dyDescent="0.5">
      <c r="A20" s="101" t="s">
        <v>2520</v>
      </c>
      <c r="B20" s="94" t="s">
        <v>2530</v>
      </c>
      <c r="C20" s="94" t="s">
        <v>635</v>
      </c>
      <c r="D20" s="94">
        <v>502642</v>
      </c>
      <c r="E20" s="94" t="s">
        <v>2424</v>
      </c>
      <c r="F20" s="98" t="s">
        <v>2580</v>
      </c>
      <c r="G20" s="94" t="s">
        <v>2567</v>
      </c>
      <c r="H20" s="101">
        <v>1</v>
      </c>
      <c r="I20" s="96" t="s">
        <v>2591</v>
      </c>
      <c r="J20" s="94" t="s">
        <v>2554</v>
      </c>
      <c r="K20" s="130">
        <v>15787739.9</v>
      </c>
      <c r="L20" s="163"/>
      <c r="M20" s="94" t="s">
        <v>2555</v>
      </c>
      <c r="N20" s="94" t="s">
        <v>2574</v>
      </c>
      <c r="O20" s="129">
        <v>0</v>
      </c>
      <c r="P20" s="114" t="s">
        <v>2562</v>
      </c>
      <c r="Q20" s="107"/>
      <c r="R20" s="97"/>
      <c r="S20" s="98" t="s">
        <v>2560</v>
      </c>
      <c r="T20" s="140" t="s">
        <v>2564</v>
      </c>
      <c r="U20" s="140" t="s">
        <v>2578</v>
      </c>
      <c r="V20" s="140" t="s">
        <v>2559</v>
      </c>
      <c r="W20" s="140" t="s">
        <v>2579</v>
      </c>
      <c r="X20" s="140" t="s">
        <v>2600</v>
      </c>
      <c r="Y20" s="140" t="s">
        <v>2600</v>
      </c>
      <c r="Z20" s="140" t="s">
        <v>2600</v>
      </c>
      <c r="AA20" s="140" t="s">
        <v>2558</v>
      </c>
      <c r="AB20" s="140" t="s">
        <v>2557</v>
      </c>
      <c r="AC20" s="98" t="s">
        <v>2556</v>
      </c>
      <c r="AD20" s="94" t="s">
        <v>2565</v>
      </c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106"/>
      <c r="AS20" s="106"/>
      <c r="AT20" s="97"/>
      <c r="AU20" s="97"/>
      <c r="AV20" s="113"/>
      <c r="AW20" s="131" t="s">
        <v>2604</v>
      </c>
      <c r="AX20" s="94" t="s">
        <v>2605</v>
      </c>
      <c r="AY20" s="132" t="s">
        <v>2606</v>
      </c>
    </row>
    <row r="21" spans="1:52" s="71" customFormat="1" ht="109.5" customHeight="1" x14ac:dyDescent="0.5">
      <c r="A21" s="101" t="s">
        <v>2520</v>
      </c>
      <c r="B21" s="94" t="s">
        <v>2544</v>
      </c>
      <c r="C21" s="94" t="s">
        <v>683</v>
      </c>
      <c r="D21" s="94">
        <v>107275</v>
      </c>
      <c r="E21" s="94" t="s">
        <v>2547</v>
      </c>
      <c r="F21" s="98" t="s">
        <v>2551</v>
      </c>
      <c r="G21" s="94" t="s">
        <v>2568</v>
      </c>
      <c r="H21" s="101">
        <v>1</v>
      </c>
      <c r="I21" s="96" t="s">
        <v>2592</v>
      </c>
      <c r="J21" s="94" t="s">
        <v>2554</v>
      </c>
      <c r="K21" s="130">
        <v>18406353.800000001</v>
      </c>
      <c r="L21" s="163"/>
      <c r="M21" s="94" t="s">
        <v>2555</v>
      </c>
      <c r="N21" s="94" t="s">
        <v>2574</v>
      </c>
      <c r="O21" s="129">
        <v>0</v>
      </c>
      <c r="P21" s="114" t="s">
        <v>2562</v>
      </c>
      <c r="Q21" s="107"/>
      <c r="R21" s="97"/>
      <c r="S21" s="98" t="s">
        <v>2560</v>
      </c>
      <c r="T21" s="140" t="s">
        <v>2564</v>
      </c>
      <c r="U21" s="140" t="s">
        <v>2578</v>
      </c>
      <c r="V21" s="140" t="s">
        <v>2559</v>
      </c>
      <c r="W21" s="140" t="s">
        <v>2579</v>
      </c>
      <c r="X21" s="140" t="s">
        <v>2600</v>
      </c>
      <c r="Y21" s="140" t="s">
        <v>2600</v>
      </c>
      <c r="Z21" s="140" t="s">
        <v>2600</v>
      </c>
      <c r="AA21" s="140" t="s">
        <v>2558</v>
      </c>
      <c r="AB21" s="140" t="s">
        <v>2557</v>
      </c>
      <c r="AC21" s="98" t="s">
        <v>2556</v>
      </c>
      <c r="AD21" s="94" t="s">
        <v>2565</v>
      </c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106"/>
      <c r="AS21" s="106"/>
      <c r="AT21" s="97"/>
      <c r="AU21" s="97"/>
      <c r="AV21" s="113"/>
      <c r="AW21" s="131" t="s">
        <v>2607</v>
      </c>
      <c r="AX21" s="94" t="s">
        <v>2608</v>
      </c>
      <c r="AY21" s="132" t="s">
        <v>2609</v>
      </c>
    </row>
    <row r="22" spans="1:52" s="71" customFormat="1" ht="109.5" customHeight="1" x14ac:dyDescent="0.5">
      <c r="A22" s="101" t="s">
        <v>2520</v>
      </c>
      <c r="B22" s="94" t="s">
        <v>2544</v>
      </c>
      <c r="C22" s="94" t="s">
        <v>700</v>
      </c>
      <c r="D22" s="94">
        <v>108739</v>
      </c>
      <c r="E22" s="94" t="s">
        <v>2548</v>
      </c>
      <c r="F22" s="98" t="s">
        <v>2552</v>
      </c>
      <c r="G22" s="94" t="s">
        <v>2567</v>
      </c>
      <c r="H22" s="101">
        <v>1</v>
      </c>
      <c r="I22" s="96" t="s">
        <v>2593</v>
      </c>
      <c r="J22" s="94" t="s">
        <v>2554</v>
      </c>
      <c r="K22" s="130">
        <v>22291771.559999999</v>
      </c>
      <c r="L22" s="163"/>
      <c r="M22" s="94" t="s">
        <v>2555</v>
      </c>
      <c r="N22" s="94" t="s">
        <v>2574</v>
      </c>
      <c r="O22" s="129">
        <v>0</v>
      </c>
      <c r="P22" s="114" t="s">
        <v>2562</v>
      </c>
      <c r="Q22" s="107"/>
      <c r="R22" s="97"/>
      <c r="S22" s="98" t="s">
        <v>2560</v>
      </c>
      <c r="T22" s="140" t="s">
        <v>2564</v>
      </c>
      <c r="U22" s="140" t="s">
        <v>2578</v>
      </c>
      <c r="V22" s="140" t="s">
        <v>2559</v>
      </c>
      <c r="W22" s="140" t="s">
        <v>2579</v>
      </c>
      <c r="X22" s="140" t="s">
        <v>2600</v>
      </c>
      <c r="Y22" s="140" t="s">
        <v>2600</v>
      </c>
      <c r="Z22" s="140" t="s">
        <v>2600</v>
      </c>
      <c r="AA22" s="140" t="s">
        <v>2558</v>
      </c>
      <c r="AB22" s="140" t="s">
        <v>2557</v>
      </c>
      <c r="AC22" s="98" t="s">
        <v>2556</v>
      </c>
      <c r="AD22" s="94" t="s">
        <v>2565</v>
      </c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106"/>
      <c r="AS22" s="106"/>
      <c r="AT22" s="97"/>
      <c r="AU22" s="97"/>
      <c r="AV22" s="113"/>
      <c r="AW22" s="131" t="s">
        <v>2610</v>
      </c>
      <c r="AX22" s="94" t="s">
        <v>2611</v>
      </c>
      <c r="AY22" s="132" t="s">
        <v>2612</v>
      </c>
    </row>
    <row r="23" spans="1:52" s="71" customFormat="1" ht="109.5" customHeight="1" x14ac:dyDescent="0.5">
      <c r="A23" s="94" t="s">
        <v>2520</v>
      </c>
      <c r="B23" s="94" t="s">
        <v>2545</v>
      </c>
      <c r="C23" s="94" t="s">
        <v>836</v>
      </c>
      <c r="D23" s="94">
        <v>137214</v>
      </c>
      <c r="E23" s="94" t="s">
        <v>2549</v>
      </c>
      <c r="F23" s="98" t="s">
        <v>2553</v>
      </c>
      <c r="G23" s="94" t="s">
        <v>2568</v>
      </c>
      <c r="H23" s="94">
        <v>1</v>
      </c>
      <c r="I23" s="96" t="s">
        <v>2594</v>
      </c>
      <c r="J23" s="94" t="s">
        <v>2554</v>
      </c>
      <c r="K23" s="130">
        <v>21735335.550000001</v>
      </c>
      <c r="L23" s="164"/>
      <c r="M23" s="94" t="s">
        <v>2555</v>
      </c>
      <c r="N23" s="94" t="s">
        <v>2574</v>
      </c>
      <c r="O23" s="129">
        <v>0</v>
      </c>
      <c r="P23" s="114" t="s">
        <v>2562</v>
      </c>
      <c r="Q23" s="107"/>
      <c r="R23" s="97"/>
      <c r="S23" s="98" t="s">
        <v>2560</v>
      </c>
      <c r="T23" s="140" t="s">
        <v>2564</v>
      </c>
      <c r="U23" s="140" t="s">
        <v>2578</v>
      </c>
      <c r="V23" s="140" t="s">
        <v>2559</v>
      </c>
      <c r="W23" s="140" t="s">
        <v>2579</v>
      </c>
      <c r="X23" s="140" t="s">
        <v>2600</v>
      </c>
      <c r="Y23" s="140" t="s">
        <v>2600</v>
      </c>
      <c r="Z23" s="140" t="s">
        <v>2600</v>
      </c>
      <c r="AA23" s="140" t="s">
        <v>2558</v>
      </c>
      <c r="AB23" s="140" t="s">
        <v>2557</v>
      </c>
      <c r="AC23" s="98" t="s">
        <v>2556</v>
      </c>
      <c r="AD23" s="94" t="s">
        <v>2565</v>
      </c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106"/>
      <c r="AS23" s="106"/>
      <c r="AT23" s="97"/>
      <c r="AU23" s="97"/>
      <c r="AV23" s="113"/>
      <c r="AW23" s="131" t="s">
        <v>2613</v>
      </c>
      <c r="AX23" s="94" t="s">
        <v>2614</v>
      </c>
      <c r="AY23" s="132" t="s">
        <v>2615</v>
      </c>
    </row>
    <row r="24" spans="1:52" ht="15" customHeight="1" x14ac:dyDescent="0.35">
      <c r="Q24" s="76" t="s">
        <v>538</v>
      </c>
      <c r="AB24" s="142"/>
      <c r="AQ24" s="67"/>
      <c r="AS24"/>
      <c r="AU24" s="72"/>
      <c r="AX24" s="77"/>
      <c r="AY24" s="72"/>
    </row>
    <row r="25" spans="1:52" ht="15" customHeight="1" x14ac:dyDescent="0.35">
      <c r="AB25" s="142"/>
      <c r="AQ25" s="67"/>
      <c r="AS25"/>
      <c r="AU25" s="72"/>
      <c r="AX25" s="77"/>
      <c r="AY25" s="72"/>
    </row>
    <row r="26" spans="1:52" ht="15" customHeight="1" x14ac:dyDescent="0.35">
      <c r="AB26" s="142"/>
      <c r="AQ26" s="67"/>
      <c r="AS26"/>
      <c r="AU26" s="72"/>
      <c r="AX26" s="77"/>
      <c r="AY26" s="72"/>
    </row>
    <row r="27" spans="1:52" ht="15" customHeight="1" x14ac:dyDescent="0.35">
      <c r="AB27" s="142"/>
      <c r="AQ27" s="67"/>
      <c r="AS27"/>
      <c r="AU27" s="72"/>
      <c r="AX27" s="77"/>
      <c r="AY27" s="72"/>
    </row>
    <row r="28" spans="1:52" ht="15" customHeight="1" x14ac:dyDescent="0.35">
      <c r="AB28" s="142"/>
      <c r="AQ28" s="67"/>
      <c r="AS28"/>
      <c r="AU28" s="72"/>
      <c r="AX28" s="77"/>
      <c r="AY28" s="72"/>
    </row>
    <row r="29" spans="1:52" ht="15" customHeight="1" x14ac:dyDescent="0.35">
      <c r="AB29" s="142"/>
      <c r="AQ29" s="67"/>
      <c r="AS29"/>
      <c r="AU29" s="72"/>
      <c r="AX29" s="77"/>
      <c r="AY29" s="72"/>
    </row>
    <row r="30" spans="1:52" ht="15" customHeight="1" x14ac:dyDescent="0.35">
      <c r="AB30" s="142"/>
      <c r="AQ30" s="67"/>
      <c r="AS30"/>
      <c r="AU30" s="72"/>
      <c r="AX30" s="77"/>
      <c r="AY30" s="72"/>
    </row>
  </sheetData>
  <autoFilter ref="A7:AY24" xr:uid="{00000000-0001-0000-0200-000000000000}"/>
  <sortState xmlns:xlrd2="http://schemas.microsoft.com/office/spreadsheetml/2017/richdata2" ref="A7:AX7">
    <sortCondition ref="A7"/>
    <sortCondition ref="B7"/>
    <sortCondition ref="C7"/>
    <sortCondition ref="G7"/>
    <sortCondition ref="F7"/>
    <sortCondition ref="E7"/>
  </sortState>
  <customSheetViews>
    <customSheetView guid="{7F979279-3056-45D6-BD46-9C5887855A9A}" filter="1" showAutoFilter="1">
      <pageMargins left="0" right="0" top="0" bottom="0" header="0" footer="0"/>
      <autoFilter ref="A7:AJ720" xr:uid="{BCB63158-CCBC-4717-AD61-35F562E8DF95}">
        <filterColumn colId="0">
          <filters>
            <filter val="Region IV-A"/>
          </filters>
        </filterColumn>
      </autoFilter>
      <extLst>
        <ext uri="GoogleSheetsCustomDataVersion1">
          <go:sheetsCustomData xmlns:go="http://customooxmlschemas.google.com/" filterViewId="972155134"/>
        </ext>
      </extLst>
    </customSheetView>
  </customSheetViews>
  <mergeCells count="5">
    <mergeCell ref="A6:B6"/>
    <mergeCell ref="L17:L23"/>
    <mergeCell ref="L9:L16"/>
    <mergeCell ref="A8:E8"/>
    <mergeCell ref="A18:E18"/>
  </mergeCells>
  <phoneticPr fontId="16" type="noConversion"/>
  <hyperlinks>
    <hyperlink ref="AY12" r:id="rId1" xr:uid="{C43FF7D7-8DDA-4738-973E-4D0946810FB6}"/>
    <hyperlink ref="AY13" r:id="rId2" xr:uid="{C390DC68-11F5-423B-BB87-D150332CE29C}"/>
    <hyperlink ref="AY9" r:id="rId3" xr:uid="{335B7A9A-5BF2-4126-94E5-B595483C2561}"/>
    <hyperlink ref="AY10" r:id="rId4" xr:uid="{1892497F-EB78-4BC7-A89A-DC1F217A33F5}"/>
    <hyperlink ref="AY11" r:id="rId5" xr:uid="{A7706793-C794-4E60-8970-E6DE5F7D90AB}"/>
    <hyperlink ref="AY14" r:id="rId6" xr:uid="{A4723CBF-699D-41CC-B784-F6BC5522EFBF}"/>
    <hyperlink ref="AY15" r:id="rId7" xr:uid="{CBCEC650-5EE8-42AE-93F0-83DC1738AC5D}"/>
    <hyperlink ref="AY16" r:id="rId8" xr:uid="{B7B234F6-0649-4FAD-B89C-9473006E39C0}"/>
    <hyperlink ref="AY23" r:id="rId9" xr:uid="{41AD0734-E17D-460B-8C1C-DEE9DA806536}"/>
    <hyperlink ref="AY22" r:id="rId10" xr:uid="{1DA0B2C0-602C-4540-B273-790E78A2B01C}"/>
    <hyperlink ref="AY21" r:id="rId11" xr:uid="{44143CE8-6755-4246-88C2-E5FA3F082AF9}"/>
    <hyperlink ref="AY20" r:id="rId12" xr:uid="{8BF42083-9A16-4252-8EA2-B7640881AEBB}"/>
    <hyperlink ref="AY19" r:id="rId13" xr:uid="{1E393E87-72DA-4A4B-A387-6419AAE7C774}"/>
    <hyperlink ref="AY17" r:id="rId14" xr:uid="{10032B7C-9EEA-44F1-AB10-37B066296D62}"/>
  </hyperlinks>
  <printOptions horizontalCentered="1"/>
  <pageMargins left="0.25" right="0.25" top="0.5" bottom="0.5" header="0" footer="0"/>
  <pageSetup paperSize="9" scale="20" fitToHeight="0" orientation="landscape" r:id="rId15"/>
  <headerFooter>
    <oddFooter>&amp;CPage ______ of 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5" sqref="D15"/>
    </sheetView>
  </sheetViews>
  <sheetFormatPr defaultColWidth="14.453125" defaultRowHeight="15" customHeight="1" x14ac:dyDescent="0.35"/>
  <cols>
    <col min="1" max="11" width="17" customWidth="1"/>
    <col min="12" max="26" width="8.7265625" customWidth="1"/>
  </cols>
  <sheetData>
    <row r="1" spans="1:26" ht="14.5" x14ac:dyDescent="0.3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5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4.5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4.5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5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5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4.5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4.5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5.5" customHeight="1" x14ac:dyDescent="0.35">
      <c r="A9" s="26" t="s">
        <v>1914</v>
      </c>
      <c r="B9" s="26" t="s">
        <v>2415</v>
      </c>
      <c r="C9" s="26">
        <v>129684</v>
      </c>
      <c r="D9" s="25" t="s">
        <v>2425</v>
      </c>
      <c r="E9" s="25" t="s">
        <v>2416</v>
      </c>
      <c r="F9" s="43">
        <v>1</v>
      </c>
      <c r="G9" s="26" t="s">
        <v>2409</v>
      </c>
      <c r="H9" s="44" t="s">
        <v>2410</v>
      </c>
      <c r="I9" s="26" t="s">
        <v>2426</v>
      </c>
      <c r="J9" s="26"/>
      <c r="K9" s="26" t="s">
        <v>2427</v>
      </c>
    </row>
    <row r="10" spans="1:26" ht="25.5" customHeight="1" x14ac:dyDescent="0.35">
      <c r="A10" s="26" t="s">
        <v>1914</v>
      </c>
      <c r="B10" s="26" t="s">
        <v>2415</v>
      </c>
      <c r="C10" s="26">
        <v>304376</v>
      </c>
      <c r="D10" s="25" t="s">
        <v>2414</v>
      </c>
      <c r="E10" s="25" t="s">
        <v>2416</v>
      </c>
      <c r="F10" s="43">
        <v>1</v>
      </c>
      <c r="G10" s="26" t="s">
        <v>2409</v>
      </c>
      <c r="H10" s="44" t="s">
        <v>2410</v>
      </c>
      <c r="I10" s="26" t="s">
        <v>2428</v>
      </c>
      <c r="J10" s="26">
        <v>95</v>
      </c>
      <c r="K10" s="38" t="s">
        <v>2429</v>
      </c>
    </row>
    <row r="11" spans="1:26" ht="25.5" customHeight="1" x14ac:dyDescent="0.35">
      <c r="A11" s="26" t="s">
        <v>1914</v>
      </c>
      <c r="B11" s="26" t="s">
        <v>2415</v>
      </c>
      <c r="C11" s="26">
        <v>304364</v>
      </c>
      <c r="D11" s="25" t="s">
        <v>2417</v>
      </c>
      <c r="E11" s="25" t="s">
        <v>2416</v>
      </c>
      <c r="F11" s="43">
        <v>1</v>
      </c>
      <c r="G11" s="26" t="s">
        <v>2409</v>
      </c>
      <c r="H11" s="44" t="s">
        <v>2410</v>
      </c>
      <c r="I11" s="26" t="s">
        <v>2428</v>
      </c>
      <c r="J11" s="26">
        <v>95</v>
      </c>
      <c r="K11" s="38" t="s">
        <v>2429</v>
      </c>
    </row>
    <row r="12" spans="1:26" ht="25.5" customHeight="1" x14ac:dyDescent="0.35">
      <c r="A12" s="26" t="s">
        <v>1914</v>
      </c>
      <c r="B12" s="26" t="s">
        <v>2415</v>
      </c>
      <c r="C12" s="26">
        <v>304381</v>
      </c>
      <c r="D12" s="25" t="s">
        <v>2420</v>
      </c>
      <c r="E12" s="25" t="s">
        <v>2416</v>
      </c>
      <c r="F12" s="43">
        <v>1</v>
      </c>
      <c r="G12" s="26" t="s">
        <v>2409</v>
      </c>
      <c r="H12" s="44" t="s">
        <v>2410</v>
      </c>
      <c r="I12" s="26" t="s">
        <v>2428</v>
      </c>
      <c r="J12" s="26">
        <v>95</v>
      </c>
      <c r="K12" s="38" t="s">
        <v>2429</v>
      </c>
    </row>
    <row r="13" spans="1:26" ht="25.5" customHeight="1" x14ac:dyDescent="0.35">
      <c r="A13" s="26" t="s">
        <v>1914</v>
      </c>
      <c r="B13" s="26" t="s">
        <v>2415</v>
      </c>
      <c r="C13" s="26">
        <v>304386</v>
      </c>
      <c r="D13" s="25" t="s">
        <v>2423</v>
      </c>
      <c r="E13" s="25" t="s">
        <v>2416</v>
      </c>
      <c r="F13" s="43">
        <v>1</v>
      </c>
      <c r="G13" s="26" t="s">
        <v>2409</v>
      </c>
      <c r="H13" s="44" t="s">
        <v>2410</v>
      </c>
      <c r="I13" s="26" t="s">
        <v>2428</v>
      </c>
      <c r="J13" s="26">
        <v>95</v>
      </c>
      <c r="K13" s="38" t="s">
        <v>2429</v>
      </c>
    </row>
    <row r="14" spans="1:26" ht="25.5" customHeight="1" x14ac:dyDescent="0.35">
      <c r="A14" s="26" t="s">
        <v>1914</v>
      </c>
      <c r="B14" s="26" t="s">
        <v>2415</v>
      </c>
      <c r="C14" s="26">
        <v>304392</v>
      </c>
      <c r="D14" s="25" t="s">
        <v>2422</v>
      </c>
      <c r="E14" s="25" t="s">
        <v>2416</v>
      </c>
      <c r="F14" s="43">
        <v>1</v>
      </c>
      <c r="G14" s="26" t="s">
        <v>2409</v>
      </c>
      <c r="H14" s="44" t="s">
        <v>2410</v>
      </c>
      <c r="I14" s="26" t="s">
        <v>2428</v>
      </c>
      <c r="J14" s="26">
        <v>95</v>
      </c>
      <c r="K14" s="38" t="s">
        <v>2429</v>
      </c>
    </row>
    <row r="15" spans="1:26" ht="25.5" customHeight="1" x14ac:dyDescent="0.35">
      <c r="A15" s="26" t="s">
        <v>1914</v>
      </c>
      <c r="B15" s="26" t="s">
        <v>2415</v>
      </c>
      <c r="C15" s="26">
        <v>304382</v>
      </c>
      <c r="D15" s="25" t="s">
        <v>2421</v>
      </c>
      <c r="E15" s="25" t="s">
        <v>2416</v>
      </c>
      <c r="F15" s="43">
        <v>1</v>
      </c>
      <c r="G15" s="26" t="s">
        <v>2409</v>
      </c>
      <c r="H15" s="44" t="s">
        <v>2410</v>
      </c>
      <c r="I15" s="26" t="s">
        <v>2428</v>
      </c>
      <c r="J15" s="26">
        <v>95</v>
      </c>
      <c r="K15" s="38" t="s">
        <v>2429</v>
      </c>
    </row>
    <row r="16" spans="1:26" ht="25.5" customHeight="1" x14ac:dyDescent="0.35">
      <c r="A16" s="26" t="s">
        <v>1914</v>
      </c>
      <c r="B16" s="26" t="s">
        <v>2415</v>
      </c>
      <c r="C16" s="26">
        <v>304373</v>
      </c>
      <c r="D16" s="25" t="s">
        <v>2419</v>
      </c>
      <c r="E16" s="25" t="s">
        <v>2416</v>
      </c>
      <c r="F16" s="43">
        <v>1</v>
      </c>
      <c r="G16" s="26" t="s">
        <v>2409</v>
      </c>
      <c r="H16" s="44" t="s">
        <v>2410</v>
      </c>
      <c r="I16" s="26" t="s">
        <v>2428</v>
      </c>
      <c r="J16" s="26">
        <v>95</v>
      </c>
      <c r="K16" s="38" t="s">
        <v>2429</v>
      </c>
    </row>
    <row r="17" spans="1:11" ht="25.5" customHeight="1" x14ac:dyDescent="0.35">
      <c r="A17" s="26" t="s">
        <v>1914</v>
      </c>
      <c r="B17" s="26" t="s">
        <v>2415</v>
      </c>
      <c r="C17" s="26">
        <v>304350</v>
      </c>
      <c r="D17" s="25" t="s">
        <v>2418</v>
      </c>
      <c r="E17" s="25" t="s">
        <v>2416</v>
      </c>
      <c r="F17" s="43">
        <v>1</v>
      </c>
      <c r="G17" s="26" t="s">
        <v>2409</v>
      </c>
      <c r="H17" s="44" t="s">
        <v>2410</v>
      </c>
      <c r="I17" s="26" t="s">
        <v>2428</v>
      </c>
      <c r="J17" s="26">
        <v>95</v>
      </c>
      <c r="K17" s="38" t="s">
        <v>2429</v>
      </c>
    </row>
    <row r="21" spans="1:11" ht="15.75" customHeight="1" x14ac:dyDescent="0.35"/>
    <row r="22" spans="1:11" ht="15.75" customHeight="1" x14ac:dyDescent="0.35"/>
    <row r="23" spans="1:11" ht="15.75" customHeight="1" x14ac:dyDescent="0.35"/>
    <row r="24" spans="1:11" ht="15.75" customHeight="1" x14ac:dyDescent="0.35"/>
    <row r="25" spans="1:11" ht="15.75" customHeight="1" x14ac:dyDescent="0.35"/>
    <row r="26" spans="1:11" ht="15.75" customHeight="1" x14ac:dyDescent="0.35"/>
    <row r="27" spans="1:11" ht="15.75" customHeight="1" x14ac:dyDescent="0.35"/>
    <row r="28" spans="1:11" ht="15.75" customHeight="1" x14ac:dyDescent="0.35"/>
    <row r="29" spans="1:11" ht="15.75" customHeight="1" x14ac:dyDescent="0.35"/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Z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4.453125" defaultRowHeight="15" customHeight="1" outlineLevelRow="2" x14ac:dyDescent="0.35"/>
  <cols>
    <col min="1" max="1" width="15" customWidth="1"/>
    <col min="2" max="2" width="25.453125" customWidth="1"/>
    <col min="3" max="3" width="12.1796875" customWidth="1"/>
    <col min="4" max="4" width="41.54296875" customWidth="1"/>
    <col min="5" max="5" width="23.7265625" customWidth="1"/>
    <col min="6" max="6" width="12.453125" customWidth="1"/>
    <col min="7" max="7" width="12.81640625" hidden="1" customWidth="1"/>
    <col min="8" max="8" width="8.453125" customWidth="1"/>
    <col min="9" max="9" width="12.54296875" customWidth="1"/>
    <col min="10" max="10" width="12.54296875" hidden="1" customWidth="1"/>
    <col min="11" max="11" width="17.1796875" hidden="1" customWidth="1"/>
    <col min="12" max="12" width="18" hidden="1" customWidth="1"/>
    <col min="13" max="13" width="19.54296875" hidden="1" customWidth="1"/>
    <col min="14" max="14" width="19.54296875" customWidth="1"/>
    <col min="15" max="15" width="41.26953125" customWidth="1"/>
    <col min="16" max="16" width="21.54296875" customWidth="1"/>
    <col min="17" max="17" width="10.7265625" hidden="1" customWidth="1"/>
    <col min="18" max="18" width="12.7265625" hidden="1" customWidth="1"/>
    <col min="19" max="19" width="16.54296875" hidden="1" customWidth="1"/>
    <col min="20" max="20" width="16.54296875" customWidth="1"/>
    <col min="21" max="21" width="13.26953125" customWidth="1"/>
    <col min="22" max="26" width="8.7265625" customWidth="1"/>
  </cols>
  <sheetData>
    <row r="1" spans="1:26" ht="15.5" x14ac:dyDescent="0.35">
      <c r="A1" s="2" t="s">
        <v>0</v>
      </c>
      <c r="B1" s="5"/>
      <c r="C1" s="12"/>
      <c r="D1" s="13"/>
      <c r="E1" s="13"/>
      <c r="F1" s="5"/>
      <c r="G1" s="14"/>
      <c r="H1" s="14"/>
      <c r="I1" s="52"/>
      <c r="J1" s="5"/>
      <c r="K1" s="16"/>
      <c r="L1" s="16"/>
      <c r="M1" s="17"/>
      <c r="N1" s="18"/>
      <c r="O1" s="5"/>
      <c r="P1" s="5"/>
      <c r="Q1" s="19"/>
      <c r="R1" s="5"/>
      <c r="S1" s="16"/>
      <c r="T1" s="15"/>
      <c r="U1" s="5"/>
      <c r="V1" s="5"/>
      <c r="W1" s="5"/>
      <c r="X1" s="5"/>
      <c r="Y1" s="5"/>
      <c r="Z1" s="5"/>
    </row>
    <row r="2" spans="1:26" ht="15.5" x14ac:dyDescent="0.35">
      <c r="A2" s="2" t="s">
        <v>1</v>
      </c>
      <c r="B2" s="5"/>
      <c r="C2" s="12"/>
      <c r="D2" s="13"/>
      <c r="E2" s="13"/>
      <c r="F2" s="5"/>
      <c r="G2" s="14"/>
      <c r="H2" s="14"/>
      <c r="I2" s="52"/>
      <c r="J2" s="5"/>
      <c r="K2" s="16"/>
      <c r="L2" s="16"/>
      <c r="M2" s="17"/>
      <c r="N2" s="18"/>
      <c r="O2" s="5"/>
      <c r="P2" s="5"/>
      <c r="Q2" s="19"/>
      <c r="R2" s="5"/>
      <c r="S2" s="16"/>
      <c r="T2" s="15"/>
      <c r="U2" s="5"/>
      <c r="V2" s="5"/>
      <c r="W2" s="5"/>
      <c r="X2" s="5"/>
      <c r="Y2" s="5"/>
      <c r="Z2" s="5"/>
    </row>
    <row r="3" spans="1:26" ht="15.5" x14ac:dyDescent="0.35">
      <c r="A3" s="2" t="s">
        <v>2</v>
      </c>
      <c r="B3" s="5"/>
      <c r="C3" s="12"/>
      <c r="D3" s="13"/>
      <c r="E3" s="13"/>
      <c r="F3" s="5"/>
      <c r="G3" s="14"/>
      <c r="H3" s="14"/>
      <c r="I3" s="52"/>
      <c r="J3" s="5"/>
      <c r="K3" s="16"/>
      <c r="L3" s="16"/>
      <c r="M3" s="17"/>
      <c r="N3" s="18"/>
      <c r="O3" s="5"/>
      <c r="P3" s="5"/>
      <c r="Q3" s="19"/>
      <c r="R3" s="5"/>
      <c r="S3" s="16"/>
      <c r="T3" s="15"/>
      <c r="U3" s="5"/>
      <c r="V3" s="5"/>
      <c r="W3" s="5"/>
      <c r="X3" s="5"/>
      <c r="Y3" s="5"/>
      <c r="Z3" s="5"/>
    </row>
    <row r="4" spans="1:26" ht="15.5" x14ac:dyDescent="0.35">
      <c r="A4" s="2" t="s">
        <v>3</v>
      </c>
      <c r="B4" s="5"/>
      <c r="C4" s="12"/>
      <c r="D4" s="13"/>
      <c r="E4" s="13"/>
      <c r="F4" s="5"/>
      <c r="G4" s="14"/>
      <c r="H4" s="14"/>
      <c r="I4" s="52"/>
      <c r="J4" s="5"/>
      <c r="K4" s="16"/>
      <c r="L4" s="16"/>
      <c r="M4" s="17"/>
      <c r="N4" s="18"/>
      <c r="O4" s="5"/>
      <c r="P4" s="5"/>
      <c r="Q4" s="19"/>
      <c r="R4" s="5"/>
      <c r="S4" s="16"/>
      <c r="T4" s="15"/>
      <c r="U4" s="5"/>
      <c r="V4" s="5"/>
      <c r="W4" s="5"/>
      <c r="X4" s="5"/>
      <c r="Y4" s="5"/>
      <c r="Z4" s="5"/>
    </row>
    <row r="5" spans="1:26" ht="15.5" x14ac:dyDescent="0.35">
      <c r="A5" s="2"/>
      <c r="B5" s="5"/>
      <c r="C5" s="12"/>
      <c r="D5" s="13"/>
      <c r="E5" s="13"/>
      <c r="F5" s="5"/>
      <c r="G5" s="14"/>
      <c r="H5" s="14"/>
      <c r="I5" s="52"/>
      <c r="J5" s="5"/>
      <c r="K5" s="16"/>
      <c r="L5" s="16"/>
      <c r="M5" s="17"/>
      <c r="N5" s="18"/>
      <c r="O5" s="5"/>
      <c r="P5" s="5"/>
      <c r="Q5" s="19"/>
      <c r="R5" s="5"/>
      <c r="S5" s="16"/>
      <c r="T5" s="15"/>
      <c r="U5" s="5"/>
      <c r="V5" s="5"/>
      <c r="W5" s="5"/>
      <c r="X5" s="5"/>
      <c r="Y5" s="5"/>
      <c r="Z5" s="5"/>
    </row>
    <row r="6" spans="1:26" ht="15.5" x14ac:dyDescent="0.35">
      <c r="A6" s="2"/>
      <c r="B6" s="5"/>
      <c r="C6" s="12"/>
      <c r="D6" s="13"/>
      <c r="E6" s="13"/>
      <c r="F6" s="5"/>
      <c r="G6" s="14"/>
      <c r="H6" s="14"/>
      <c r="I6" s="52"/>
      <c r="J6" s="5"/>
      <c r="K6" s="16"/>
      <c r="L6" s="16"/>
      <c r="M6" s="17"/>
      <c r="N6" s="18"/>
      <c r="O6" s="5"/>
      <c r="P6" s="5"/>
      <c r="Q6" s="19"/>
      <c r="R6" s="5"/>
      <c r="S6" s="16"/>
      <c r="T6" s="15"/>
      <c r="U6" s="5"/>
      <c r="V6" s="5"/>
      <c r="W6" s="5"/>
      <c r="X6" s="5"/>
      <c r="Y6" s="5"/>
      <c r="Z6" s="5"/>
    </row>
    <row r="7" spans="1:26" ht="63" customHeight="1" x14ac:dyDescent="0.35">
      <c r="A7" s="20" t="s">
        <v>4</v>
      </c>
      <c r="B7" s="20" t="s">
        <v>5</v>
      </c>
      <c r="C7" s="20" t="s">
        <v>6</v>
      </c>
      <c r="D7" s="20" t="s">
        <v>7</v>
      </c>
      <c r="E7" s="20" t="s">
        <v>8</v>
      </c>
      <c r="F7" s="20" t="s">
        <v>9</v>
      </c>
      <c r="G7" s="21" t="s">
        <v>10</v>
      </c>
      <c r="H7" s="21" t="s">
        <v>11</v>
      </c>
      <c r="I7" s="21" t="s">
        <v>12</v>
      </c>
      <c r="J7" s="22" t="s">
        <v>13</v>
      </c>
      <c r="K7" s="23" t="s">
        <v>14</v>
      </c>
      <c r="L7" s="23" t="s">
        <v>15</v>
      </c>
      <c r="M7" s="22" t="s">
        <v>16</v>
      </c>
      <c r="N7" s="23" t="s">
        <v>17</v>
      </c>
      <c r="O7" s="22" t="s">
        <v>18</v>
      </c>
      <c r="P7" s="22" t="s">
        <v>19</v>
      </c>
      <c r="Q7" s="22" t="s">
        <v>20</v>
      </c>
      <c r="R7" s="22" t="s">
        <v>10</v>
      </c>
      <c r="S7" s="22" t="s">
        <v>21</v>
      </c>
      <c r="T7" s="22" t="s">
        <v>22</v>
      </c>
      <c r="U7" s="24"/>
      <c r="V7" s="24"/>
      <c r="W7" s="24"/>
      <c r="X7" s="24"/>
      <c r="Y7" s="24"/>
      <c r="Z7" s="24"/>
    </row>
    <row r="8" spans="1:26" ht="15.5" outlineLevel="2" x14ac:dyDescent="0.35">
      <c r="A8" s="25" t="s">
        <v>23</v>
      </c>
      <c r="B8" s="25" t="s">
        <v>2430</v>
      </c>
      <c r="C8" s="26">
        <v>134996</v>
      </c>
      <c r="D8" s="25" t="s">
        <v>25</v>
      </c>
      <c r="E8" s="25" t="s">
        <v>26</v>
      </c>
      <c r="F8" s="26" t="s">
        <v>27</v>
      </c>
      <c r="G8" s="26" t="s">
        <v>27</v>
      </c>
      <c r="H8" s="26">
        <v>1</v>
      </c>
      <c r="I8" s="26">
        <v>2</v>
      </c>
      <c r="J8" s="26">
        <v>1</v>
      </c>
      <c r="K8" s="26">
        <v>138</v>
      </c>
      <c r="L8" s="26" t="s">
        <v>28</v>
      </c>
      <c r="M8" s="27">
        <v>643</v>
      </c>
      <c r="N8" s="28">
        <v>219559.98</v>
      </c>
      <c r="O8" s="26" t="s">
        <v>29</v>
      </c>
      <c r="P8" s="29"/>
      <c r="Q8" s="6"/>
      <c r="R8" s="29"/>
      <c r="S8" s="10"/>
      <c r="T8" s="8">
        <v>1</v>
      </c>
    </row>
    <row r="9" spans="1:26" ht="15.5" outlineLevel="2" x14ac:dyDescent="0.35">
      <c r="A9" s="25" t="s">
        <v>23</v>
      </c>
      <c r="B9" s="25" t="s">
        <v>2430</v>
      </c>
      <c r="C9" s="26">
        <v>135027</v>
      </c>
      <c r="D9" s="25" t="s">
        <v>30</v>
      </c>
      <c r="E9" s="25" t="s">
        <v>31</v>
      </c>
      <c r="F9" s="26" t="s">
        <v>27</v>
      </c>
      <c r="G9" s="26" t="s">
        <v>27</v>
      </c>
      <c r="H9" s="26">
        <v>1</v>
      </c>
      <c r="I9" s="26">
        <v>4</v>
      </c>
      <c r="J9" s="26">
        <v>1</v>
      </c>
      <c r="K9" s="26">
        <v>138</v>
      </c>
      <c r="L9" s="26" t="s">
        <v>28</v>
      </c>
      <c r="M9" s="27">
        <v>637</v>
      </c>
      <c r="N9" s="28">
        <v>456305.94</v>
      </c>
      <c r="O9" s="26" t="s">
        <v>29</v>
      </c>
      <c r="P9" s="29"/>
      <c r="Q9" s="6"/>
      <c r="R9" s="29"/>
      <c r="S9" s="10"/>
      <c r="T9" s="8">
        <v>1</v>
      </c>
    </row>
    <row r="10" spans="1:26" ht="15.5" outlineLevel="2" x14ac:dyDescent="0.35">
      <c r="A10" s="25" t="s">
        <v>23</v>
      </c>
      <c r="B10" s="25" t="s">
        <v>2430</v>
      </c>
      <c r="C10" s="26">
        <v>135076</v>
      </c>
      <c r="D10" s="25" t="s">
        <v>38</v>
      </c>
      <c r="E10" s="25" t="s">
        <v>33</v>
      </c>
      <c r="F10" s="26" t="s">
        <v>27</v>
      </c>
      <c r="G10" s="26" t="s">
        <v>27</v>
      </c>
      <c r="H10" s="26">
        <v>1</v>
      </c>
      <c r="I10" s="26">
        <v>7</v>
      </c>
      <c r="J10" s="26">
        <v>1</v>
      </c>
      <c r="K10" s="26">
        <v>138</v>
      </c>
      <c r="L10" s="26" t="s">
        <v>28</v>
      </c>
      <c r="M10" s="27">
        <v>647</v>
      </c>
      <c r="N10" s="28">
        <v>892219</v>
      </c>
      <c r="O10" s="26" t="s">
        <v>29</v>
      </c>
      <c r="P10" s="29"/>
      <c r="Q10" s="6"/>
      <c r="R10" s="29"/>
      <c r="S10" s="10"/>
      <c r="T10" s="8">
        <v>1</v>
      </c>
    </row>
    <row r="11" spans="1:26" ht="15.5" outlineLevel="2" x14ac:dyDescent="0.35">
      <c r="A11" s="25" t="s">
        <v>23</v>
      </c>
      <c r="B11" s="25" t="s">
        <v>2430</v>
      </c>
      <c r="C11" s="26">
        <v>135117</v>
      </c>
      <c r="D11" s="25" t="s">
        <v>41</v>
      </c>
      <c r="E11" s="25" t="s">
        <v>42</v>
      </c>
      <c r="F11" s="26" t="s">
        <v>27</v>
      </c>
      <c r="G11" s="26" t="s">
        <v>27</v>
      </c>
      <c r="H11" s="26">
        <v>1</v>
      </c>
      <c r="I11" s="26">
        <v>2</v>
      </c>
      <c r="J11" s="26">
        <v>1</v>
      </c>
      <c r="K11" s="26">
        <v>138</v>
      </c>
      <c r="L11" s="26" t="s">
        <v>28</v>
      </c>
      <c r="M11" s="27">
        <v>651</v>
      </c>
      <c r="N11" s="28">
        <v>405290.61</v>
      </c>
      <c r="O11" s="26" t="s">
        <v>29</v>
      </c>
      <c r="P11" s="29"/>
      <c r="Q11" s="6"/>
      <c r="R11" s="29"/>
      <c r="S11" s="10"/>
      <c r="T11" s="8">
        <v>1</v>
      </c>
    </row>
    <row r="12" spans="1:26" ht="15.5" outlineLevel="2" x14ac:dyDescent="0.35">
      <c r="A12" s="25" t="s">
        <v>23</v>
      </c>
      <c r="B12" s="25" t="s">
        <v>2430</v>
      </c>
      <c r="C12" s="26">
        <v>135124</v>
      </c>
      <c r="D12" s="25" t="s">
        <v>43</v>
      </c>
      <c r="E12" s="25" t="s">
        <v>44</v>
      </c>
      <c r="F12" s="26" t="s">
        <v>27</v>
      </c>
      <c r="G12" s="26" t="s">
        <v>27</v>
      </c>
      <c r="H12" s="26">
        <v>1</v>
      </c>
      <c r="I12" s="26">
        <v>2</v>
      </c>
      <c r="J12" s="26">
        <v>1</v>
      </c>
      <c r="K12" s="26">
        <v>138</v>
      </c>
      <c r="L12" s="26" t="s">
        <v>28</v>
      </c>
      <c r="M12" s="27">
        <v>645</v>
      </c>
      <c r="N12" s="28">
        <v>329073.96000000002</v>
      </c>
      <c r="O12" s="26" t="s">
        <v>29</v>
      </c>
      <c r="P12" s="29"/>
      <c r="Q12" s="6"/>
      <c r="R12" s="29"/>
      <c r="S12" s="10"/>
      <c r="T12" s="8">
        <v>1</v>
      </c>
    </row>
    <row r="13" spans="1:26" ht="15.5" outlineLevel="2" x14ac:dyDescent="0.35">
      <c r="A13" s="25" t="s">
        <v>23</v>
      </c>
      <c r="B13" s="25" t="s">
        <v>2430</v>
      </c>
      <c r="C13" s="26">
        <v>135186</v>
      </c>
      <c r="D13" s="25" t="s">
        <v>45</v>
      </c>
      <c r="E13" s="25" t="s">
        <v>46</v>
      </c>
      <c r="F13" s="26" t="s">
        <v>27</v>
      </c>
      <c r="G13" s="26" t="s">
        <v>27</v>
      </c>
      <c r="H13" s="26">
        <v>1</v>
      </c>
      <c r="I13" s="26">
        <v>2</v>
      </c>
      <c r="J13" s="26">
        <v>1</v>
      </c>
      <c r="K13" s="26">
        <v>138</v>
      </c>
      <c r="L13" s="26" t="s">
        <v>28</v>
      </c>
      <c r="M13" s="27">
        <v>640</v>
      </c>
      <c r="N13" s="28">
        <v>1028689.05</v>
      </c>
      <c r="O13" s="26" t="s">
        <v>29</v>
      </c>
      <c r="P13" s="29"/>
      <c r="Q13" s="6"/>
      <c r="R13" s="29"/>
      <c r="S13" s="10"/>
      <c r="T13" s="8">
        <v>1</v>
      </c>
    </row>
    <row r="14" spans="1:26" ht="15.5" outlineLevel="2" x14ac:dyDescent="0.35">
      <c r="A14" s="25" t="s">
        <v>23</v>
      </c>
      <c r="B14" s="25" t="s">
        <v>2430</v>
      </c>
      <c r="C14" s="26">
        <v>135191</v>
      </c>
      <c r="D14" s="25" t="s">
        <v>49</v>
      </c>
      <c r="E14" s="25" t="s">
        <v>46</v>
      </c>
      <c r="F14" s="26" t="s">
        <v>27</v>
      </c>
      <c r="G14" s="26" t="s">
        <v>27</v>
      </c>
      <c r="H14" s="26">
        <v>1</v>
      </c>
      <c r="I14" s="26">
        <v>3</v>
      </c>
      <c r="J14" s="26">
        <v>1</v>
      </c>
      <c r="K14" s="26">
        <v>138</v>
      </c>
      <c r="L14" s="26" t="s">
        <v>28</v>
      </c>
      <c r="M14" s="27">
        <v>646</v>
      </c>
      <c r="N14" s="28">
        <v>465967.53</v>
      </c>
      <c r="O14" s="26" t="s">
        <v>29</v>
      </c>
      <c r="P14" s="29"/>
      <c r="Q14" s="6"/>
      <c r="R14" s="29"/>
      <c r="S14" s="10"/>
      <c r="T14" s="8">
        <v>1</v>
      </c>
    </row>
    <row r="15" spans="1:26" ht="15.5" outlineLevel="2" x14ac:dyDescent="0.35">
      <c r="A15" s="25" t="s">
        <v>23</v>
      </c>
      <c r="B15" s="25" t="s">
        <v>2430</v>
      </c>
      <c r="C15" s="26">
        <v>135195</v>
      </c>
      <c r="D15" s="25" t="s">
        <v>50</v>
      </c>
      <c r="E15" s="25" t="s">
        <v>46</v>
      </c>
      <c r="F15" s="26" t="s">
        <v>27</v>
      </c>
      <c r="G15" s="26" t="s">
        <v>27</v>
      </c>
      <c r="H15" s="26">
        <v>1</v>
      </c>
      <c r="I15" s="26">
        <v>6</v>
      </c>
      <c r="J15" s="26">
        <v>1</v>
      </c>
      <c r="K15" s="26">
        <v>138</v>
      </c>
      <c r="L15" s="26" t="s">
        <v>28</v>
      </c>
      <c r="M15" s="27">
        <v>652</v>
      </c>
      <c r="N15" s="28">
        <v>599527.41</v>
      </c>
      <c r="O15" s="26" t="s">
        <v>29</v>
      </c>
      <c r="P15" s="29"/>
      <c r="Q15" s="6"/>
      <c r="R15" s="29"/>
      <c r="S15" s="10"/>
      <c r="T15" s="8">
        <v>1</v>
      </c>
    </row>
    <row r="16" spans="1:26" ht="15.5" outlineLevel="2" x14ac:dyDescent="0.35">
      <c r="A16" s="25" t="s">
        <v>23</v>
      </c>
      <c r="B16" s="25" t="s">
        <v>2430</v>
      </c>
      <c r="C16" s="26">
        <v>135196</v>
      </c>
      <c r="D16" s="25" t="s">
        <v>51</v>
      </c>
      <c r="E16" s="25" t="s">
        <v>52</v>
      </c>
      <c r="F16" s="26" t="s">
        <v>27</v>
      </c>
      <c r="G16" s="26" t="s">
        <v>27</v>
      </c>
      <c r="H16" s="26">
        <v>1</v>
      </c>
      <c r="I16" s="26">
        <v>2</v>
      </c>
      <c r="J16" s="26">
        <v>1</v>
      </c>
      <c r="K16" s="26">
        <v>138</v>
      </c>
      <c r="L16" s="26" t="s">
        <v>28</v>
      </c>
      <c r="M16" s="27">
        <v>635</v>
      </c>
      <c r="N16" s="28">
        <v>364334.71</v>
      </c>
      <c r="O16" s="26" t="s">
        <v>29</v>
      </c>
      <c r="P16" s="29"/>
      <c r="Q16" s="6"/>
      <c r="R16" s="29"/>
      <c r="S16" s="10"/>
      <c r="T16" s="8">
        <v>1</v>
      </c>
    </row>
    <row r="17" spans="1:26" ht="15.5" outlineLevel="2" x14ac:dyDescent="0.35">
      <c r="A17" s="25" t="s">
        <v>23</v>
      </c>
      <c r="B17" s="25" t="s">
        <v>2430</v>
      </c>
      <c r="C17" s="26">
        <v>135214</v>
      </c>
      <c r="D17" s="25" t="s">
        <v>53</v>
      </c>
      <c r="E17" s="25" t="s">
        <v>54</v>
      </c>
      <c r="F17" s="26" t="s">
        <v>27</v>
      </c>
      <c r="G17" s="26" t="s">
        <v>27</v>
      </c>
      <c r="H17" s="26">
        <v>1</v>
      </c>
      <c r="I17" s="26">
        <v>1</v>
      </c>
      <c r="J17" s="26">
        <v>1</v>
      </c>
      <c r="K17" s="26">
        <v>138</v>
      </c>
      <c r="L17" s="26" t="s">
        <v>28</v>
      </c>
      <c r="M17" s="27">
        <v>644</v>
      </c>
      <c r="N17" s="28">
        <v>198244.95</v>
      </c>
      <c r="O17" s="26" t="s">
        <v>29</v>
      </c>
      <c r="P17" s="29"/>
      <c r="Q17" s="6"/>
      <c r="R17" s="29"/>
      <c r="S17" s="10"/>
      <c r="T17" s="8">
        <v>1</v>
      </c>
    </row>
    <row r="18" spans="1:26" ht="15.5" outlineLevel="2" x14ac:dyDescent="0.35">
      <c r="A18" s="25" t="s">
        <v>23</v>
      </c>
      <c r="B18" s="25" t="s">
        <v>2430</v>
      </c>
      <c r="C18" s="26">
        <v>218519</v>
      </c>
      <c r="D18" s="25" t="s">
        <v>55</v>
      </c>
      <c r="E18" s="25" t="s">
        <v>56</v>
      </c>
      <c r="F18" s="26" t="s">
        <v>27</v>
      </c>
      <c r="G18" s="26" t="s">
        <v>27</v>
      </c>
      <c r="H18" s="26">
        <v>1</v>
      </c>
      <c r="I18" s="26">
        <v>1</v>
      </c>
      <c r="J18" s="26">
        <v>1</v>
      </c>
      <c r="K18" s="26">
        <v>138</v>
      </c>
      <c r="L18" s="26" t="s">
        <v>28</v>
      </c>
      <c r="M18" s="27">
        <v>650</v>
      </c>
      <c r="N18" s="28">
        <v>254540.88</v>
      </c>
      <c r="O18" s="26" t="s">
        <v>29</v>
      </c>
      <c r="P18" s="29"/>
      <c r="Q18" s="6"/>
      <c r="R18" s="29"/>
      <c r="S18" s="10"/>
      <c r="T18" s="8">
        <v>1</v>
      </c>
    </row>
    <row r="19" spans="1:26" ht="15.5" outlineLevel="1" x14ac:dyDescent="0.35">
      <c r="A19" s="25"/>
      <c r="B19" s="53" t="s">
        <v>2431</v>
      </c>
      <c r="C19" s="26"/>
      <c r="D19" s="25"/>
      <c r="E19" s="25"/>
      <c r="F19" s="26"/>
      <c r="G19" s="26"/>
      <c r="H19" s="26">
        <f t="shared" ref="H19:I19" si="0">SUBTOTAL(9,H8:H18)</f>
        <v>11</v>
      </c>
      <c r="I19" s="26">
        <f t="shared" si="0"/>
        <v>32</v>
      </c>
      <c r="J19" s="26"/>
      <c r="K19" s="26"/>
      <c r="L19" s="26"/>
      <c r="M19" s="27"/>
      <c r="N19" s="28">
        <f>SUBTOTAL(9,N8:N18)</f>
        <v>5213754.0200000005</v>
      </c>
      <c r="O19" s="26"/>
      <c r="P19" s="29"/>
      <c r="Q19" s="6"/>
      <c r="R19" s="29"/>
      <c r="S19" s="10"/>
      <c r="T19" s="8"/>
    </row>
    <row r="20" spans="1:26" ht="25.5" customHeight="1" x14ac:dyDescent="0.35">
      <c r="A20" s="19"/>
      <c r="B20" s="19"/>
      <c r="C20" s="19"/>
      <c r="D20" s="50"/>
      <c r="E20" s="50"/>
      <c r="F20" s="19"/>
      <c r="G20" s="19"/>
      <c r="H20" s="48"/>
      <c r="I20" s="48"/>
      <c r="J20" s="19"/>
      <c r="K20" s="48"/>
      <c r="L20" s="54"/>
      <c r="M20" s="48"/>
      <c r="N20" s="48"/>
      <c r="O20" s="19"/>
      <c r="P20" s="45"/>
      <c r="Q20" s="51"/>
      <c r="R20" s="26"/>
      <c r="S20" s="55"/>
      <c r="T20" s="44"/>
      <c r="U20" s="54"/>
      <c r="V20" s="50"/>
      <c r="W20" s="19"/>
      <c r="X20" s="19"/>
      <c r="Y20" s="19"/>
      <c r="Z20" s="19"/>
    </row>
    <row r="21" spans="1:26" ht="25.5" customHeight="1" x14ac:dyDescent="0.35">
      <c r="A21" s="19"/>
      <c r="B21" s="56" t="s">
        <v>2377</v>
      </c>
      <c r="C21" s="19"/>
      <c r="D21" s="50"/>
      <c r="E21" s="50"/>
      <c r="F21" s="57"/>
      <c r="G21" s="57"/>
      <c r="H21" s="171" t="s">
        <v>2377</v>
      </c>
      <c r="I21" s="172"/>
      <c r="J21" s="19"/>
      <c r="K21" s="48"/>
      <c r="L21" s="54"/>
      <c r="M21" s="48"/>
      <c r="N21" s="48"/>
      <c r="O21" s="19"/>
      <c r="P21" s="51"/>
      <c r="Q21" s="51"/>
      <c r="R21" s="26"/>
      <c r="S21" s="55"/>
      <c r="T21" s="44"/>
      <c r="U21" s="54"/>
      <c r="V21" s="50"/>
      <c r="W21" s="19"/>
      <c r="X21" s="19"/>
      <c r="Y21" s="19"/>
      <c r="Z21" s="19"/>
    </row>
    <row r="22" spans="1:26" ht="25.5" customHeight="1" x14ac:dyDescent="0.35">
      <c r="A22" s="19"/>
      <c r="B22" s="19"/>
      <c r="C22" s="19"/>
      <c r="D22" s="50"/>
      <c r="E22" s="50"/>
      <c r="F22" s="19"/>
      <c r="G22" s="19"/>
      <c r="H22" s="19"/>
      <c r="I22" s="19"/>
      <c r="J22" s="19"/>
      <c r="K22" s="48"/>
      <c r="L22" s="54"/>
      <c r="M22" s="48"/>
      <c r="N22" s="48"/>
      <c r="O22" s="19"/>
      <c r="P22" s="51"/>
      <c r="Q22" s="51"/>
      <c r="R22" s="26"/>
      <c r="S22" s="55"/>
      <c r="T22" s="44"/>
      <c r="U22" s="54"/>
      <c r="V22" s="50"/>
      <c r="W22" s="19"/>
      <c r="X22" s="19"/>
      <c r="Y22" s="19"/>
      <c r="Z22" s="19"/>
    </row>
    <row r="23" spans="1:26" ht="25.5" customHeight="1" x14ac:dyDescent="0.35">
      <c r="A23" s="19"/>
      <c r="B23" s="19"/>
      <c r="C23" s="19"/>
      <c r="D23" s="50"/>
      <c r="E23" s="50"/>
      <c r="F23" s="19"/>
      <c r="G23" s="19"/>
      <c r="H23" s="48"/>
      <c r="I23" s="48"/>
      <c r="J23" s="19"/>
      <c r="K23" s="48"/>
      <c r="L23" s="54"/>
      <c r="M23" s="48"/>
      <c r="N23" s="48"/>
      <c r="O23" s="19"/>
      <c r="P23" s="51"/>
      <c r="Q23" s="51"/>
      <c r="R23" s="26"/>
      <c r="S23" s="55"/>
      <c r="T23" s="44"/>
      <c r="U23" s="54"/>
      <c r="V23" s="50"/>
      <c r="W23" s="19"/>
      <c r="X23" s="19"/>
      <c r="Y23" s="19"/>
      <c r="Z23" s="19"/>
    </row>
    <row r="24" spans="1:26" ht="25.5" customHeight="1" x14ac:dyDescent="0.35">
      <c r="A24" s="19"/>
      <c r="B24" s="19"/>
      <c r="C24" s="58"/>
      <c r="D24" s="78" t="s">
        <v>2432</v>
      </c>
      <c r="E24" s="50"/>
      <c r="F24" s="19"/>
      <c r="G24" s="19"/>
      <c r="H24" s="48"/>
      <c r="I24" s="48"/>
      <c r="J24" s="19"/>
      <c r="K24" s="48"/>
      <c r="L24" s="54"/>
      <c r="M24" s="173" t="s">
        <v>2433</v>
      </c>
      <c r="N24" s="172"/>
      <c r="O24" s="172"/>
      <c r="P24" s="51"/>
      <c r="Q24" s="51"/>
      <c r="R24" s="26"/>
      <c r="S24" s="55"/>
      <c r="T24" s="44"/>
      <c r="U24" s="54"/>
      <c r="V24" s="50"/>
      <c r="W24" s="19"/>
      <c r="X24" s="19"/>
      <c r="Y24" s="19"/>
      <c r="Z24" s="19"/>
    </row>
    <row r="25" spans="1:26" ht="29.25" customHeight="1" x14ac:dyDescent="0.35">
      <c r="A25" s="19"/>
      <c r="B25" s="19"/>
      <c r="C25" s="59"/>
      <c r="D25" s="56" t="s">
        <v>2434</v>
      </c>
      <c r="E25" s="60"/>
      <c r="F25" s="56"/>
      <c r="G25" s="56"/>
      <c r="H25" s="61"/>
      <c r="I25" s="61"/>
      <c r="J25" s="56"/>
      <c r="K25" s="61"/>
      <c r="L25" s="62"/>
      <c r="M25" s="174" t="s">
        <v>2435</v>
      </c>
      <c r="N25" s="172"/>
      <c r="O25" s="172"/>
      <c r="P25" s="63"/>
      <c r="Q25" s="51"/>
      <c r="R25" s="26"/>
      <c r="S25" s="55"/>
      <c r="T25" s="44"/>
      <c r="U25" s="54"/>
      <c r="V25" s="50"/>
      <c r="W25" s="19"/>
      <c r="X25" s="19"/>
      <c r="Y25" s="19"/>
      <c r="Z25" s="19"/>
    </row>
    <row r="26" spans="1:26" ht="15.75" customHeight="1" outlineLevel="2" x14ac:dyDescent="0.35">
      <c r="A26" s="25" t="s">
        <v>23</v>
      </c>
      <c r="B26" s="25" t="s">
        <v>2436</v>
      </c>
      <c r="C26" s="26">
        <v>219529</v>
      </c>
      <c r="D26" s="25" t="s">
        <v>92</v>
      </c>
      <c r="E26" s="25" t="s">
        <v>84</v>
      </c>
      <c r="F26" s="26" t="s">
        <v>27</v>
      </c>
      <c r="G26" s="26" t="s">
        <v>27</v>
      </c>
      <c r="H26" s="26">
        <v>1</v>
      </c>
      <c r="I26" s="26">
        <v>2</v>
      </c>
      <c r="J26" s="26">
        <v>1</v>
      </c>
      <c r="K26" s="26">
        <v>138</v>
      </c>
      <c r="L26" s="26" t="s">
        <v>28</v>
      </c>
      <c r="M26" s="27">
        <v>674</v>
      </c>
      <c r="N26" s="28">
        <v>174192.98</v>
      </c>
      <c r="O26" s="26" t="s">
        <v>29</v>
      </c>
      <c r="P26" s="29"/>
      <c r="Q26" s="6"/>
      <c r="R26" s="29"/>
      <c r="S26" s="10"/>
      <c r="T26" s="8">
        <v>1</v>
      </c>
    </row>
    <row r="27" spans="1:26" ht="15.75" customHeight="1" outlineLevel="1" x14ac:dyDescent="0.35">
      <c r="A27" s="25"/>
      <c r="B27" s="53" t="s">
        <v>2437</v>
      </c>
      <c r="C27" s="26"/>
      <c r="D27" s="25"/>
      <c r="E27" s="25"/>
      <c r="F27" s="26"/>
      <c r="G27" s="26"/>
      <c r="H27" s="26">
        <f t="shared" ref="H27:I27" si="1">SUBTOTAL(9,H26)</f>
        <v>1</v>
      </c>
      <c r="I27" s="26">
        <f t="shared" si="1"/>
        <v>2</v>
      </c>
      <c r="J27" s="26"/>
      <c r="K27" s="26"/>
      <c r="L27" s="26"/>
      <c r="M27" s="27"/>
      <c r="N27" s="28">
        <f>SUBTOTAL(9,N26)</f>
        <v>174192.98</v>
      </c>
      <c r="O27" s="26"/>
      <c r="P27" s="29"/>
      <c r="Q27" s="6"/>
      <c r="R27" s="29"/>
      <c r="S27" s="10"/>
      <c r="T27" s="8"/>
    </row>
    <row r="28" spans="1:26" ht="25.5" customHeight="1" x14ac:dyDescent="0.35">
      <c r="A28" s="19"/>
      <c r="B28" s="19"/>
      <c r="C28" s="19"/>
      <c r="D28" s="50"/>
      <c r="E28" s="50"/>
      <c r="F28" s="19"/>
      <c r="G28" s="19"/>
      <c r="H28" s="48"/>
      <c r="I28" s="48"/>
      <c r="J28" s="19"/>
      <c r="K28" s="48"/>
      <c r="L28" s="54"/>
      <c r="M28" s="48"/>
      <c r="N28" s="48"/>
      <c r="O28" s="19"/>
      <c r="P28" s="45"/>
      <c r="Q28" s="51"/>
      <c r="R28" s="26"/>
      <c r="S28" s="55"/>
      <c r="T28" s="44"/>
      <c r="U28" s="54"/>
      <c r="V28" s="50"/>
      <c r="W28" s="19"/>
      <c r="X28" s="19"/>
      <c r="Y28" s="19"/>
      <c r="Z28" s="19"/>
    </row>
    <row r="29" spans="1:26" ht="25.5" customHeight="1" x14ac:dyDescent="0.35">
      <c r="A29" s="19"/>
      <c r="B29" s="56" t="s">
        <v>2377</v>
      </c>
      <c r="C29" s="19"/>
      <c r="D29" s="50"/>
      <c r="E29" s="50"/>
      <c r="F29" s="57"/>
      <c r="G29" s="57"/>
      <c r="H29" s="171" t="s">
        <v>2377</v>
      </c>
      <c r="I29" s="172"/>
      <c r="J29" s="19"/>
      <c r="K29" s="48"/>
      <c r="L29" s="54"/>
      <c r="M29" s="48"/>
      <c r="N29" s="48"/>
      <c r="O29" s="19"/>
      <c r="P29" s="51"/>
      <c r="Q29" s="51"/>
      <c r="R29" s="26"/>
      <c r="S29" s="55"/>
      <c r="T29" s="44"/>
      <c r="U29" s="54"/>
      <c r="V29" s="50"/>
      <c r="W29" s="19"/>
      <c r="X29" s="19"/>
      <c r="Y29" s="19"/>
      <c r="Z29" s="19"/>
    </row>
    <row r="30" spans="1:26" ht="25.5" customHeight="1" x14ac:dyDescent="0.35">
      <c r="A30" s="19"/>
      <c r="B30" s="19"/>
      <c r="C30" s="19"/>
      <c r="D30" s="50"/>
      <c r="E30" s="50"/>
      <c r="F30" s="19"/>
      <c r="G30" s="19"/>
      <c r="H30" s="19"/>
      <c r="I30" s="19"/>
      <c r="J30" s="19"/>
      <c r="K30" s="48"/>
      <c r="L30" s="54"/>
      <c r="M30" s="48"/>
      <c r="N30" s="48"/>
      <c r="O30" s="19"/>
      <c r="P30" s="51"/>
      <c r="Q30" s="51"/>
      <c r="R30" s="26"/>
      <c r="S30" s="55"/>
      <c r="T30" s="44"/>
      <c r="U30" s="54"/>
      <c r="V30" s="50"/>
      <c r="W30" s="19"/>
      <c r="X30" s="19"/>
      <c r="Y30" s="19"/>
      <c r="Z30" s="19"/>
    </row>
    <row r="31" spans="1:26" ht="25.5" customHeight="1" x14ac:dyDescent="0.35">
      <c r="A31" s="19"/>
      <c r="B31" s="19"/>
      <c r="C31" s="19"/>
      <c r="D31" s="50"/>
      <c r="E31" s="50"/>
      <c r="F31" s="19"/>
      <c r="G31" s="19"/>
      <c r="H31" s="48"/>
      <c r="I31" s="48"/>
      <c r="J31" s="19"/>
      <c r="K31" s="48"/>
      <c r="L31" s="54"/>
      <c r="M31" s="48"/>
      <c r="N31" s="48"/>
      <c r="O31" s="19"/>
      <c r="P31" s="51"/>
      <c r="Q31" s="51"/>
      <c r="R31" s="26"/>
      <c r="S31" s="55"/>
      <c r="T31" s="44"/>
      <c r="U31" s="54"/>
      <c r="V31" s="50"/>
      <c r="W31" s="19"/>
      <c r="X31" s="19"/>
      <c r="Y31" s="19"/>
      <c r="Z31" s="19"/>
    </row>
    <row r="32" spans="1:26" ht="25.5" customHeight="1" x14ac:dyDescent="0.35">
      <c r="A32" s="19"/>
      <c r="B32" s="19"/>
      <c r="C32" s="58"/>
      <c r="D32" s="78" t="s">
        <v>2432</v>
      </c>
      <c r="E32" s="50"/>
      <c r="F32" s="19"/>
      <c r="G32" s="19"/>
      <c r="H32" s="48"/>
      <c r="I32" s="48"/>
      <c r="J32" s="19"/>
      <c r="K32" s="48"/>
      <c r="L32" s="54"/>
      <c r="M32" s="173" t="s">
        <v>2433</v>
      </c>
      <c r="N32" s="172"/>
      <c r="O32" s="172"/>
      <c r="P32" s="51"/>
      <c r="Q32" s="51"/>
      <c r="R32" s="26"/>
      <c r="S32" s="55"/>
      <c r="T32" s="44"/>
      <c r="U32" s="54"/>
      <c r="V32" s="50"/>
      <c r="W32" s="19"/>
      <c r="X32" s="19"/>
      <c r="Y32" s="19"/>
      <c r="Z32" s="19"/>
    </row>
    <row r="33" spans="1:26" ht="29.25" customHeight="1" x14ac:dyDescent="0.35">
      <c r="A33" s="19"/>
      <c r="B33" s="19"/>
      <c r="C33" s="59"/>
      <c r="D33" s="56" t="s">
        <v>2434</v>
      </c>
      <c r="E33" s="60"/>
      <c r="F33" s="56"/>
      <c r="G33" s="56"/>
      <c r="H33" s="61"/>
      <c r="I33" s="61"/>
      <c r="J33" s="56"/>
      <c r="K33" s="61"/>
      <c r="L33" s="62"/>
      <c r="M33" s="174" t="s">
        <v>2435</v>
      </c>
      <c r="N33" s="172"/>
      <c r="O33" s="172"/>
      <c r="P33" s="63"/>
      <c r="Q33" s="51"/>
      <c r="R33" s="26"/>
      <c r="S33" s="55"/>
      <c r="T33" s="44"/>
      <c r="U33" s="54"/>
      <c r="V33" s="50"/>
      <c r="W33" s="19"/>
      <c r="X33" s="19"/>
      <c r="Y33" s="19"/>
      <c r="Z33" s="19"/>
    </row>
    <row r="34" spans="1:26" ht="15.75" customHeight="1" outlineLevel="2" x14ac:dyDescent="0.35">
      <c r="A34" s="25" t="s">
        <v>23</v>
      </c>
      <c r="B34" s="25" t="s">
        <v>2438</v>
      </c>
      <c r="C34" s="26">
        <v>135750</v>
      </c>
      <c r="D34" s="25" t="s">
        <v>94</v>
      </c>
      <c r="E34" s="25" t="s">
        <v>95</v>
      </c>
      <c r="F34" s="26" t="s">
        <v>27</v>
      </c>
      <c r="G34" s="26" t="s">
        <v>27</v>
      </c>
      <c r="H34" s="26">
        <v>1</v>
      </c>
      <c r="I34" s="26">
        <v>2</v>
      </c>
      <c r="J34" s="26">
        <v>1</v>
      </c>
      <c r="K34" s="26">
        <v>138</v>
      </c>
      <c r="L34" s="26" t="s">
        <v>28</v>
      </c>
      <c r="M34" s="27">
        <v>682</v>
      </c>
      <c r="N34" s="30">
        <v>286085.36</v>
      </c>
      <c r="O34" s="26" t="s">
        <v>29</v>
      </c>
      <c r="P34" s="29"/>
      <c r="Q34" s="6"/>
      <c r="R34" s="29"/>
      <c r="S34" s="10"/>
      <c r="T34" s="8">
        <v>1</v>
      </c>
    </row>
    <row r="35" spans="1:26" ht="15.75" customHeight="1" outlineLevel="2" x14ac:dyDescent="0.35">
      <c r="A35" s="25" t="s">
        <v>23</v>
      </c>
      <c r="B35" s="25" t="s">
        <v>2438</v>
      </c>
      <c r="C35" s="26">
        <v>135759</v>
      </c>
      <c r="D35" s="25" t="s">
        <v>97</v>
      </c>
      <c r="E35" s="25" t="s">
        <v>95</v>
      </c>
      <c r="F35" s="26" t="s">
        <v>27</v>
      </c>
      <c r="G35" s="26" t="s">
        <v>27</v>
      </c>
      <c r="H35" s="26">
        <v>1</v>
      </c>
      <c r="I35" s="26">
        <v>1</v>
      </c>
      <c r="J35" s="26">
        <v>1</v>
      </c>
      <c r="K35" s="26">
        <v>138</v>
      </c>
      <c r="L35" s="26" t="s">
        <v>28</v>
      </c>
      <c r="M35" s="27">
        <v>691</v>
      </c>
      <c r="N35" s="30">
        <v>234895.45</v>
      </c>
      <c r="O35" s="26" t="s">
        <v>29</v>
      </c>
      <c r="P35" s="29"/>
      <c r="Q35" s="6"/>
      <c r="R35" s="29"/>
      <c r="S35" s="10"/>
      <c r="T35" s="8">
        <v>1</v>
      </c>
    </row>
    <row r="36" spans="1:26" ht="15.75" customHeight="1" outlineLevel="2" x14ac:dyDescent="0.35">
      <c r="A36" s="25" t="s">
        <v>23</v>
      </c>
      <c r="B36" s="25" t="s">
        <v>2438</v>
      </c>
      <c r="C36" s="26">
        <v>135761</v>
      </c>
      <c r="D36" s="25" t="s">
        <v>98</v>
      </c>
      <c r="E36" s="25" t="s">
        <v>95</v>
      </c>
      <c r="F36" s="26" t="s">
        <v>27</v>
      </c>
      <c r="G36" s="26" t="s">
        <v>27</v>
      </c>
      <c r="H36" s="26">
        <v>1</v>
      </c>
      <c r="I36" s="26">
        <v>4</v>
      </c>
      <c r="J36" s="26">
        <v>1</v>
      </c>
      <c r="K36" s="26">
        <v>138</v>
      </c>
      <c r="L36" s="26" t="s">
        <v>28</v>
      </c>
      <c r="M36" s="27">
        <v>692</v>
      </c>
      <c r="N36" s="30">
        <v>434246.47</v>
      </c>
      <c r="O36" s="26" t="s">
        <v>29</v>
      </c>
      <c r="P36" s="29"/>
      <c r="Q36" s="6"/>
      <c r="R36" s="29"/>
      <c r="S36" s="10"/>
      <c r="T36" s="8">
        <v>1</v>
      </c>
    </row>
    <row r="37" spans="1:26" ht="15.75" customHeight="1" outlineLevel="2" x14ac:dyDescent="0.35">
      <c r="A37" s="25" t="s">
        <v>23</v>
      </c>
      <c r="B37" s="25" t="s">
        <v>2438</v>
      </c>
      <c r="C37" s="26">
        <v>135766</v>
      </c>
      <c r="D37" s="25" t="s">
        <v>99</v>
      </c>
      <c r="E37" s="25" t="s">
        <v>100</v>
      </c>
      <c r="F37" s="26" t="s">
        <v>27</v>
      </c>
      <c r="G37" s="26" t="s">
        <v>27</v>
      </c>
      <c r="H37" s="26">
        <v>1</v>
      </c>
      <c r="I37" s="26">
        <v>9</v>
      </c>
      <c r="J37" s="26">
        <v>1</v>
      </c>
      <c r="K37" s="26">
        <v>138</v>
      </c>
      <c r="L37" s="26" t="s">
        <v>28</v>
      </c>
      <c r="M37" s="27">
        <v>681</v>
      </c>
      <c r="N37" s="30">
        <v>802683.71</v>
      </c>
      <c r="O37" s="26" t="s">
        <v>29</v>
      </c>
      <c r="P37" s="29"/>
      <c r="Q37" s="6"/>
      <c r="R37" s="29"/>
      <c r="S37" s="10"/>
      <c r="T37" s="8">
        <v>1</v>
      </c>
    </row>
    <row r="38" spans="1:26" ht="15.75" customHeight="1" outlineLevel="2" x14ac:dyDescent="0.35">
      <c r="A38" s="25" t="s">
        <v>23</v>
      </c>
      <c r="B38" s="25" t="s">
        <v>2438</v>
      </c>
      <c r="C38" s="26">
        <v>135773</v>
      </c>
      <c r="D38" s="25" t="s">
        <v>101</v>
      </c>
      <c r="E38" s="25" t="s">
        <v>100</v>
      </c>
      <c r="F38" s="26" t="s">
        <v>27</v>
      </c>
      <c r="G38" s="26" t="s">
        <v>27</v>
      </c>
      <c r="H38" s="26">
        <v>1</v>
      </c>
      <c r="I38" s="26">
        <v>9</v>
      </c>
      <c r="J38" s="26">
        <v>1</v>
      </c>
      <c r="K38" s="26">
        <v>138</v>
      </c>
      <c r="L38" s="26" t="s">
        <v>28</v>
      </c>
      <c r="M38" s="27">
        <v>688</v>
      </c>
      <c r="N38" s="30">
        <v>835389.87</v>
      </c>
      <c r="O38" s="26" t="s">
        <v>29</v>
      </c>
      <c r="P38" s="29"/>
      <c r="Q38" s="6"/>
      <c r="R38" s="29"/>
      <c r="S38" s="10"/>
      <c r="T38" s="8">
        <v>1</v>
      </c>
    </row>
    <row r="39" spans="1:26" ht="15.75" customHeight="1" outlineLevel="2" x14ac:dyDescent="0.35">
      <c r="A39" s="25" t="s">
        <v>23</v>
      </c>
      <c r="B39" s="25" t="s">
        <v>2438</v>
      </c>
      <c r="C39" s="26">
        <v>135838</v>
      </c>
      <c r="D39" s="25" t="s">
        <v>102</v>
      </c>
      <c r="E39" s="25" t="s">
        <v>103</v>
      </c>
      <c r="F39" s="26" t="s">
        <v>27</v>
      </c>
      <c r="G39" s="26" t="s">
        <v>27</v>
      </c>
      <c r="H39" s="26">
        <v>1</v>
      </c>
      <c r="I39" s="26">
        <v>2</v>
      </c>
      <c r="J39" s="26">
        <v>1</v>
      </c>
      <c r="K39" s="26">
        <v>138</v>
      </c>
      <c r="L39" s="26" t="s">
        <v>28</v>
      </c>
      <c r="M39" s="27">
        <v>687</v>
      </c>
      <c r="N39" s="30">
        <v>311555.69</v>
      </c>
      <c r="O39" s="26" t="s">
        <v>29</v>
      </c>
      <c r="P39" s="29"/>
      <c r="Q39" s="6"/>
      <c r="R39" s="29"/>
      <c r="S39" s="10"/>
      <c r="T39" s="8">
        <v>1</v>
      </c>
    </row>
    <row r="40" spans="1:26" ht="15.75" customHeight="1" outlineLevel="2" x14ac:dyDescent="0.35">
      <c r="A40" s="25" t="s">
        <v>23</v>
      </c>
      <c r="B40" s="25" t="s">
        <v>2438</v>
      </c>
      <c r="C40" s="26">
        <v>135937</v>
      </c>
      <c r="D40" s="25" t="s">
        <v>104</v>
      </c>
      <c r="E40" s="25" t="s">
        <v>105</v>
      </c>
      <c r="F40" s="26" t="s">
        <v>27</v>
      </c>
      <c r="G40" s="26" t="s">
        <v>27</v>
      </c>
      <c r="H40" s="26">
        <v>1</v>
      </c>
      <c r="I40" s="26">
        <v>1</v>
      </c>
      <c r="J40" s="26">
        <v>1</v>
      </c>
      <c r="K40" s="26">
        <v>138</v>
      </c>
      <c r="L40" s="26" t="s">
        <v>28</v>
      </c>
      <c r="M40" s="27">
        <v>690</v>
      </c>
      <c r="N40" s="30">
        <v>245847.67</v>
      </c>
      <c r="O40" s="26" t="s">
        <v>29</v>
      </c>
      <c r="P40" s="29"/>
      <c r="Q40" s="6"/>
      <c r="R40" s="29"/>
      <c r="S40" s="10"/>
      <c r="T40" s="8">
        <v>1</v>
      </c>
    </row>
    <row r="41" spans="1:26" ht="15.75" customHeight="1" outlineLevel="2" x14ac:dyDescent="0.35">
      <c r="A41" s="25" t="s">
        <v>23</v>
      </c>
      <c r="B41" s="25" t="s">
        <v>2438</v>
      </c>
      <c r="C41" s="26">
        <v>220011</v>
      </c>
      <c r="D41" s="25" t="s">
        <v>108</v>
      </c>
      <c r="E41" s="25" t="s">
        <v>100</v>
      </c>
      <c r="F41" s="26" t="s">
        <v>27</v>
      </c>
      <c r="G41" s="26" t="s">
        <v>27</v>
      </c>
      <c r="H41" s="26">
        <v>1</v>
      </c>
      <c r="I41" s="26">
        <v>3</v>
      </c>
      <c r="J41" s="26">
        <v>1</v>
      </c>
      <c r="K41" s="26">
        <v>138</v>
      </c>
      <c r="L41" s="26" t="s">
        <v>28</v>
      </c>
      <c r="M41" s="27">
        <v>689</v>
      </c>
      <c r="N41" s="30">
        <v>401332.26</v>
      </c>
      <c r="O41" s="26" t="s">
        <v>29</v>
      </c>
      <c r="P41" s="29"/>
      <c r="Q41" s="6"/>
      <c r="R41" s="29"/>
      <c r="S41" s="10"/>
      <c r="T41" s="8">
        <v>1</v>
      </c>
    </row>
    <row r="42" spans="1:26" ht="15.75" customHeight="1" outlineLevel="2" x14ac:dyDescent="0.35">
      <c r="A42" s="25" t="s">
        <v>23</v>
      </c>
      <c r="B42" s="25" t="s">
        <v>2438</v>
      </c>
      <c r="C42" s="26">
        <v>305176</v>
      </c>
      <c r="D42" s="25" t="s">
        <v>110</v>
      </c>
      <c r="E42" s="25" t="s">
        <v>111</v>
      </c>
      <c r="F42" s="26" t="s">
        <v>27</v>
      </c>
      <c r="G42" s="26" t="s">
        <v>27</v>
      </c>
      <c r="H42" s="26">
        <v>1</v>
      </c>
      <c r="I42" s="26">
        <v>12</v>
      </c>
      <c r="J42" s="26">
        <v>1</v>
      </c>
      <c r="K42" s="26">
        <v>138</v>
      </c>
      <c r="L42" s="26" t="s">
        <v>28</v>
      </c>
      <c r="M42" s="27">
        <v>684</v>
      </c>
      <c r="N42" s="30">
        <v>925056.37</v>
      </c>
      <c r="O42" s="26" t="s">
        <v>29</v>
      </c>
      <c r="P42" s="29"/>
      <c r="Q42" s="6"/>
      <c r="R42" s="29"/>
      <c r="S42" s="10"/>
      <c r="T42" s="8">
        <v>1</v>
      </c>
    </row>
    <row r="43" spans="1:26" ht="15.75" customHeight="1" outlineLevel="2" x14ac:dyDescent="0.35">
      <c r="A43" s="25" t="s">
        <v>23</v>
      </c>
      <c r="B43" s="25" t="s">
        <v>2438</v>
      </c>
      <c r="C43" s="26">
        <v>305177</v>
      </c>
      <c r="D43" s="25" t="s">
        <v>112</v>
      </c>
      <c r="E43" s="25" t="s">
        <v>111</v>
      </c>
      <c r="F43" s="26" t="s">
        <v>27</v>
      </c>
      <c r="G43" s="26" t="s">
        <v>27</v>
      </c>
      <c r="H43" s="26">
        <v>1</v>
      </c>
      <c r="I43" s="26">
        <v>11</v>
      </c>
      <c r="J43" s="26">
        <v>1</v>
      </c>
      <c r="K43" s="26">
        <v>138</v>
      </c>
      <c r="L43" s="26" t="s">
        <v>28</v>
      </c>
      <c r="M43" s="27">
        <v>685</v>
      </c>
      <c r="N43" s="30">
        <v>940908.33</v>
      </c>
      <c r="O43" s="26" t="s">
        <v>29</v>
      </c>
      <c r="P43" s="29"/>
      <c r="Q43" s="6"/>
      <c r="R43" s="29"/>
      <c r="S43" s="10"/>
      <c r="T43" s="8">
        <v>1</v>
      </c>
    </row>
    <row r="44" spans="1:26" ht="15.75" customHeight="1" outlineLevel="2" x14ac:dyDescent="0.35">
      <c r="A44" s="25" t="s">
        <v>23</v>
      </c>
      <c r="B44" s="25" t="s">
        <v>2438</v>
      </c>
      <c r="C44" s="26">
        <v>319006</v>
      </c>
      <c r="D44" s="25" t="s">
        <v>113</v>
      </c>
      <c r="E44" s="25" t="s">
        <v>114</v>
      </c>
      <c r="F44" s="26" t="s">
        <v>27</v>
      </c>
      <c r="G44" s="26" t="s">
        <v>27</v>
      </c>
      <c r="H44" s="26">
        <v>1</v>
      </c>
      <c r="I44" s="26">
        <v>6</v>
      </c>
      <c r="J44" s="26">
        <v>1</v>
      </c>
      <c r="K44" s="26">
        <v>138</v>
      </c>
      <c r="L44" s="26" t="s">
        <v>28</v>
      </c>
      <c r="M44" s="27">
        <v>680</v>
      </c>
      <c r="N44" s="30">
        <v>537965.06000000006</v>
      </c>
      <c r="O44" s="26" t="s">
        <v>29</v>
      </c>
      <c r="P44" s="29"/>
      <c r="Q44" s="6"/>
      <c r="R44" s="29"/>
      <c r="S44" s="10"/>
      <c r="T44" s="8">
        <v>1</v>
      </c>
    </row>
    <row r="45" spans="1:26" ht="15.75" customHeight="1" outlineLevel="1" x14ac:dyDescent="0.35">
      <c r="A45" s="25"/>
      <c r="B45" s="53" t="s">
        <v>2439</v>
      </c>
      <c r="C45" s="26"/>
      <c r="D45" s="25"/>
      <c r="E45" s="25"/>
      <c r="F45" s="26"/>
      <c r="G45" s="26"/>
      <c r="H45" s="26">
        <f t="shared" ref="H45:I45" si="2">SUBTOTAL(9,H34:H44)</f>
        <v>11</v>
      </c>
      <c r="I45" s="26">
        <f t="shared" si="2"/>
        <v>60</v>
      </c>
      <c r="J45" s="26"/>
      <c r="K45" s="26"/>
      <c r="L45" s="26"/>
      <c r="M45" s="27"/>
      <c r="N45" s="30">
        <f>SUBTOTAL(9,N34:N44)</f>
        <v>5955966.2400000002</v>
      </c>
      <c r="O45" s="26"/>
      <c r="P45" s="29"/>
      <c r="Q45" s="6"/>
      <c r="R45" s="29"/>
      <c r="S45" s="10"/>
      <c r="T45" s="8"/>
    </row>
    <row r="46" spans="1:26" ht="25.5" customHeight="1" x14ac:dyDescent="0.35">
      <c r="A46" s="19"/>
      <c r="B46" s="19"/>
      <c r="C46" s="19"/>
      <c r="D46" s="50"/>
      <c r="E46" s="50"/>
      <c r="F46" s="19"/>
      <c r="G46" s="19"/>
      <c r="H46" s="48"/>
      <c r="I46" s="48"/>
      <c r="J46" s="19"/>
      <c r="K46" s="48"/>
      <c r="L46" s="54"/>
      <c r="M46" s="48"/>
      <c r="N46" s="48"/>
      <c r="O46" s="19"/>
      <c r="P46" s="45"/>
      <c r="Q46" s="51"/>
      <c r="R46" s="26"/>
      <c r="S46" s="55"/>
      <c r="T46" s="44"/>
      <c r="U46" s="54"/>
      <c r="V46" s="50"/>
      <c r="W46" s="19"/>
      <c r="X46" s="19"/>
      <c r="Y46" s="19"/>
      <c r="Z46" s="19"/>
    </row>
    <row r="47" spans="1:26" ht="25.5" customHeight="1" x14ac:dyDescent="0.35">
      <c r="A47" s="19"/>
      <c r="B47" s="56" t="s">
        <v>2377</v>
      </c>
      <c r="C47" s="19"/>
      <c r="D47" s="50"/>
      <c r="E47" s="50"/>
      <c r="F47" s="57"/>
      <c r="G47" s="57"/>
      <c r="H47" s="171" t="s">
        <v>2377</v>
      </c>
      <c r="I47" s="172"/>
      <c r="J47" s="19"/>
      <c r="K47" s="48"/>
      <c r="L47" s="54"/>
      <c r="M47" s="48"/>
      <c r="N47" s="48"/>
      <c r="O47" s="19"/>
      <c r="P47" s="51"/>
      <c r="Q47" s="51"/>
      <c r="R47" s="26"/>
      <c r="S47" s="55"/>
      <c r="T47" s="44"/>
      <c r="U47" s="54"/>
      <c r="V47" s="50"/>
      <c r="W47" s="19"/>
      <c r="X47" s="19"/>
      <c r="Y47" s="19"/>
      <c r="Z47" s="19"/>
    </row>
    <row r="48" spans="1:26" ht="25.5" customHeight="1" x14ac:dyDescent="0.35">
      <c r="A48" s="19"/>
      <c r="B48" s="19"/>
      <c r="C48" s="19"/>
      <c r="D48" s="50"/>
      <c r="E48" s="50"/>
      <c r="F48" s="19"/>
      <c r="G48" s="19"/>
      <c r="H48" s="19"/>
      <c r="I48" s="19"/>
      <c r="J48" s="19"/>
      <c r="K48" s="48"/>
      <c r="L48" s="54"/>
      <c r="M48" s="48"/>
      <c r="N48" s="48"/>
      <c r="O48" s="19"/>
      <c r="P48" s="51"/>
      <c r="Q48" s="51"/>
      <c r="R48" s="26"/>
      <c r="S48" s="55"/>
      <c r="T48" s="44"/>
      <c r="U48" s="54"/>
      <c r="V48" s="50"/>
      <c r="W48" s="19"/>
      <c r="X48" s="19"/>
      <c r="Y48" s="19"/>
      <c r="Z48" s="19"/>
    </row>
    <row r="49" spans="1:26" ht="25.5" customHeight="1" x14ac:dyDescent="0.35">
      <c r="A49" s="19"/>
      <c r="B49" s="19"/>
      <c r="C49" s="19"/>
      <c r="D49" s="50"/>
      <c r="E49" s="50"/>
      <c r="F49" s="19"/>
      <c r="G49" s="19"/>
      <c r="H49" s="48"/>
      <c r="I49" s="48"/>
      <c r="J49" s="19"/>
      <c r="K49" s="48"/>
      <c r="L49" s="54"/>
      <c r="M49" s="48"/>
      <c r="N49" s="48"/>
      <c r="O49" s="19"/>
      <c r="P49" s="51"/>
      <c r="Q49" s="51"/>
      <c r="R49" s="26"/>
      <c r="S49" s="55"/>
      <c r="T49" s="44"/>
      <c r="U49" s="54"/>
      <c r="V49" s="50"/>
      <c r="W49" s="19"/>
      <c r="X49" s="19"/>
      <c r="Y49" s="19"/>
      <c r="Z49" s="19"/>
    </row>
    <row r="50" spans="1:26" ht="25.5" customHeight="1" x14ac:dyDescent="0.35">
      <c r="A50" s="19"/>
      <c r="B50" s="19"/>
      <c r="C50" s="58"/>
      <c r="D50" s="78" t="s">
        <v>2432</v>
      </c>
      <c r="E50" s="50"/>
      <c r="F50" s="19"/>
      <c r="G50" s="19"/>
      <c r="H50" s="48"/>
      <c r="I50" s="48"/>
      <c r="J50" s="19"/>
      <c r="K50" s="48"/>
      <c r="L50" s="54"/>
      <c r="M50" s="173" t="s">
        <v>2433</v>
      </c>
      <c r="N50" s="172"/>
      <c r="O50" s="172"/>
      <c r="P50" s="51"/>
      <c r="Q50" s="51"/>
      <c r="R50" s="26"/>
      <c r="S50" s="55"/>
      <c r="T50" s="44"/>
      <c r="U50" s="54"/>
      <c r="V50" s="50"/>
      <c r="W50" s="19"/>
      <c r="X50" s="19"/>
      <c r="Y50" s="19"/>
      <c r="Z50" s="19"/>
    </row>
    <row r="51" spans="1:26" ht="29.25" customHeight="1" x14ac:dyDescent="0.35">
      <c r="A51" s="19"/>
      <c r="B51" s="19"/>
      <c r="C51" s="59"/>
      <c r="D51" s="56" t="s">
        <v>2434</v>
      </c>
      <c r="E51" s="60"/>
      <c r="F51" s="56"/>
      <c r="G51" s="56"/>
      <c r="H51" s="61"/>
      <c r="I51" s="61"/>
      <c r="J51" s="56"/>
      <c r="K51" s="61"/>
      <c r="L51" s="62"/>
      <c r="M51" s="174" t="s">
        <v>2435</v>
      </c>
      <c r="N51" s="172"/>
      <c r="O51" s="172"/>
      <c r="P51" s="63"/>
      <c r="Q51" s="51"/>
      <c r="R51" s="26"/>
      <c r="S51" s="55"/>
      <c r="T51" s="44"/>
      <c r="U51" s="54"/>
      <c r="V51" s="50"/>
      <c r="W51" s="19"/>
      <c r="X51" s="19"/>
      <c r="Y51" s="19"/>
      <c r="Z51" s="19"/>
    </row>
    <row r="52" spans="1:26" ht="15.75" customHeight="1" outlineLevel="2" x14ac:dyDescent="0.35">
      <c r="A52" s="25" t="s">
        <v>23</v>
      </c>
      <c r="B52" s="25" t="s">
        <v>2440</v>
      </c>
      <c r="C52" s="26">
        <v>135965</v>
      </c>
      <c r="D52" s="25" t="s">
        <v>116</v>
      </c>
      <c r="E52" s="25" t="s">
        <v>117</v>
      </c>
      <c r="F52" s="26" t="s">
        <v>27</v>
      </c>
      <c r="G52" s="26" t="s">
        <v>27</v>
      </c>
      <c r="H52" s="26">
        <v>1</v>
      </c>
      <c r="I52" s="26">
        <v>1</v>
      </c>
      <c r="J52" s="26">
        <v>1</v>
      </c>
      <c r="K52" s="26">
        <v>138</v>
      </c>
      <c r="L52" s="26" t="s">
        <v>28</v>
      </c>
      <c r="M52" s="27">
        <v>701</v>
      </c>
      <c r="N52" s="28">
        <v>231941.93</v>
      </c>
      <c r="O52" s="26" t="s">
        <v>29</v>
      </c>
      <c r="P52" s="29"/>
      <c r="Q52" s="6"/>
      <c r="R52" s="29"/>
      <c r="S52" s="10"/>
      <c r="T52" s="8">
        <v>1</v>
      </c>
    </row>
    <row r="53" spans="1:26" ht="15.75" customHeight="1" outlineLevel="2" x14ac:dyDescent="0.35">
      <c r="A53" s="25" t="s">
        <v>23</v>
      </c>
      <c r="B53" s="25" t="s">
        <v>2440</v>
      </c>
      <c r="C53" s="26">
        <v>135966</v>
      </c>
      <c r="D53" s="25" t="s">
        <v>118</v>
      </c>
      <c r="E53" s="25" t="s">
        <v>117</v>
      </c>
      <c r="F53" s="26" t="s">
        <v>27</v>
      </c>
      <c r="G53" s="26" t="s">
        <v>27</v>
      </c>
      <c r="H53" s="26">
        <v>1</v>
      </c>
      <c r="I53" s="26">
        <v>2</v>
      </c>
      <c r="J53" s="26">
        <v>1</v>
      </c>
      <c r="K53" s="26">
        <v>138</v>
      </c>
      <c r="L53" s="26" t="s">
        <v>28</v>
      </c>
      <c r="M53" s="27">
        <v>703</v>
      </c>
      <c r="N53" s="28">
        <v>680800.49</v>
      </c>
      <c r="O53" s="26" t="s">
        <v>29</v>
      </c>
      <c r="P53" s="29"/>
      <c r="Q53" s="6"/>
      <c r="R53" s="29"/>
      <c r="S53" s="10"/>
      <c r="T53" s="8">
        <v>1</v>
      </c>
    </row>
    <row r="54" spans="1:26" ht="15.75" customHeight="1" outlineLevel="2" x14ac:dyDescent="0.35">
      <c r="A54" s="25" t="s">
        <v>23</v>
      </c>
      <c r="B54" s="25" t="s">
        <v>2440</v>
      </c>
      <c r="C54" s="26">
        <v>135968</v>
      </c>
      <c r="D54" s="25" t="s">
        <v>119</v>
      </c>
      <c r="E54" s="25" t="s">
        <v>117</v>
      </c>
      <c r="F54" s="26" t="s">
        <v>27</v>
      </c>
      <c r="G54" s="26" t="s">
        <v>27</v>
      </c>
      <c r="H54" s="26">
        <v>1</v>
      </c>
      <c r="I54" s="26">
        <v>1</v>
      </c>
      <c r="J54" s="26">
        <v>1</v>
      </c>
      <c r="K54" s="26">
        <v>138</v>
      </c>
      <c r="L54" s="26" t="s">
        <v>28</v>
      </c>
      <c r="M54" s="27">
        <v>705</v>
      </c>
      <c r="N54" s="28">
        <v>351309.51</v>
      </c>
      <c r="O54" s="26" t="s">
        <v>29</v>
      </c>
      <c r="P54" s="29"/>
      <c r="Q54" s="6"/>
      <c r="R54" s="29"/>
      <c r="S54" s="10"/>
      <c r="T54" s="8">
        <v>1</v>
      </c>
    </row>
    <row r="55" spans="1:26" ht="15.75" customHeight="1" outlineLevel="2" x14ac:dyDescent="0.35">
      <c r="A55" s="25" t="s">
        <v>23</v>
      </c>
      <c r="B55" s="25" t="s">
        <v>2440</v>
      </c>
      <c r="C55" s="26">
        <v>135969</v>
      </c>
      <c r="D55" s="25" t="s">
        <v>120</v>
      </c>
      <c r="E55" s="25" t="s">
        <v>117</v>
      </c>
      <c r="F55" s="26" t="s">
        <v>27</v>
      </c>
      <c r="G55" s="26" t="s">
        <v>27</v>
      </c>
      <c r="H55" s="26">
        <v>1</v>
      </c>
      <c r="I55" s="26">
        <v>3</v>
      </c>
      <c r="J55" s="26">
        <v>1</v>
      </c>
      <c r="K55" s="26">
        <v>138</v>
      </c>
      <c r="L55" s="26" t="s">
        <v>28</v>
      </c>
      <c r="M55" s="27">
        <v>706</v>
      </c>
      <c r="N55" s="28">
        <v>483534.77</v>
      </c>
      <c r="O55" s="26" t="s">
        <v>29</v>
      </c>
      <c r="P55" s="29"/>
      <c r="Q55" s="6"/>
      <c r="R55" s="29"/>
      <c r="S55" s="10"/>
      <c r="T55" s="8">
        <v>1</v>
      </c>
    </row>
    <row r="56" spans="1:26" ht="15.75" customHeight="1" outlineLevel="2" x14ac:dyDescent="0.35">
      <c r="A56" s="25" t="s">
        <v>23</v>
      </c>
      <c r="B56" s="25" t="s">
        <v>2440</v>
      </c>
      <c r="C56" s="26">
        <v>135970</v>
      </c>
      <c r="D56" s="25" t="s">
        <v>121</v>
      </c>
      <c r="E56" s="25" t="s">
        <v>117</v>
      </c>
      <c r="F56" s="26" t="s">
        <v>27</v>
      </c>
      <c r="G56" s="26" t="s">
        <v>27</v>
      </c>
      <c r="H56" s="26">
        <v>1</v>
      </c>
      <c r="I56" s="26">
        <v>1</v>
      </c>
      <c r="J56" s="26">
        <v>1</v>
      </c>
      <c r="K56" s="26">
        <v>138</v>
      </c>
      <c r="L56" s="26" t="s">
        <v>28</v>
      </c>
      <c r="M56" s="27">
        <v>709</v>
      </c>
      <c r="N56" s="28">
        <v>92771.34</v>
      </c>
      <c r="O56" s="26" t="s">
        <v>29</v>
      </c>
      <c r="P56" s="29"/>
      <c r="Q56" s="6"/>
      <c r="R56" s="29"/>
      <c r="S56" s="10"/>
      <c r="T56" s="8">
        <v>1</v>
      </c>
    </row>
    <row r="57" spans="1:26" ht="15.75" customHeight="1" outlineLevel="2" x14ac:dyDescent="0.35">
      <c r="A57" s="25" t="s">
        <v>23</v>
      </c>
      <c r="B57" s="25" t="s">
        <v>2440</v>
      </c>
      <c r="C57" s="26">
        <v>135975</v>
      </c>
      <c r="D57" s="25" t="s">
        <v>122</v>
      </c>
      <c r="E57" s="25" t="s">
        <v>117</v>
      </c>
      <c r="F57" s="26" t="s">
        <v>27</v>
      </c>
      <c r="G57" s="26" t="s">
        <v>27</v>
      </c>
      <c r="H57" s="26">
        <v>1</v>
      </c>
      <c r="I57" s="26">
        <v>4</v>
      </c>
      <c r="J57" s="26">
        <v>1</v>
      </c>
      <c r="K57" s="26">
        <v>138</v>
      </c>
      <c r="L57" s="26" t="s">
        <v>28</v>
      </c>
      <c r="M57" s="27">
        <v>721</v>
      </c>
      <c r="N57" s="28">
        <v>480823.46</v>
      </c>
      <c r="O57" s="26" t="s">
        <v>29</v>
      </c>
      <c r="P57" s="29"/>
      <c r="Q57" s="6"/>
      <c r="R57" s="29"/>
      <c r="S57" s="10"/>
      <c r="T57" s="8">
        <v>1</v>
      </c>
    </row>
    <row r="58" spans="1:26" ht="15.75" customHeight="1" outlineLevel="2" x14ac:dyDescent="0.35">
      <c r="A58" s="25" t="s">
        <v>23</v>
      </c>
      <c r="B58" s="25" t="s">
        <v>2440</v>
      </c>
      <c r="C58" s="26">
        <v>135977</v>
      </c>
      <c r="D58" s="25" t="s">
        <v>123</v>
      </c>
      <c r="E58" s="25" t="s">
        <v>117</v>
      </c>
      <c r="F58" s="26" t="s">
        <v>27</v>
      </c>
      <c r="G58" s="26" t="s">
        <v>27</v>
      </c>
      <c r="H58" s="26">
        <v>1</v>
      </c>
      <c r="I58" s="26">
        <v>6</v>
      </c>
      <c r="J58" s="26">
        <v>1</v>
      </c>
      <c r="K58" s="26">
        <v>138</v>
      </c>
      <c r="L58" s="26" t="s">
        <v>28</v>
      </c>
      <c r="M58" s="27">
        <v>725</v>
      </c>
      <c r="N58" s="28">
        <v>445017.81</v>
      </c>
      <c r="O58" s="26" t="s">
        <v>29</v>
      </c>
      <c r="P58" s="29"/>
      <c r="Q58" s="6"/>
      <c r="R58" s="29"/>
      <c r="S58" s="10"/>
      <c r="T58" s="8">
        <v>1</v>
      </c>
    </row>
    <row r="59" spans="1:26" ht="15.75" customHeight="1" outlineLevel="2" x14ac:dyDescent="0.35">
      <c r="A59" s="25" t="s">
        <v>23</v>
      </c>
      <c r="B59" s="25" t="s">
        <v>2440</v>
      </c>
      <c r="C59" s="26">
        <v>135985</v>
      </c>
      <c r="D59" s="25" t="s">
        <v>124</v>
      </c>
      <c r="E59" s="25" t="s">
        <v>117</v>
      </c>
      <c r="F59" s="26" t="s">
        <v>27</v>
      </c>
      <c r="G59" s="26" t="s">
        <v>27</v>
      </c>
      <c r="H59" s="26">
        <v>1</v>
      </c>
      <c r="I59" s="26">
        <v>6</v>
      </c>
      <c r="J59" s="26">
        <v>1</v>
      </c>
      <c r="K59" s="26">
        <v>138</v>
      </c>
      <c r="L59" s="26" t="s">
        <v>28</v>
      </c>
      <c r="M59" s="27">
        <v>743</v>
      </c>
      <c r="N59" s="28">
        <v>600152.85</v>
      </c>
      <c r="O59" s="26" t="s">
        <v>29</v>
      </c>
      <c r="P59" s="29"/>
      <c r="Q59" s="6"/>
      <c r="R59" s="29"/>
      <c r="S59" s="10"/>
      <c r="T59" s="8">
        <v>1</v>
      </c>
    </row>
    <row r="60" spans="1:26" ht="15.75" customHeight="1" outlineLevel="2" x14ac:dyDescent="0.35">
      <c r="A60" s="25" t="s">
        <v>23</v>
      </c>
      <c r="B60" s="25" t="s">
        <v>2440</v>
      </c>
      <c r="C60" s="26">
        <v>135986</v>
      </c>
      <c r="D60" s="25" t="s">
        <v>125</v>
      </c>
      <c r="E60" s="25" t="s">
        <v>117</v>
      </c>
      <c r="F60" s="26" t="s">
        <v>27</v>
      </c>
      <c r="G60" s="26" t="s">
        <v>27</v>
      </c>
      <c r="H60" s="26">
        <v>1</v>
      </c>
      <c r="I60" s="26">
        <v>3</v>
      </c>
      <c r="J60" s="26">
        <v>1</v>
      </c>
      <c r="K60" s="26">
        <v>138</v>
      </c>
      <c r="L60" s="26" t="s">
        <v>28</v>
      </c>
      <c r="M60" s="27">
        <v>745</v>
      </c>
      <c r="N60" s="28">
        <v>477185.26</v>
      </c>
      <c r="O60" s="26" t="s">
        <v>29</v>
      </c>
      <c r="P60" s="29"/>
      <c r="Q60" s="6"/>
      <c r="R60" s="29"/>
      <c r="S60" s="10"/>
      <c r="T60" s="8">
        <v>1</v>
      </c>
    </row>
    <row r="61" spans="1:26" ht="15.75" customHeight="1" outlineLevel="2" x14ac:dyDescent="0.35">
      <c r="A61" s="25" t="s">
        <v>23</v>
      </c>
      <c r="B61" s="25" t="s">
        <v>2440</v>
      </c>
      <c r="C61" s="26">
        <v>135988</v>
      </c>
      <c r="D61" s="25" t="s">
        <v>126</v>
      </c>
      <c r="E61" s="25" t="s">
        <v>127</v>
      </c>
      <c r="F61" s="26" t="s">
        <v>27</v>
      </c>
      <c r="G61" s="26" t="s">
        <v>27</v>
      </c>
      <c r="H61" s="26">
        <v>1</v>
      </c>
      <c r="I61" s="26">
        <v>1</v>
      </c>
      <c r="J61" s="26">
        <v>1</v>
      </c>
      <c r="K61" s="26">
        <v>138</v>
      </c>
      <c r="L61" s="26" t="s">
        <v>28</v>
      </c>
      <c r="M61" s="27">
        <v>717</v>
      </c>
      <c r="N61" s="28">
        <v>92038.13</v>
      </c>
      <c r="O61" s="26" t="s">
        <v>29</v>
      </c>
      <c r="P61" s="29"/>
      <c r="Q61" s="6"/>
      <c r="R61" s="29"/>
      <c r="S61" s="10"/>
      <c r="T61" s="8">
        <v>1</v>
      </c>
    </row>
    <row r="62" spans="1:26" ht="15.75" customHeight="1" outlineLevel="2" x14ac:dyDescent="0.35">
      <c r="A62" s="25" t="s">
        <v>23</v>
      </c>
      <c r="B62" s="25" t="s">
        <v>2440</v>
      </c>
      <c r="C62" s="26">
        <v>135990</v>
      </c>
      <c r="D62" s="25" t="s">
        <v>128</v>
      </c>
      <c r="E62" s="25" t="s">
        <v>127</v>
      </c>
      <c r="F62" s="26" t="s">
        <v>27</v>
      </c>
      <c r="G62" s="26" t="s">
        <v>27</v>
      </c>
      <c r="H62" s="26">
        <v>1</v>
      </c>
      <c r="I62" s="26">
        <v>1</v>
      </c>
      <c r="J62" s="26">
        <v>1</v>
      </c>
      <c r="K62" s="26">
        <v>138</v>
      </c>
      <c r="L62" s="26" t="s">
        <v>28</v>
      </c>
      <c r="M62" s="27">
        <v>719</v>
      </c>
      <c r="N62" s="28">
        <v>145589.59</v>
      </c>
      <c r="O62" s="26" t="s">
        <v>29</v>
      </c>
      <c r="P62" s="29"/>
      <c r="Q62" s="6"/>
      <c r="R62" s="29"/>
      <c r="S62" s="10"/>
      <c r="T62" s="8">
        <v>1</v>
      </c>
    </row>
    <row r="63" spans="1:26" ht="15.75" customHeight="1" outlineLevel="2" x14ac:dyDescent="0.35">
      <c r="A63" s="25" t="s">
        <v>23</v>
      </c>
      <c r="B63" s="25" t="s">
        <v>2440</v>
      </c>
      <c r="C63" s="26">
        <v>135991</v>
      </c>
      <c r="D63" s="25" t="s">
        <v>129</v>
      </c>
      <c r="E63" s="25" t="s">
        <v>127</v>
      </c>
      <c r="F63" s="26" t="s">
        <v>27</v>
      </c>
      <c r="G63" s="26" t="s">
        <v>27</v>
      </c>
      <c r="H63" s="26">
        <v>1</v>
      </c>
      <c r="I63" s="26">
        <v>1</v>
      </c>
      <c r="J63" s="26">
        <v>1</v>
      </c>
      <c r="K63" s="26">
        <v>138</v>
      </c>
      <c r="L63" s="26" t="s">
        <v>28</v>
      </c>
      <c r="M63" s="27">
        <v>722</v>
      </c>
      <c r="N63" s="28">
        <v>60030.07</v>
      </c>
      <c r="O63" s="26" t="s">
        <v>29</v>
      </c>
      <c r="P63" s="29"/>
      <c r="Q63" s="6"/>
      <c r="R63" s="29"/>
      <c r="S63" s="10"/>
      <c r="T63" s="8">
        <v>1</v>
      </c>
    </row>
    <row r="64" spans="1:26" ht="15.75" customHeight="1" outlineLevel="2" x14ac:dyDescent="0.35">
      <c r="A64" s="25" t="s">
        <v>23</v>
      </c>
      <c r="B64" s="25" t="s">
        <v>2440</v>
      </c>
      <c r="C64" s="26">
        <v>136020</v>
      </c>
      <c r="D64" s="25" t="s">
        <v>131</v>
      </c>
      <c r="E64" s="25" t="s">
        <v>132</v>
      </c>
      <c r="F64" s="26" t="s">
        <v>27</v>
      </c>
      <c r="G64" s="26" t="s">
        <v>27</v>
      </c>
      <c r="H64" s="26">
        <v>1</v>
      </c>
      <c r="I64" s="26">
        <v>1</v>
      </c>
      <c r="J64" s="26">
        <v>1</v>
      </c>
      <c r="K64" s="26">
        <v>138</v>
      </c>
      <c r="L64" s="26" t="s">
        <v>28</v>
      </c>
      <c r="M64" s="27">
        <v>714</v>
      </c>
      <c r="N64" s="28">
        <v>90008.33</v>
      </c>
      <c r="O64" s="26" t="s">
        <v>29</v>
      </c>
      <c r="P64" s="29"/>
      <c r="Q64" s="6"/>
      <c r="R64" s="29"/>
      <c r="S64" s="10"/>
      <c r="T64" s="8">
        <v>1</v>
      </c>
    </row>
    <row r="65" spans="1:26" ht="15.75" customHeight="1" outlineLevel="2" x14ac:dyDescent="0.35">
      <c r="A65" s="25" t="s">
        <v>23</v>
      </c>
      <c r="B65" s="25" t="s">
        <v>2440</v>
      </c>
      <c r="C65" s="26">
        <v>136021</v>
      </c>
      <c r="D65" s="25" t="s">
        <v>133</v>
      </c>
      <c r="E65" s="25" t="s">
        <v>132</v>
      </c>
      <c r="F65" s="26" t="s">
        <v>27</v>
      </c>
      <c r="G65" s="26" t="s">
        <v>27</v>
      </c>
      <c r="H65" s="26">
        <v>1</v>
      </c>
      <c r="I65" s="26">
        <v>1</v>
      </c>
      <c r="J65" s="26">
        <v>1</v>
      </c>
      <c r="K65" s="26">
        <v>138</v>
      </c>
      <c r="L65" s="26" t="s">
        <v>28</v>
      </c>
      <c r="M65" s="27">
        <v>715</v>
      </c>
      <c r="N65" s="28">
        <v>75019.41</v>
      </c>
      <c r="O65" s="26" t="s">
        <v>29</v>
      </c>
      <c r="P65" s="29"/>
      <c r="Q65" s="6"/>
      <c r="R65" s="29"/>
      <c r="S65" s="10"/>
      <c r="T65" s="8">
        <v>1</v>
      </c>
    </row>
    <row r="66" spans="1:26" ht="15.75" customHeight="1" outlineLevel="2" x14ac:dyDescent="0.35">
      <c r="A66" s="25" t="s">
        <v>23</v>
      </c>
      <c r="B66" s="25" t="s">
        <v>2440</v>
      </c>
      <c r="C66" s="26">
        <v>136036</v>
      </c>
      <c r="D66" s="25" t="s">
        <v>134</v>
      </c>
      <c r="E66" s="25" t="s">
        <v>135</v>
      </c>
      <c r="F66" s="26" t="s">
        <v>27</v>
      </c>
      <c r="G66" s="26" t="s">
        <v>27</v>
      </c>
      <c r="H66" s="26">
        <v>1</v>
      </c>
      <c r="I66" s="26">
        <v>1</v>
      </c>
      <c r="J66" s="26">
        <v>1</v>
      </c>
      <c r="K66" s="26">
        <v>138</v>
      </c>
      <c r="L66" s="26" t="s">
        <v>28</v>
      </c>
      <c r="M66" s="27">
        <v>699</v>
      </c>
      <c r="N66" s="28">
        <v>115317.67</v>
      </c>
      <c r="O66" s="26" t="s">
        <v>29</v>
      </c>
      <c r="P66" s="29"/>
      <c r="Q66" s="6"/>
      <c r="R66" s="29"/>
      <c r="S66" s="10"/>
      <c r="T66" s="8">
        <v>1</v>
      </c>
    </row>
    <row r="67" spans="1:26" ht="15.75" customHeight="1" outlineLevel="2" x14ac:dyDescent="0.35">
      <c r="A67" s="25" t="s">
        <v>23</v>
      </c>
      <c r="B67" s="25" t="s">
        <v>2440</v>
      </c>
      <c r="C67" s="26">
        <v>136037</v>
      </c>
      <c r="D67" s="25" t="s">
        <v>136</v>
      </c>
      <c r="E67" s="25" t="s">
        <v>135</v>
      </c>
      <c r="F67" s="26" t="s">
        <v>27</v>
      </c>
      <c r="G67" s="26" t="s">
        <v>27</v>
      </c>
      <c r="H67" s="26">
        <v>1</v>
      </c>
      <c r="I67" s="26">
        <v>2</v>
      </c>
      <c r="J67" s="26">
        <v>1</v>
      </c>
      <c r="K67" s="26">
        <v>138</v>
      </c>
      <c r="L67" s="26" t="s">
        <v>28</v>
      </c>
      <c r="M67" s="27">
        <v>704</v>
      </c>
      <c r="N67" s="28">
        <v>680998.83</v>
      </c>
      <c r="O67" s="26" t="s">
        <v>29</v>
      </c>
      <c r="P67" s="29"/>
      <c r="Q67" s="6"/>
      <c r="R67" s="29"/>
      <c r="S67" s="10"/>
      <c r="T67" s="8">
        <v>1</v>
      </c>
    </row>
    <row r="68" spans="1:26" ht="15.75" customHeight="1" outlineLevel="2" x14ac:dyDescent="0.35">
      <c r="A68" s="25" t="s">
        <v>23</v>
      </c>
      <c r="B68" s="25" t="s">
        <v>2440</v>
      </c>
      <c r="C68" s="26">
        <v>136051</v>
      </c>
      <c r="D68" s="25" t="s">
        <v>137</v>
      </c>
      <c r="E68" s="25" t="s">
        <v>135</v>
      </c>
      <c r="F68" s="26" t="s">
        <v>27</v>
      </c>
      <c r="G68" s="26" t="s">
        <v>27</v>
      </c>
      <c r="H68" s="26">
        <v>1</v>
      </c>
      <c r="I68" s="26">
        <v>2</v>
      </c>
      <c r="J68" s="26">
        <v>1</v>
      </c>
      <c r="K68" s="26">
        <v>138</v>
      </c>
      <c r="L68" s="26" t="s">
        <v>28</v>
      </c>
      <c r="M68" s="27">
        <v>723</v>
      </c>
      <c r="N68" s="28">
        <v>140168.49</v>
      </c>
      <c r="O68" s="26" t="s">
        <v>29</v>
      </c>
      <c r="P68" s="29"/>
      <c r="Q68" s="6"/>
      <c r="R68" s="29"/>
      <c r="S68" s="10"/>
      <c r="T68" s="8">
        <v>1</v>
      </c>
    </row>
    <row r="69" spans="1:26" ht="15.75" customHeight="1" outlineLevel="2" x14ac:dyDescent="0.35">
      <c r="A69" s="25" t="s">
        <v>23</v>
      </c>
      <c r="B69" s="25" t="s">
        <v>2440</v>
      </c>
      <c r="C69" s="26">
        <v>136060</v>
      </c>
      <c r="D69" s="25" t="s">
        <v>138</v>
      </c>
      <c r="E69" s="25" t="s">
        <v>135</v>
      </c>
      <c r="F69" s="26" t="s">
        <v>27</v>
      </c>
      <c r="G69" s="26" t="s">
        <v>27</v>
      </c>
      <c r="H69" s="26">
        <v>1</v>
      </c>
      <c r="I69" s="26">
        <v>3</v>
      </c>
      <c r="J69" s="26">
        <v>1</v>
      </c>
      <c r="K69" s="26">
        <v>138</v>
      </c>
      <c r="L69" s="26" t="s">
        <v>28</v>
      </c>
      <c r="M69" s="27">
        <v>739</v>
      </c>
      <c r="N69" s="28">
        <v>393590.64</v>
      </c>
      <c r="O69" s="26" t="s">
        <v>29</v>
      </c>
      <c r="P69" s="29"/>
      <c r="Q69" s="6"/>
      <c r="R69" s="29"/>
      <c r="S69" s="10"/>
      <c r="T69" s="8">
        <v>1</v>
      </c>
    </row>
    <row r="70" spans="1:26" ht="15.75" customHeight="1" outlineLevel="2" x14ac:dyDescent="0.35">
      <c r="A70" s="25" t="s">
        <v>23</v>
      </c>
      <c r="B70" s="25" t="s">
        <v>2440</v>
      </c>
      <c r="C70" s="26">
        <v>136116</v>
      </c>
      <c r="D70" s="25" t="s">
        <v>139</v>
      </c>
      <c r="E70" s="25" t="s">
        <v>140</v>
      </c>
      <c r="F70" s="26" t="s">
        <v>27</v>
      </c>
      <c r="G70" s="26" t="s">
        <v>27</v>
      </c>
      <c r="H70" s="26">
        <v>1</v>
      </c>
      <c r="I70" s="26">
        <v>1</v>
      </c>
      <c r="J70" s="26">
        <v>1</v>
      </c>
      <c r="K70" s="26">
        <v>138</v>
      </c>
      <c r="L70" s="26" t="s">
        <v>28</v>
      </c>
      <c r="M70" s="27">
        <v>696</v>
      </c>
      <c r="N70" s="28">
        <v>165143.57</v>
      </c>
      <c r="O70" s="26" t="s">
        <v>29</v>
      </c>
      <c r="P70" s="29"/>
      <c r="Q70" s="6"/>
      <c r="R70" s="29"/>
      <c r="S70" s="10"/>
      <c r="T70" s="8">
        <v>1</v>
      </c>
    </row>
    <row r="71" spans="1:26" ht="15.75" customHeight="1" outlineLevel="2" x14ac:dyDescent="0.35">
      <c r="A71" s="25" t="s">
        <v>23</v>
      </c>
      <c r="B71" s="25" t="s">
        <v>2440</v>
      </c>
      <c r="C71" s="26">
        <v>136121</v>
      </c>
      <c r="D71" s="25" t="s">
        <v>142</v>
      </c>
      <c r="E71" s="25" t="s">
        <v>140</v>
      </c>
      <c r="F71" s="26" t="s">
        <v>27</v>
      </c>
      <c r="G71" s="26" t="s">
        <v>27</v>
      </c>
      <c r="H71" s="26">
        <v>1</v>
      </c>
      <c r="I71" s="26">
        <v>4</v>
      </c>
      <c r="J71" s="26">
        <v>1</v>
      </c>
      <c r="K71" s="26">
        <v>138</v>
      </c>
      <c r="L71" s="26" t="s">
        <v>28</v>
      </c>
      <c r="M71" s="27">
        <v>718</v>
      </c>
      <c r="N71" s="28">
        <v>146393.25</v>
      </c>
      <c r="O71" s="26" t="s">
        <v>29</v>
      </c>
      <c r="P71" s="29"/>
      <c r="Q71" s="6"/>
      <c r="R71" s="29"/>
      <c r="S71" s="10"/>
      <c r="T71" s="8">
        <v>1</v>
      </c>
    </row>
    <row r="72" spans="1:26" ht="15.75" customHeight="1" outlineLevel="2" x14ac:dyDescent="0.35">
      <c r="A72" s="25" t="s">
        <v>23</v>
      </c>
      <c r="B72" s="25" t="s">
        <v>2440</v>
      </c>
      <c r="C72" s="26">
        <v>136125</v>
      </c>
      <c r="D72" s="25" t="s">
        <v>143</v>
      </c>
      <c r="E72" s="25" t="s">
        <v>140</v>
      </c>
      <c r="F72" s="26" t="s">
        <v>27</v>
      </c>
      <c r="G72" s="26" t="s">
        <v>27</v>
      </c>
      <c r="H72" s="26">
        <v>1</v>
      </c>
      <c r="I72" s="26">
        <v>1</v>
      </c>
      <c r="J72" s="26">
        <v>1</v>
      </c>
      <c r="K72" s="26">
        <v>138</v>
      </c>
      <c r="L72" s="26" t="s">
        <v>28</v>
      </c>
      <c r="M72" s="27">
        <v>724</v>
      </c>
      <c r="N72" s="28">
        <v>90084.87</v>
      </c>
      <c r="O72" s="26" t="s">
        <v>29</v>
      </c>
      <c r="P72" s="29"/>
      <c r="Q72" s="6"/>
      <c r="R72" s="29"/>
      <c r="S72" s="10"/>
      <c r="T72" s="8">
        <v>1</v>
      </c>
    </row>
    <row r="73" spans="1:26" ht="15.75" customHeight="1" outlineLevel="2" x14ac:dyDescent="0.35">
      <c r="A73" s="25" t="s">
        <v>23</v>
      </c>
      <c r="B73" s="25" t="s">
        <v>2440</v>
      </c>
      <c r="C73" s="26">
        <v>136128</v>
      </c>
      <c r="D73" s="25" t="s">
        <v>144</v>
      </c>
      <c r="E73" s="25" t="s">
        <v>140</v>
      </c>
      <c r="F73" s="26" t="s">
        <v>27</v>
      </c>
      <c r="G73" s="26" t="s">
        <v>27</v>
      </c>
      <c r="H73" s="26">
        <v>1</v>
      </c>
      <c r="I73" s="26">
        <v>3</v>
      </c>
      <c r="J73" s="26">
        <v>1</v>
      </c>
      <c r="K73" s="26">
        <v>138</v>
      </c>
      <c r="L73" s="26" t="s">
        <v>28</v>
      </c>
      <c r="M73" s="27">
        <v>736</v>
      </c>
      <c r="N73" s="28">
        <v>144802.45000000001</v>
      </c>
      <c r="O73" s="26" t="s">
        <v>29</v>
      </c>
      <c r="P73" s="29"/>
      <c r="Q73" s="6"/>
      <c r="R73" s="29"/>
      <c r="S73" s="10"/>
      <c r="T73" s="8">
        <v>1</v>
      </c>
    </row>
    <row r="74" spans="1:26" ht="15.75" customHeight="1" outlineLevel="2" x14ac:dyDescent="0.35">
      <c r="A74" s="25" t="s">
        <v>23</v>
      </c>
      <c r="B74" s="25" t="s">
        <v>2440</v>
      </c>
      <c r="C74" s="26">
        <v>220509</v>
      </c>
      <c r="D74" s="25" t="s">
        <v>149</v>
      </c>
      <c r="E74" s="25" t="s">
        <v>140</v>
      </c>
      <c r="F74" s="26" t="s">
        <v>27</v>
      </c>
      <c r="G74" s="26" t="s">
        <v>27</v>
      </c>
      <c r="H74" s="26">
        <v>1</v>
      </c>
      <c r="I74" s="26">
        <v>1</v>
      </c>
      <c r="J74" s="26">
        <v>1</v>
      </c>
      <c r="K74" s="26">
        <v>138</v>
      </c>
      <c r="L74" s="26" t="s">
        <v>28</v>
      </c>
      <c r="M74" s="27">
        <v>729</v>
      </c>
      <c r="N74" s="28">
        <v>110504.51</v>
      </c>
      <c r="O74" s="26" t="s">
        <v>29</v>
      </c>
      <c r="P74" s="29"/>
      <c r="Q74" s="6"/>
      <c r="R74" s="29"/>
      <c r="S74" s="10"/>
      <c r="T74" s="8">
        <v>1</v>
      </c>
    </row>
    <row r="75" spans="1:26" ht="15.75" customHeight="1" outlineLevel="2" x14ac:dyDescent="0.35">
      <c r="A75" s="25" t="s">
        <v>23</v>
      </c>
      <c r="B75" s="25" t="s">
        <v>2440</v>
      </c>
      <c r="C75" s="26">
        <v>220511</v>
      </c>
      <c r="D75" s="25" t="s">
        <v>150</v>
      </c>
      <c r="E75" s="25" t="s">
        <v>135</v>
      </c>
      <c r="F75" s="26" t="s">
        <v>27</v>
      </c>
      <c r="G75" s="26" t="s">
        <v>27</v>
      </c>
      <c r="H75" s="26">
        <v>1</v>
      </c>
      <c r="I75" s="26">
        <v>1</v>
      </c>
      <c r="J75" s="26">
        <v>1</v>
      </c>
      <c r="K75" s="26">
        <v>138</v>
      </c>
      <c r="L75" s="26" t="s">
        <v>28</v>
      </c>
      <c r="M75" s="27">
        <v>695</v>
      </c>
      <c r="N75" s="28">
        <v>145546.34</v>
      </c>
      <c r="O75" s="26" t="s">
        <v>29</v>
      </c>
      <c r="P75" s="29"/>
      <c r="Q75" s="6"/>
      <c r="R75" s="29"/>
      <c r="S75" s="10"/>
      <c r="T75" s="8">
        <v>1</v>
      </c>
    </row>
    <row r="76" spans="1:26" ht="15.75" customHeight="1" outlineLevel="2" x14ac:dyDescent="0.35">
      <c r="A76" s="25" t="s">
        <v>23</v>
      </c>
      <c r="B76" s="25" t="s">
        <v>2440</v>
      </c>
      <c r="C76" s="26">
        <v>220516</v>
      </c>
      <c r="D76" s="25" t="s">
        <v>151</v>
      </c>
      <c r="E76" s="25" t="s">
        <v>135</v>
      </c>
      <c r="F76" s="26" t="s">
        <v>27</v>
      </c>
      <c r="G76" s="26" t="s">
        <v>27</v>
      </c>
      <c r="H76" s="26">
        <v>1</v>
      </c>
      <c r="I76" s="26">
        <v>2</v>
      </c>
      <c r="J76" s="26">
        <v>1</v>
      </c>
      <c r="K76" s="26">
        <v>138</v>
      </c>
      <c r="L76" s="26" t="s">
        <v>28</v>
      </c>
      <c r="M76" s="27">
        <v>716</v>
      </c>
      <c r="N76" s="28">
        <v>110076.5</v>
      </c>
      <c r="O76" s="26" t="s">
        <v>29</v>
      </c>
      <c r="P76" s="29"/>
      <c r="Q76" s="6"/>
      <c r="R76" s="29"/>
      <c r="S76" s="10"/>
      <c r="T76" s="8">
        <v>1</v>
      </c>
    </row>
    <row r="77" spans="1:26" ht="15.75" customHeight="1" outlineLevel="2" x14ac:dyDescent="0.35">
      <c r="A77" s="25" t="s">
        <v>23</v>
      </c>
      <c r="B77" s="25" t="s">
        <v>2440</v>
      </c>
      <c r="C77" s="26">
        <v>220527</v>
      </c>
      <c r="D77" s="25" t="s">
        <v>152</v>
      </c>
      <c r="E77" s="25" t="s">
        <v>135</v>
      </c>
      <c r="F77" s="26" t="s">
        <v>27</v>
      </c>
      <c r="G77" s="26" t="s">
        <v>27</v>
      </c>
      <c r="H77" s="26">
        <v>1</v>
      </c>
      <c r="I77" s="26">
        <v>1</v>
      </c>
      <c r="J77" s="26">
        <v>1</v>
      </c>
      <c r="K77" s="26">
        <v>138</v>
      </c>
      <c r="L77" s="26" t="s">
        <v>28</v>
      </c>
      <c r="M77" s="27">
        <v>694</v>
      </c>
      <c r="N77" s="28">
        <v>112190.04</v>
      </c>
      <c r="O77" s="26" t="s">
        <v>29</v>
      </c>
      <c r="P77" s="29"/>
      <c r="Q77" s="6"/>
      <c r="R77" s="29"/>
      <c r="S77" s="10"/>
      <c r="T77" s="8">
        <v>1</v>
      </c>
    </row>
    <row r="78" spans="1:26" ht="15.75" customHeight="1" outlineLevel="1" x14ac:dyDescent="0.35">
      <c r="A78" s="25"/>
      <c r="B78" s="53" t="s">
        <v>2441</v>
      </c>
      <c r="C78" s="26"/>
      <c r="D78" s="25"/>
      <c r="E78" s="25"/>
      <c r="F78" s="26"/>
      <c r="G78" s="26"/>
      <c r="H78" s="26">
        <f t="shared" ref="H78:I78" si="3">SUBTOTAL(9,H52:H77)</f>
        <v>26</v>
      </c>
      <c r="I78" s="26">
        <f t="shared" si="3"/>
        <v>54</v>
      </c>
      <c r="J78" s="26"/>
      <c r="K78" s="26"/>
      <c r="L78" s="26"/>
      <c r="M78" s="27"/>
      <c r="N78" s="28">
        <f>SUBTOTAL(9,N52:N77)</f>
        <v>6661040.1099999994</v>
      </c>
      <c r="O78" s="26"/>
      <c r="P78" s="29"/>
      <c r="Q78" s="6"/>
      <c r="R78" s="29"/>
      <c r="S78" s="10"/>
      <c r="T78" s="8"/>
    </row>
    <row r="79" spans="1:26" ht="25.5" customHeight="1" x14ac:dyDescent="0.35">
      <c r="A79" s="19"/>
      <c r="B79" s="19"/>
      <c r="C79" s="19"/>
      <c r="D79" s="50"/>
      <c r="E79" s="50"/>
      <c r="F79" s="19"/>
      <c r="G79" s="19"/>
      <c r="H79" s="48"/>
      <c r="I79" s="48"/>
      <c r="J79" s="19"/>
      <c r="K79" s="48"/>
      <c r="L79" s="54"/>
      <c r="M79" s="48"/>
      <c r="N79" s="48"/>
      <c r="O79" s="19"/>
      <c r="P79" s="45"/>
      <c r="Q79" s="51"/>
      <c r="R79" s="26"/>
      <c r="S79" s="55"/>
      <c r="T79" s="44"/>
      <c r="U79" s="54"/>
      <c r="V79" s="50"/>
      <c r="W79" s="19"/>
      <c r="X79" s="19"/>
      <c r="Y79" s="19"/>
      <c r="Z79" s="19"/>
    </row>
    <row r="80" spans="1:26" ht="25.5" customHeight="1" x14ac:dyDescent="0.35">
      <c r="A80" s="19"/>
      <c r="B80" s="56" t="s">
        <v>2377</v>
      </c>
      <c r="C80" s="19"/>
      <c r="D80" s="50"/>
      <c r="E80" s="50"/>
      <c r="F80" s="57"/>
      <c r="G80" s="57"/>
      <c r="H80" s="171" t="s">
        <v>2377</v>
      </c>
      <c r="I80" s="172"/>
      <c r="J80" s="19"/>
      <c r="K80" s="48"/>
      <c r="L80" s="54"/>
      <c r="M80" s="48"/>
      <c r="N80" s="48"/>
      <c r="O80" s="19"/>
      <c r="P80" s="51"/>
      <c r="Q80" s="51"/>
      <c r="R80" s="26"/>
      <c r="S80" s="55"/>
      <c r="T80" s="44"/>
      <c r="U80" s="54"/>
      <c r="V80" s="50"/>
      <c r="W80" s="19"/>
      <c r="X80" s="19"/>
      <c r="Y80" s="19"/>
      <c r="Z80" s="19"/>
    </row>
    <row r="81" spans="1:26" ht="25.5" customHeight="1" x14ac:dyDescent="0.35">
      <c r="A81" s="19"/>
      <c r="B81" s="19"/>
      <c r="C81" s="19"/>
      <c r="D81" s="50"/>
      <c r="E81" s="50"/>
      <c r="F81" s="19"/>
      <c r="G81" s="19"/>
      <c r="H81" s="19"/>
      <c r="I81" s="19"/>
      <c r="J81" s="19"/>
      <c r="K81" s="48"/>
      <c r="L81" s="54"/>
      <c r="M81" s="48"/>
      <c r="N81" s="48"/>
      <c r="O81" s="19"/>
      <c r="P81" s="51"/>
      <c r="Q81" s="51"/>
      <c r="R81" s="26"/>
      <c r="S81" s="55"/>
      <c r="T81" s="44"/>
      <c r="U81" s="54"/>
      <c r="V81" s="50"/>
      <c r="W81" s="19"/>
      <c r="X81" s="19"/>
      <c r="Y81" s="19"/>
      <c r="Z81" s="19"/>
    </row>
    <row r="82" spans="1:26" ht="25.5" customHeight="1" x14ac:dyDescent="0.35">
      <c r="A82" s="19"/>
      <c r="B82" s="19"/>
      <c r="C82" s="19"/>
      <c r="D82" s="50"/>
      <c r="E82" s="50"/>
      <c r="F82" s="19"/>
      <c r="G82" s="19"/>
      <c r="H82" s="48"/>
      <c r="I82" s="48"/>
      <c r="J82" s="19"/>
      <c r="K82" s="48"/>
      <c r="L82" s="54"/>
      <c r="M82" s="48"/>
      <c r="N82" s="48"/>
      <c r="O82" s="19"/>
      <c r="P82" s="51"/>
      <c r="Q82" s="51"/>
      <c r="R82" s="26"/>
      <c r="S82" s="55"/>
      <c r="T82" s="44"/>
      <c r="U82" s="54"/>
      <c r="V82" s="50"/>
      <c r="W82" s="19"/>
      <c r="X82" s="19"/>
      <c r="Y82" s="19"/>
      <c r="Z82" s="19"/>
    </row>
    <row r="83" spans="1:26" ht="25.5" customHeight="1" x14ac:dyDescent="0.35">
      <c r="A83" s="19"/>
      <c r="B83" s="19"/>
      <c r="C83" s="58"/>
      <c r="D83" s="78" t="s">
        <v>2432</v>
      </c>
      <c r="E83" s="50"/>
      <c r="F83" s="19"/>
      <c r="G83" s="19"/>
      <c r="H83" s="48"/>
      <c r="I83" s="48"/>
      <c r="J83" s="19"/>
      <c r="K83" s="48"/>
      <c r="L83" s="54"/>
      <c r="M83" s="173" t="s">
        <v>2433</v>
      </c>
      <c r="N83" s="172"/>
      <c r="O83" s="172"/>
      <c r="P83" s="51"/>
      <c r="Q83" s="51"/>
      <c r="R83" s="26"/>
      <c r="S83" s="55"/>
      <c r="T83" s="44"/>
      <c r="U83" s="54"/>
      <c r="V83" s="50"/>
      <c r="W83" s="19"/>
      <c r="X83" s="19"/>
      <c r="Y83" s="19"/>
      <c r="Z83" s="19"/>
    </row>
    <row r="84" spans="1:26" ht="29.25" customHeight="1" x14ac:dyDescent="0.35">
      <c r="A84" s="19"/>
      <c r="B84" s="19"/>
      <c r="C84" s="59"/>
      <c r="D84" s="56" t="s">
        <v>2434</v>
      </c>
      <c r="E84" s="60"/>
      <c r="F84" s="56"/>
      <c r="G84" s="56"/>
      <c r="H84" s="61"/>
      <c r="I84" s="61"/>
      <c r="J84" s="56"/>
      <c r="K84" s="61"/>
      <c r="L84" s="62"/>
      <c r="M84" s="174" t="s">
        <v>2435</v>
      </c>
      <c r="N84" s="172"/>
      <c r="O84" s="172"/>
      <c r="P84" s="63"/>
      <c r="Q84" s="51"/>
      <c r="R84" s="26"/>
      <c r="S84" s="55"/>
      <c r="T84" s="44"/>
      <c r="U84" s="54"/>
      <c r="V84" s="50"/>
      <c r="W84" s="19"/>
      <c r="X84" s="19"/>
      <c r="Y84" s="19"/>
      <c r="Z84" s="19"/>
    </row>
    <row r="85" spans="1:26" ht="15.75" customHeight="1" outlineLevel="2" x14ac:dyDescent="0.35">
      <c r="A85" s="25" t="s">
        <v>23</v>
      </c>
      <c r="B85" s="25" t="s">
        <v>2442</v>
      </c>
      <c r="C85" s="26">
        <v>136272</v>
      </c>
      <c r="D85" s="25" t="s">
        <v>156</v>
      </c>
      <c r="E85" s="25" t="s">
        <v>157</v>
      </c>
      <c r="F85" s="26" t="s">
        <v>27</v>
      </c>
      <c r="G85" s="26" t="s">
        <v>27</v>
      </c>
      <c r="H85" s="26">
        <v>1</v>
      </c>
      <c r="I85" s="26">
        <v>1</v>
      </c>
      <c r="J85" s="26">
        <v>1</v>
      </c>
      <c r="K85" s="26">
        <v>138</v>
      </c>
      <c r="L85" s="26" t="s">
        <v>28</v>
      </c>
      <c r="M85" s="27">
        <v>756</v>
      </c>
      <c r="N85" s="28">
        <v>518252.15</v>
      </c>
      <c r="O85" s="26" t="s">
        <v>29</v>
      </c>
      <c r="P85" s="29"/>
      <c r="Q85" s="6"/>
      <c r="R85" s="29"/>
      <c r="S85" s="10"/>
      <c r="T85" s="8">
        <v>1</v>
      </c>
    </row>
    <row r="86" spans="1:26" ht="15.75" customHeight="1" outlineLevel="2" x14ac:dyDescent="0.35">
      <c r="A86" s="25" t="s">
        <v>23</v>
      </c>
      <c r="B86" s="25" t="s">
        <v>2442</v>
      </c>
      <c r="C86" s="26">
        <v>136274</v>
      </c>
      <c r="D86" s="25" t="s">
        <v>158</v>
      </c>
      <c r="E86" s="25" t="s">
        <v>157</v>
      </c>
      <c r="F86" s="26" t="s">
        <v>27</v>
      </c>
      <c r="G86" s="26" t="s">
        <v>27</v>
      </c>
      <c r="H86" s="26">
        <v>1</v>
      </c>
      <c r="I86" s="26">
        <v>4</v>
      </c>
      <c r="J86" s="26">
        <v>1</v>
      </c>
      <c r="K86" s="26">
        <v>138</v>
      </c>
      <c r="L86" s="26" t="s">
        <v>28</v>
      </c>
      <c r="M86" s="27">
        <v>758</v>
      </c>
      <c r="N86" s="28">
        <v>420817.6</v>
      </c>
      <c r="O86" s="26" t="s">
        <v>29</v>
      </c>
      <c r="P86" s="29"/>
      <c r="Q86" s="6"/>
      <c r="R86" s="29"/>
      <c r="S86" s="10"/>
      <c r="T86" s="8">
        <v>1</v>
      </c>
    </row>
    <row r="87" spans="1:26" ht="15.75" customHeight="1" outlineLevel="2" x14ac:dyDescent="0.35">
      <c r="A87" s="25" t="s">
        <v>23</v>
      </c>
      <c r="B87" s="25" t="s">
        <v>2442</v>
      </c>
      <c r="C87" s="26">
        <v>136281</v>
      </c>
      <c r="D87" s="25" t="s">
        <v>159</v>
      </c>
      <c r="E87" s="25" t="s">
        <v>160</v>
      </c>
      <c r="F87" s="26" t="s">
        <v>27</v>
      </c>
      <c r="G87" s="26" t="s">
        <v>27</v>
      </c>
      <c r="H87" s="26">
        <v>1</v>
      </c>
      <c r="I87" s="26">
        <v>5</v>
      </c>
      <c r="J87" s="26">
        <v>1</v>
      </c>
      <c r="K87" s="26">
        <v>138</v>
      </c>
      <c r="L87" s="26" t="s">
        <v>28</v>
      </c>
      <c r="M87" s="27">
        <v>746</v>
      </c>
      <c r="N87" s="28">
        <v>431600.89</v>
      </c>
      <c r="O87" s="26" t="s">
        <v>29</v>
      </c>
      <c r="P87" s="29"/>
      <c r="Q87" s="6"/>
      <c r="R87" s="29"/>
      <c r="S87" s="10"/>
      <c r="T87" s="8">
        <v>1</v>
      </c>
    </row>
    <row r="88" spans="1:26" ht="15.75" customHeight="1" outlineLevel="2" x14ac:dyDescent="0.35">
      <c r="A88" s="9" t="s">
        <v>23</v>
      </c>
      <c r="B88" s="25" t="s">
        <v>2442</v>
      </c>
      <c r="C88" s="31">
        <v>136286</v>
      </c>
      <c r="D88" s="32" t="s">
        <v>162</v>
      </c>
      <c r="E88" s="32" t="s">
        <v>160</v>
      </c>
      <c r="F88" s="29">
        <v>0</v>
      </c>
      <c r="G88" s="33"/>
      <c r="H88" s="33">
        <v>1</v>
      </c>
      <c r="I88" s="47">
        <v>1</v>
      </c>
      <c r="J88" s="29"/>
      <c r="K88" s="10"/>
      <c r="L88" s="10"/>
      <c r="M88" s="11"/>
      <c r="N88" s="34">
        <v>389551.84</v>
      </c>
      <c r="O88" s="26" t="s">
        <v>29</v>
      </c>
      <c r="P88" s="29" t="s">
        <v>163</v>
      </c>
      <c r="Q88" s="6"/>
      <c r="R88" s="29"/>
      <c r="S88" s="10"/>
      <c r="T88" s="8">
        <v>1</v>
      </c>
    </row>
    <row r="89" spans="1:26" ht="15.75" customHeight="1" outlineLevel="2" x14ac:dyDescent="0.35">
      <c r="A89" s="9" t="s">
        <v>23</v>
      </c>
      <c r="B89" s="25" t="s">
        <v>2442</v>
      </c>
      <c r="C89" s="31">
        <v>136291</v>
      </c>
      <c r="D89" s="32" t="s">
        <v>164</v>
      </c>
      <c r="E89" s="32" t="s">
        <v>160</v>
      </c>
      <c r="F89" s="29">
        <v>0</v>
      </c>
      <c r="G89" s="33"/>
      <c r="H89" s="33">
        <v>1</v>
      </c>
      <c r="I89" s="47">
        <v>3</v>
      </c>
      <c r="J89" s="29"/>
      <c r="K89" s="10"/>
      <c r="L89" s="10"/>
      <c r="M89" s="11"/>
      <c r="N89" s="34">
        <v>471192.59</v>
      </c>
      <c r="O89" s="26" t="s">
        <v>29</v>
      </c>
      <c r="P89" s="29" t="s">
        <v>163</v>
      </c>
      <c r="Q89" s="6"/>
      <c r="R89" s="29"/>
      <c r="S89" s="10"/>
      <c r="T89" s="8">
        <v>1</v>
      </c>
    </row>
    <row r="90" spans="1:26" ht="15.75" customHeight="1" outlineLevel="2" x14ac:dyDescent="0.35">
      <c r="A90" s="9" t="s">
        <v>23</v>
      </c>
      <c r="B90" s="25" t="s">
        <v>2442</v>
      </c>
      <c r="C90" s="31">
        <v>136294</v>
      </c>
      <c r="D90" s="32" t="s">
        <v>165</v>
      </c>
      <c r="E90" s="32" t="s">
        <v>160</v>
      </c>
      <c r="F90" s="29">
        <v>0</v>
      </c>
      <c r="G90" s="33"/>
      <c r="H90" s="33">
        <v>1</v>
      </c>
      <c r="I90" s="47">
        <v>3</v>
      </c>
      <c r="J90" s="29"/>
      <c r="K90" s="10"/>
      <c r="L90" s="10"/>
      <c r="M90" s="11"/>
      <c r="N90" s="34">
        <v>320237.21000000002</v>
      </c>
      <c r="O90" s="26" t="s">
        <v>29</v>
      </c>
      <c r="P90" s="29" t="s">
        <v>163</v>
      </c>
      <c r="Q90" s="6"/>
      <c r="R90" s="29"/>
      <c r="S90" s="10"/>
      <c r="T90" s="8">
        <v>1</v>
      </c>
    </row>
    <row r="91" spans="1:26" ht="15.75" customHeight="1" outlineLevel="2" x14ac:dyDescent="0.35">
      <c r="A91" s="25" t="s">
        <v>23</v>
      </c>
      <c r="B91" s="25" t="s">
        <v>2442</v>
      </c>
      <c r="C91" s="26">
        <v>136299</v>
      </c>
      <c r="D91" s="25" t="s">
        <v>166</v>
      </c>
      <c r="E91" s="25" t="s">
        <v>160</v>
      </c>
      <c r="F91" s="26" t="s">
        <v>27</v>
      </c>
      <c r="G91" s="26" t="s">
        <v>27</v>
      </c>
      <c r="H91" s="26">
        <v>1</v>
      </c>
      <c r="I91" s="26">
        <v>1</v>
      </c>
      <c r="J91" s="26">
        <v>1</v>
      </c>
      <c r="K91" s="26">
        <v>138</v>
      </c>
      <c r="L91" s="26" t="s">
        <v>28</v>
      </c>
      <c r="M91" s="27">
        <v>752</v>
      </c>
      <c r="N91" s="28">
        <v>1574032.37</v>
      </c>
      <c r="O91" s="26" t="s">
        <v>29</v>
      </c>
      <c r="P91" s="29"/>
      <c r="Q91" s="6"/>
      <c r="R91" s="29"/>
      <c r="S91" s="10"/>
      <c r="T91" s="8">
        <v>1</v>
      </c>
    </row>
    <row r="92" spans="1:26" ht="15.75" customHeight="1" outlineLevel="2" x14ac:dyDescent="0.35">
      <c r="A92" s="25" t="s">
        <v>23</v>
      </c>
      <c r="B92" s="25" t="s">
        <v>2442</v>
      </c>
      <c r="C92" s="26">
        <v>136301</v>
      </c>
      <c r="D92" s="25" t="s">
        <v>167</v>
      </c>
      <c r="E92" s="25" t="s">
        <v>160</v>
      </c>
      <c r="F92" s="26" t="s">
        <v>27</v>
      </c>
      <c r="G92" s="26" t="s">
        <v>27</v>
      </c>
      <c r="H92" s="26">
        <v>1</v>
      </c>
      <c r="I92" s="26">
        <v>4</v>
      </c>
      <c r="J92" s="26">
        <v>1</v>
      </c>
      <c r="K92" s="26">
        <v>138</v>
      </c>
      <c r="L92" s="26" t="s">
        <v>28</v>
      </c>
      <c r="M92" s="27">
        <v>753</v>
      </c>
      <c r="N92" s="28">
        <v>572634.05000000005</v>
      </c>
      <c r="O92" s="26" t="s">
        <v>29</v>
      </c>
      <c r="P92" s="29"/>
      <c r="Q92" s="6"/>
      <c r="R92" s="29"/>
      <c r="S92" s="10"/>
      <c r="T92" s="8">
        <v>1</v>
      </c>
    </row>
    <row r="93" spans="1:26" ht="15.75" customHeight="1" outlineLevel="2" x14ac:dyDescent="0.35">
      <c r="A93" s="9" t="s">
        <v>23</v>
      </c>
      <c r="B93" s="25" t="s">
        <v>2442</v>
      </c>
      <c r="C93" s="31">
        <v>136305</v>
      </c>
      <c r="D93" s="32" t="s">
        <v>168</v>
      </c>
      <c r="E93" s="32" t="s">
        <v>160</v>
      </c>
      <c r="F93" s="29">
        <v>0</v>
      </c>
      <c r="G93" s="33"/>
      <c r="H93" s="33">
        <v>1</v>
      </c>
      <c r="I93" s="47">
        <v>6</v>
      </c>
      <c r="J93" s="29"/>
      <c r="K93" s="10"/>
      <c r="L93" s="10"/>
      <c r="M93" s="11"/>
      <c r="N93" s="34">
        <v>494337.83</v>
      </c>
      <c r="O93" s="26" t="s">
        <v>29</v>
      </c>
      <c r="P93" s="29" t="s">
        <v>163</v>
      </c>
      <c r="Q93" s="6"/>
      <c r="R93" s="29"/>
      <c r="S93" s="10"/>
      <c r="T93" s="8">
        <v>1</v>
      </c>
    </row>
    <row r="94" spans="1:26" ht="15.75" customHeight="1" outlineLevel="2" x14ac:dyDescent="0.35">
      <c r="A94" s="9" t="s">
        <v>23</v>
      </c>
      <c r="B94" s="25" t="s">
        <v>2442</v>
      </c>
      <c r="C94" s="31">
        <v>136306</v>
      </c>
      <c r="D94" s="32" t="s">
        <v>169</v>
      </c>
      <c r="E94" s="32" t="s">
        <v>160</v>
      </c>
      <c r="F94" s="29">
        <v>0</v>
      </c>
      <c r="G94" s="33"/>
      <c r="H94" s="33">
        <v>1</v>
      </c>
      <c r="I94" s="47">
        <v>2</v>
      </c>
      <c r="J94" s="29"/>
      <c r="K94" s="10"/>
      <c r="L94" s="10"/>
      <c r="M94" s="11"/>
      <c r="N94" s="34">
        <v>267148.15000000002</v>
      </c>
      <c r="O94" s="26" t="s">
        <v>29</v>
      </c>
      <c r="P94" s="29" t="s">
        <v>163</v>
      </c>
      <c r="Q94" s="6"/>
      <c r="R94" s="29"/>
      <c r="S94" s="10"/>
      <c r="T94" s="8">
        <v>1</v>
      </c>
    </row>
    <row r="95" spans="1:26" ht="15.75" customHeight="1" outlineLevel="2" x14ac:dyDescent="0.35">
      <c r="A95" s="25" t="s">
        <v>23</v>
      </c>
      <c r="B95" s="25" t="s">
        <v>2442</v>
      </c>
      <c r="C95" s="26">
        <v>136308</v>
      </c>
      <c r="D95" s="25" t="s">
        <v>170</v>
      </c>
      <c r="E95" s="25" t="s">
        <v>160</v>
      </c>
      <c r="F95" s="26" t="s">
        <v>27</v>
      </c>
      <c r="G95" s="26" t="s">
        <v>27</v>
      </c>
      <c r="H95" s="26">
        <v>1</v>
      </c>
      <c r="I95" s="26">
        <v>2</v>
      </c>
      <c r="J95" s="26">
        <v>1</v>
      </c>
      <c r="K95" s="26">
        <v>138</v>
      </c>
      <c r="L95" s="26" t="s">
        <v>28</v>
      </c>
      <c r="M95" s="27">
        <v>757</v>
      </c>
      <c r="N95" s="28">
        <v>409013.3</v>
      </c>
      <c r="O95" s="26" t="s">
        <v>29</v>
      </c>
      <c r="P95" s="29"/>
      <c r="Q95" s="6"/>
      <c r="R95" s="29"/>
      <c r="S95" s="10"/>
      <c r="T95" s="8">
        <v>1</v>
      </c>
    </row>
    <row r="96" spans="1:26" ht="15.75" customHeight="1" outlineLevel="2" x14ac:dyDescent="0.35">
      <c r="A96" s="9" t="s">
        <v>23</v>
      </c>
      <c r="B96" s="25" t="s">
        <v>2442</v>
      </c>
      <c r="C96" s="31">
        <v>136363</v>
      </c>
      <c r="D96" s="32" t="s">
        <v>171</v>
      </c>
      <c r="E96" s="32" t="s">
        <v>172</v>
      </c>
      <c r="F96" s="29">
        <v>0</v>
      </c>
      <c r="G96" s="33"/>
      <c r="H96" s="33">
        <v>1</v>
      </c>
      <c r="I96" s="47">
        <v>2</v>
      </c>
      <c r="J96" s="29"/>
      <c r="K96" s="10"/>
      <c r="L96" s="10"/>
      <c r="M96" s="11"/>
      <c r="N96" s="34">
        <v>409013.3</v>
      </c>
      <c r="O96" s="26" t="s">
        <v>29</v>
      </c>
      <c r="P96" s="29" t="s">
        <v>163</v>
      </c>
      <c r="Q96" s="6"/>
      <c r="R96" s="29"/>
      <c r="S96" s="10"/>
      <c r="T96" s="8">
        <v>1</v>
      </c>
    </row>
    <row r="97" spans="1:26" ht="15.75" customHeight="1" outlineLevel="2" x14ac:dyDescent="0.35">
      <c r="A97" s="25" t="s">
        <v>23</v>
      </c>
      <c r="B97" s="25" t="s">
        <v>2442</v>
      </c>
      <c r="C97" s="26">
        <v>136378</v>
      </c>
      <c r="D97" s="25" t="s">
        <v>173</v>
      </c>
      <c r="E97" s="25" t="s">
        <v>172</v>
      </c>
      <c r="F97" s="26" t="s">
        <v>27</v>
      </c>
      <c r="G97" s="26" t="s">
        <v>27</v>
      </c>
      <c r="H97" s="26">
        <v>1</v>
      </c>
      <c r="I97" s="26">
        <v>2</v>
      </c>
      <c r="J97" s="26">
        <v>1</v>
      </c>
      <c r="K97" s="26">
        <v>138</v>
      </c>
      <c r="L97" s="26" t="s">
        <v>28</v>
      </c>
      <c r="M97" s="27">
        <v>759</v>
      </c>
      <c r="N97" s="28">
        <v>260832.89</v>
      </c>
      <c r="O97" s="26" t="s">
        <v>29</v>
      </c>
      <c r="P97" s="29"/>
      <c r="Q97" s="6"/>
      <c r="R97" s="29"/>
      <c r="S97" s="10"/>
      <c r="T97" s="8">
        <v>1</v>
      </c>
    </row>
    <row r="98" spans="1:26" ht="15.75" customHeight="1" outlineLevel="2" x14ac:dyDescent="0.35">
      <c r="A98" s="25" t="s">
        <v>23</v>
      </c>
      <c r="B98" s="25" t="s">
        <v>2442</v>
      </c>
      <c r="C98" s="26">
        <v>221002</v>
      </c>
      <c r="D98" s="25" t="s">
        <v>174</v>
      </c>
      <c r="E98" s="25" t="s">
        <v>160</v>
      </c>
      <c r="F98" s="26" t="s">
        <v>27</v>
      </c>
      <c r="G98" s="26" t="s">
        <v>27</v>
      </c>
      <c r="H98" s="26">
        <v>1</v>
      </c>
      <c r="I98" s="26">
        <v>1</v>
      </c>
      <c r="J98" s="26">
        <v>1</v>
      </c>
      <c r="K98" s="26">
        <v>138</v>
      </c>
      <c r="L98" s="26" t="s">
        <v>28</v>
      </c>
      <c r="M98" s="27">
        <v>749</v>
      </c>
      <c r="N98" s="28">
        <v>267892.43</v>
      </c>
      <c r="O98" s="26" t="s">
        <v>29</v>
      </c>
      <c r="P98" s="29"/>
      <c r="Q98" s="6"/>
      <c r="R98" s="29"/>
      <c r="S98" s="10"/>
      <c r="T98" s="8">
        <v>1</v>
      </c>
    </row>
    <row r="99" spans="1:26" ht="15.75" customHeight="1" outlineLevel="2" x14ac:dyDescent="0.35">
      <c r="A99" s="25" t="s">
        <v>23</v>
      </c>
      <c r="B99" s="25" t="s">
        <v>2442</v>
      </c>
      <c r="C99" s="26">
        <v>221009</v>
      </c>
      <c r="D99" s="25" t="s">
        <v>175</v>
      </c>
      <c r="E99" s="25" t="s">
        <v>160</v>
      </c>
      <c r="F99" s="26" t="s">
        <v>27</v>
      </c>
      <c r="G99" s="26" t="s">
        <v>27</v>
      </c>
      <c r="H99" s="26">
        <v>1</v>
      </c>
      <c r="I99" s="26">
        <v>2</v>
      </c>
      <c r="J99" s="26">
        <v>1</v>
      </c>
      <c r="K99" s="26">
        <v>138</v>
      </c>
      <c r="L99" s="26" t="s">
        <v>28</v>
      </c>
      <c r="M99" s="27">
        <v>751</v>
      </c>
      <c r="N99" s="28">
        <v>153581.45000000001</v>
      </c>
      <c r="O99" s="26" t="s">
        <v>29</v>
      </c>
      <c r="P99" s="29"/>
      <c r="Q99" s="6"/>
      <c r="R99" s="29"/>
      <c r="S99" s="10"/>
      <c r="T99" s="8">
        <v>1</v>
      </c>
    </row>
    <row r="100" spans="1:26" ht="15.75" customHeight="1" outlineLevel="2" x14ac:dyDescent="0.35">
      <c r="A100" s="25" t="s">
        <v>23</v>
      </c>
      <c r="B100" s="25" t="s">
        <v>2442</v>
      </c>
      <c r="C100" s="26">
        <v>319223</v>
      </c>
      <c r="D100" s="25" t="s">
        <v>177</v>
      </c>
      <c r="E100" s="25" t="s">
        <v>172</v>
      </c>
      <c r="F100" s="26" t="s">
        <v>27</v>
      </c>
      <c r="G100" s="26" t="s">
        <v>27</v>
      </c>
      <c r="H100" s="26">
        <v>1</v>
      </c>
      <c r="I100" s="26">
        <v>1</v>
      </c>
      <c r="J100" s="26">
        <v>1</v>
      </c>
      <c r="K100" s="26">
        <v>138</v>
      </c>
      <c r="L100" s="26" t="s">
        <v>28</v>
      </c>
      <c r="M100" s="27">
        <v>754</v>
      </c>
      <c r="N100" s="28">
        <v>280934</v>
      </c>
      <c r="O100" s="26" t="s">
        <v>29</v>
      </c>
      <c r="P100" s="29"/>
      <c r="Q100" s="6"/>
      <c r="R100" s="29"/>
      <c r="S100" s="10"/>
      <c r="T100" s="8">
        <v>1</v>
      </c>
    </row>
    <row r="101" spans="1:26" ht="15.75" customHeight="1" outlineLevel="2" x14ac:dyDescent="0.35">
      <c r="A101" s="9" t="s">
        <v>23</v>
      </c>
      <c r="B101" s="25" t="s">
        <v>2442</v>
      </c>
      <c r="C101" s="31">
        <v>319226</v>
      </c>
      <c r="D101" s="32" t="s">
        <v>180</v>
      </c>
      <c r="E101" s="32" t="s">
        <v>160</v>
      </c>
      <c r="F101" s="29">
        <v>0</v>
      </c>
      <c r="G101" s="33"/>
      <c r="H101" s="33">
        <v>1</v>
      </c>
      <c r="I101" s="47">
        <v>2</v>
      </c>
      <c r="J101" s="29"/>
      <c r="K101" s="10"/>
      <c r="L101" s="10"/>
      <c r="M101" s="11"/>
      <c r="N101" s="34">
        <v>403508.13</v>
      </c>
      <c r="O101" s="26" t="s">
        <v>29</v>
      </c>
      <c r="P101" s="29" t="s">
        <v>163</v>
      </c>
      <c r="Q101" s="6"/>
      <c r="R101" s="29"/>
      <c r="S101" s="10"/>
      <c r="T101" s="8">
        <v>1</v>
      </c>
    </row>
    <row r="102" spans="1:26" ht="15.75" customHeight="1" outlineLevel="1" x14ac:dyDescent="0.35">
      <c r="A102" s="9"/>
      <c r="B102" s="53" t="s">
        <v>2443</v>
      </c>
      <c r="C102" s="31"/>
      <c r="D102" s="32"/>
      <c r="E102" s="32"/>
      <c r="F102" s="29"/>
      <c r="G102" s="33"/>
      <c r="H102" s="33">
        <f t="shared" ref="H102:I102" si="4">SUBTOTAL(9,H85:H101)</f>
        <v>17</v>
      </c>
      <c r="I102" s="47">
        <f t="shared" si="4"/>
        <v>42</v>
      </c>
      <c r="J102" s="29"/>
      <c r="K102" s="10"/>
      <c r="L102" s="10"/>
      <c r="M102" s="11"/>
      <c r="N102" s="34">
        <f>SUBTOTAL(9,N85:N101)</f>
        <v>7644580.1799999997</v>
      </c>
      <c r="O102" s="26"/>
      <c r="P102" s="29"/>
      <c r="Q102" s="6"/>
      <c r="R102" s="29"/>
      <c r="S102" s="10"/>
      <c r="T102" s="8"/>
    </row>
    <row r="103" spans="1:26" ht="25.5" customHeight="1" x14ac:dyDescent="0.35">
      <c r="A103" s="19"/>
      <c r="B103" s="19"/>
      <c r="C103" s="19"/>
      <c r="D103" s="50"/>
      <c r="E103" s="50"/>
      <c r="F103" s="19"/>
      <c r="G103" s="19"/>
      <c r="H103" s="48"/>
      <c r="I103" s="48"/>
      <c r="J103" s="19"/>
      <c r="K103" s="48"/>
      <c r="L103" s="54"/>
      <c r="M103" s="48"/>
      <c r="N103" s="48"/>
      <c r="O103" s="19"/>
      <c r="P103" s="45"/>
      <c r="Q103" s="51"/>
      <c r="R103" s="26"/>
      <c r="S103" s="55"/>
      <c r="T103" s="44"/>
      <c r="U103" s="54"/>
      <c r="V103" s="50"/>
      <c r="W103" s="19"/>
      <c r="X103" s="19"/>
      <c r="Y103" s="19"/>
      <c r="Z103" s="19"/>
    </row>
    <row r="104" spans="1:26" ht="25.5" customHeight="1" x14ac:dyDescent="0.35">
      <c r="A104" s="19"/>
      <c r="B104" s="56" t="s">
        <v>2377</v>
      </c>
      <c r="C104" s="19"/>
      <c r="D104" s="50"/>
      <c r="E104" s="50"/>
      <c r="F104" s="57"/>
      <c r="G104" s="57"/>
      <c r="H104" s="171" t="s">
        <v>2377</v>
      </c>
      <c r="I104" s="172"/>
      <c r="J104" s="19"/>
      <c r="K104" s="48"/>
      <c r="L104" s="54"/>
      <c r="M104" s="48"/>
      <c r="N104" s="48"/>
      <c r="O104" s="19"/>
      <c r="P104" s="51"/>
      <c r="Q104" s="51"/>
      <c r="R104" s="26"/>
      <c r="S104" s="55"/>
      <c r="T104" s="44"/>
      <c r="U104" s="54"/>
      <c r="V104" s="50"/>
      <c r="W104" s="19"/>
      <c r="X104" s="19"/>
      <c r="Y104" s="19"/>
      <c r="Z104" s="19"/>
    </row>
    <row r="105" spans="1:26" ht="25.5" customHeight="1" x14ac:dyDescent="0.35">
      <c r="A105" s="19"/>
      <c r="B105" s="19"/>
      <c r="C105" s="19"/>
      <c r="D105" s="50"/>
      <c r="E105" s="50"/>
      <c r="F105" s="19"/>
      <c r="G105" s="19"/>
      <c r="H105" s="19"/>
      <c r="I105" s="19"/>
      <c r="J105" s="19"/>
      <c r="K105" s="48"/>
      <c r="L105" s="54"/>
      <c r="M105" s="48"/>
      <c r="N105" s="48"/>
      <c r="O105" s="19"/>
      <c r="P105" s="51"/>
      <c r="Q105" s="51"/>
      <c r="R105" s="26"/>
      <c r="S105" s="55"/>
      <c r="T105" s="44"/>
      <c r="U105" s="54"/>
      <c r="V105" s="50"/>
      <c r="W105" s="19"/>
      <c r="X105" s="19"/>
      <c r="Y105" s="19"/>
      <c r="Z105" s="19"/>
    </row>
    <row r="106" spans="1:26" ht="25.5" customHeight="1" x14ac:dyDescent="0.35">
      <c r="A106" s="19"/>
      <c r="B106" s="19"/>
      <c r="C106" s="19"/>
      <c r="D106" s="50"/>
      <c r="E106" s="50"/>
      <c r="F106" s="19"/>
      <c r="G106" s="19"/>
      <c r="H106" s="48"/>
      <c r="I106" s="48"/>
      <c r="J106" s="19"/>
      <c r="K106" s="48"/>
      <c r="L106" s="54"/>
      <c r="M106" s="48"/>
      <c r="N106" s="48"/>
      <c r="O106" s="19"/>
      <c r="P106" s="51"/>
      <c r="Q106" s="51"/>
      <c r="R106" s="26"/>
      <c r="S106" s="55"/>
      <c r="T106" s="44"/>
      <c r="U106" s="54"/>
      <c r="V106" s="50"/>
      <c r="W106" s="19"/>
      <c r="X106" s="19"/>
      <c r="Y106" s="19"/>
      <c r="Z106" s="19"/>
    </row>
    <row r="107" spans="1:26" ht="25.5" customHeight="1" x14ac:dyDescent="0.35">
      <c r="A107" s="19"/>
      <c r="B107" s="19"/>
      <c r="C107" s="58"/>
      <c r="D107" s="78" t="s">
        <v>2432</v>
      </c>
      <c r="E107" s="50"/>
      <c r="F107" s="19"/>
      <c r="G107" s="19"/>
      <c r="H107" s="48"/>
      <c r="I107" s="48"/>
      <c r="J107" s="19"/>
      <c r="K107" s="48"/>
      <c r="L107" s="54"/>
      <c r="M107" s="173" t="s">
        <v>2433</v>
      </c>
      <c r="N107" s="172"/>
      <c r="O107" s="172"/>
      <c r="P107" s="51"/>
      <c r="Q107" s="51"/>
      <c r="R107" s="26"/>
      <c r="S107" s="55"/>
      <c r="T107" s="44"/>
      <c r="U107" s="54"/>
      <c r="V107" s="50"/>
      <c r="W107" s="19"/>
      <c r="X107" s="19"/>
      <c r="Y107" s="19"/>
      <c r="Z107" s="19"/>
    </row>
    <row r="108" spans="1:26" ht="29.25" customHeight="1" x14ac:dyDescent="0.35">
      <c r="A108" s="19"/>
      <c r="B108" s="19"/>
      <c r="C108" s="59"/>
      <c r="D108" s="56" t="s">
        <v>2434</v>
      </c>
      <c r="E108" s="60"/>
      <c r="F108" s="56"/>
      <c r="G108" s="56"/>
      <c r="H108" s="61"/>
      <c r="I108" s="61"/>
      <c r="J108" s="56"/>
      <c r="K108" s="61"/>
      <c r="L108" s="62"/>
      <c r="M108" s="174" t="s">
        <v>2435</v>
      </c>
      <c r="N108" s="172"/>
      <c r="O108" s="172"/>
      <c r="P108" s="63"/>
      <c r="Q108" s="51"/>
      <c r="R108" s="26"/>
      <c r="S108" s="55"/>
      <c r="T108" s="44"/>
      <c r="U108" s="54"/>
      <c r="V108" s="50"/>
      <c r="W108" s="19"/>
      <c r="X108" s="19"/>
      <c r="Y108" s="19"/>
      <c r="Z108" s="19"/>
    </row>
    <row r="109" spans="1:26" ht="15.75" customHeight="1" outlineLevel="2" x14ac:dyDescent="0.35">
      <c r="A109" s="25" t="s">
        <v>205</v>
      </c>
      <c r="B109" s="25" t="s">
        <v>2444</v>
      </c>
      <c r="C109" s="26">
        <v>131415</v>
      </c>
      <c r="D109" s="25" t="s">
        <v>207</v>
      </c>
      <c r="E109" s="25" t="s">
        <v>208</v>
      </c>
      <c r="F109" s="26" t="s">
        <v>90</v>
      </c>
      <c r="G109" s="26" t="s">
        <v>90</v>
      </c>
      <c r="H109" s="26">
        <v>1</v>
      </c>
      <c r="I109" s="26">
        <v>3</v>
      </c>
      <c r="J109" s="26">
        <v>1</v>
      </c>
      <c r="K109" s="26">
        <v>138</v>
      </c>
      <c r="L109" s="26" t="s">
        <v>28</v>
      </c>
      <c r="M109" s="27">
        <v>764</v>
      </c>
      <c r="N109" s="28">
        <v>220633.82</v>
      </c>
      <c r="O109" s="26" t="s">
        <v>29</v>
      </c>
      <c r="P109" s="29"/>
      <c r="Q109" s="6"/>
      <c r="R109" s="29"/>
      <c r="S109" s="10"/>
      <c r="T109" s="8">
        <v>1</v>
      </c>
      <c r="U109" s="36" t="s">
        <v>2445</v>
      </c>
    </row>
    <row r="110" spans="1:26" ht="15.75" customHeight="1" outlineLevel="2" x14ac:dyDescent="0.35">
      <c r="A110" s="25" t="s">
        <v>205</v>
      </c>
      <c r="B110" s="25" t="s">
        <v>2444</v>
      </c>
      <c r="C110" s="26">
        <v>131523</v>
      </c>
      <c r="D110" s="25" t="s">
        <v>333</v>
      </c>
      <c r="E110" s="25" t="s">
        <v>334</v>
      </c>
      <c r="F110" s="26" t="s">
        <v>90</v>
      </c>
      <c r="G110" s="26" t="s">
        <v>90</v>
      </c>
      <c r="H110" s="26">
        <v>1</v>
      </c>
      <c r="I110" s="26">
        <v>1</v>
      </c>
      <c r="J110" s="26">
        <v>1</v>
      </c>
      <c r="K110" s="26">
        <v>138</v>
      </c>
      <c r="L110" s="26" t="s">
        <v>28</v>
      </c>
      <c r="M110" s="27">
        <v>854</v>
      </c>
      <c r="N110" s="28">
        <v>177560.6</v>
      </c>
      <c r="O110" s="26" t="s">
        <v>29</v>
      </c>
      <c r="P110" s="29"/>
      <c r="Q110" s="6"/>
      <c r="R110" s="29"/>
      <c r="S110" s="10"/>
      <c r="T110" s="8">
        <v>1</v>
      </c>
    </row>
    <row r="111" spans="1:26" ht="15.75" customHeight="1" outlineLevel="2" x14ac:dyDescent="0.35">
      <c r="A111" s="25" t="s">
        <v>205</v>
      </c>
      <c r="B111" s="25" t="s">
        <v>2444</v>
      </c>
      <c r="C111" s="26">
        <v>132078</v>
      </c>
      <c r="D111" s="25" t="s">
        <v>325</v>
      </c>
      <c r="E111" s="25" t="s">
        <v>323</v>
      </c>
      <c r="F111" s="26" t="s">
        <v>215</v>
      </c>
      <c r="G111" s="26" t="s">
        <v>215</v>
      </c>
      <c r="H111" s="26">
        <v>1</v>
      </c>
      <c r="I111" s="26">
        <v>4</v>
      </c>
      <c r="J111" s="26">
        <v>1</v>
      </c>
      <c r="K111" s="26">
        <v>138</v>
      </c>
      <c r="L111" s="26" t="s">
        <v>28</v>
      </c>
      <c r="M111" s="27">
        <v>850</v>
      </c>
      <c r="N111" s="28">
        <v>294804.52</v>
      </c>
      <c r="O111" s="26" t="s">
        <v>29</v>
      </c>
      <c r="P111" s="29"/>
      <c r="Q111" s="6"/>
      <c r="R111" s="29"/>
      <c r="S111" s="10"/>
      <c r="T111" s="8">
        <v>1</v>
      </c>
    </row>
    <row r="112" spans="1:26" ht="15.75" customHeight="1" outlineLevel="2" x14ac:dyDescent="0.35">
      <c r="A112" s="25" t="s">
        <v>205</v>
      </c>
      <c r="B112" s="25" t="s">
        <v>2444</v>
      </c>
      <c r="C112" s="26">
        <v>211503</v>
      </c>
      <c r="D112" s="39" t="s">
        <v>220</v>
      </c>
      <c r="E112" s="25" t="s">
        <v>218</v>
      </c>
      <c r="F112" s="26" t="s">
        <v>90</v>
      </c>
      <c r="G112" s="26" t="s">
        <v>90</v>
      </c>
      <c r="H112" s="26">
        <v>1</v>
      </c>
      <c r="I112" s="26">
        <v>4</v>
      </c>
      <c r="J112" s="26">
        <v>1</v>
      </c>
      <c r="K112" s="26">
        <v>138</v>
      </c>
      <c r="L112" s="26" t="s">
        <v>28</v>
      </c>
      <c r="M112" s="27">
        <v>765</v>
      </c>
      <c r="N112" s="28">
        <v>294804.52</v>
      </c>
      <c r="O112" s="26" t="s">
        <v>29</v>
      </c>
      <c r="P112" s="29"/>
      <c r="Q112" s="6"/>
      <c r="R112" s="29"/>
      <c r="S112" s="10"/>
      <c r="T112" s="8">
        <v>1</v>
      </c>
      <c r="U112" s="36" t="s">
        <v>2445</v>
      </c>
    </row>
    <row r="113" spans="1:26" ht="15.75" customHeight="1" outlineLevel="2" x14ac:dyDescent="0.35">
      <c r="A113" s="25" t="s">
        <v>205</v>
      </c>
      <c r="B113" s="25" t="s">
        <v>2444</v>
      </c>
      <c r="C113" s="26">
        <v>281003</v>
      </c>
      <c r="D113" s="64" t="s">
        <v>335</v>
      </c>
      <c r="E113" s="25" t="s">
        <v>336</v>
      </c>
      <c r="F113" s="26" t="s">
        <v>215</v>
      </c>
      <c r="G113" s="33"/>
      <c r="H113" s="33">
        <v>1</v>
      </c>
      <c r="I113" s="47">
        <v>1</v>
      </c>
      <c r="J113" s="29"/>
      <c r="K113" s="10"/>
      <c r="L113" s="10"/>
      <c r="M113" s="11"/>
      <c r="N113" s="35">
        <v>177560.6</v>
      </c>
      <c r="O113" s="26" t="s">
        <v>29</v>
      </c>
      <c r="P113" s="29"/>
      <c r="Q113" s="6"/>
      <c r="R113" s="29"/>
      <c r="S113" s="10"/>
      <c r="T113" s="8">
        <v>1</v>
      </c>
    </row>
    <row r="114" spans="1:26" ht="15.75" customHeight="1" outlineLevel="1" x14ac:dyDescent="0.35">
      <c r="A114" s="25"/>
      <c r="B114" s="53" t="s">
        <v>2446</v>
      </c>
      <c r="C114" s="26"/>
      <c r="D114" s="64"/>
      <c r="E114" s="25"/>
      <c r="F114" s="26"/>
      <c r="G114" s="33"/>
      <c r="H114" s="33">
        <f t="shared" ref="H114:I114" si="5">SUBTOTAL(9,H109:H113)</f>
        <v>5</v>
      </c>
      <c r="I114" s="47">
        <f t="shared" si="5"/>
        <v>13</v>
      </c>
      <c r="J114" s="29"/>
      <c r="K114" s="10"/>
      <c r="L114" s="10"/>
      <c r="M114" s="11"/>
      <c r="N114" s="35">
        <f>SUBTOTAL(9,N109:N113)</f>
        <v>1165364.06</v>
      </c>
      <c r="O114" s="26"/>
      <c r="P114" s="29"/>
      <c r="Q114" s="6"/>
      <c r="R114" s="29"/>
      <c r="S114" s="10"/>
      <c r="T114" s="8"/>
    </row>
    <row r="115" spans="1:26" ht="25.5" customHeight="1" x14ac:dyDescent="0.35">
      <c r="A115" s="19"/>
      <c r="B115" s="19"/>
      <c r="C115" s="19"/>
      <c r="D115" s="50"/>
      <c r="E115" s="50"/>
      <c r="F115" s="19"/>
      <c r="G115" s="19"/>
      <c r="H115" s="48"/>
      <c r="I115" s="48"/>
      <c r="J115" s="19"/>
      <c r="K115" s="48"/>
      <c r="L115" s="54"/>
      <c r="M115" s="48"/>
      <c r="N115" s="48"/>
      <c r="O115" s="19"/>
      <c r="P115" s="45"/>
      <c r="Q115" s="51"/>
      <c r="R115" s="26"/>
      <c r="S115" s="55"/>
      <c r="T115" s="44"/>
      <c r="U115" s="54"/>
      <c r="V115" s="50"/>
      <c r="W115" s="19"/>
      <c r="X115" s="19"/>
      <c r="Y115" s="19"/>
      <c r="Z115" s="19"/>
    </row>
    <row r="116" spans="1:26" ht="25.5" customHeight="1" x14ac:dyDescent="0.35">
      <c r="A116" s="19"/>
      <c r="B116" s="56" t="s">
        <v>2377</v>
      </c>
      <c r="C116" s="19"/>
      <c r="D116" s="50"/>
      <c r="E116" s="50"/>
      <c r="F116" s="57"/>
      <c r="G116" s="57"/>
      <c r="H116" s="171" t="s">
        <v>2377</v>
      </c>
      <c r="I116" s="172"/>
      <c r="J116" s="19"/>
      <c r="K116" s="48"/>
      <c r="L116" s="54"/>
      <c r="M116" s="48"/>
      <c r="N116" s="48"/>
      <c r="O116" s="19"/>
      <c r="P116" s="51"/>
      <c r="Q116" s="51"/>
      <c r="R116" s="26"/>
      <c r="S116" s="55"/>
      <c r="T116" s="44"/>
      <c r="U116" s="54"/>
      <c r="V116" s="50"/>
      <c r="W116" s="19"/>
      <c r="X116" s="19"/>
      <c r="Y116" s="19"/>
      <c r="Z116" s="19"/>
    </row>
    <row r="117" spans="1:26" ht="25.5" customHeight="1" x14ac:dyDescent="0.35">
      <c r="A117" s="19"/>
      <c r="B117" s="19"/>
      <c r="C117" s="19"/>
      <c r="D117" s="50"/>
      <c r="E117" s="50"/>
      <c r="F117" s="19"/>
      <c r="G117" s="19"/>
      <c r="H117" s="19"/>
      <c r="I117" s="19"/>
      <c r="J117" s="19"/>
      <c r="K117" s="48"/>
      <c r="L117" s="54"/>
      <c r="M117" s="48"/>
      <c r="N117" s="48"/>
      <c r="O117" s="19"/>
      <c r="P117" s="51"/>
      <c r="Q117" s="51"/>
      <c r="R117" s="26"/>
      <c r="S117" s="55"/>
      <c r="T117" s="44"/>
      <c r="U117" s="54"/>
      <c r="V117" s="50"/>
      <c r="W117" s="19"/>
      <c r="X117" s="19"/>
      <c r="Y117" s="19"/>
      <c r="Z117" s="19"/>
    </row>
    <row r="118" spans="1:26" ht="25.5" customHeight="1" x14ac:dyDescent="0.35">
      <c r="A118" s="19"/>
      <c r="B118" s="19"/>
      <c r="C118" s="19"/>
      <c r="D118" s="50"/>
      <c r="E118" s="50"/>
      <c r="F118" s="19"/>
      <c r="G118" s="19"/>
      <c r="H118" s="48"/>
      <c r="I118" s="48"/>
      <c r="J118" s="19"/>
      <c r="K118" s="48"/>
      <c r="L118" s="54"/>
      <c r="M118" s="48"/>
      <c r="N118" s="48"/>
      <c r="O118" s="19"/>
      <c r="P118" s="51"/>
      <c r="Q118" s="51"/>
      <c r="R118" s="26"/>
      <c r="S118" s="55"/>
      <c r="T118" s="44"/>
      <c r="U118" s="54"/>
      <c r="V118" s="50"/>
      <c r="W118" s="19"/>
      <c r="X118" s="19"/>
      <c r="Y118" s="19"/>
      <c r="Z118" s="19"/>
    </row>
    <row r="119" spans="1:26" ht="25.5" customHeight="1" x14ac:dyDescent="0.35">
      <c r="A119" s="19"/>
      <c r="B119" s="19"/>
      <c r="C119" s="58"/>
      <c r="D119" s="78" t="s">
        <v>2432</v>
      </c>
      <c r="E119" s="50"/>
      <c r="F119" s="19"/>
      <c r="G119" s="19"/>
      <c r="H119" s="48"/>
      <c r="I119" s="48"/>
      <c r="J119" s="19"/>
      <c r="K119" s="48"/>
      <c r="L119" s="54"/>
      <c r="M119" s="173" t="s">
        <v>2433</v>
      </c>
      <c r="N119" s="172"/>
      <c r="O119" s="172"/>
      <c r="P119" s="51"/>
      <c r="Q119" s="51"/>
      <c r="R119" s="26"/>
      <c r="S119" s="55"/>
      <c r="T119" s="44"/>
      <c r="U119" s="54"/>
      <c r="V119" s="50"/>
      <c r="W119" s="19"/>
      <c r="X119" s="19"/>
      <c r="Y119" s="19"/>
      <c r="Z119" s="19"/>
    </row>
    <row r="120" spans="1:26" ht="29.25" customHeight="1" x14ac:dyDescent="0.35">
      <c r="A120" s="19"/>
      <c r="B120" s="19"/>
      <c r="C120" s="59"/>
      <c r="D120" s="56" t="s">
        <v>2434</v>
      </c>
      <c r="E120" s="60"/>
      <c r="F120" s="56"/>
      <c r="G120" s="56"/>
      <c r="H120" s="61"/>
      <c r="I120" s="61"/>
      <c r="J120" s="56"/>
      <c r="K120" s="61"/>
      <c r="L120" s="62"/>
      <c r="M120" s="174" t="s">
        <v>2435</v>
      </c>
      <c r="N120" s="172"/>
      <c r="O120" s="172"/>
      <c r="P120" s="63"/>
      <c r="Q120" s="51"/>
      <c r="R120" s="26"/>
      <c r="S120" s="55"/>
      <c r="T120" s="44"/>
      <c r="U120" s="54"/>
      <c r="V120" s="50"/>
      <c r="W120" s="19"/>
      <c r="X120" s="19"/>
      <c r="Y120" s="19"/>
      <c r="Z120" s="19"/>
    </row>
    <row r="121" spans="1:26" ht="15.75" customHeight="1" outlineLevel="2" x14ac:dyDescent="0.35">
      <c r="A121" s="25" t="s">
        <v>205</v>
      </c>
      <c r="B121" s="25" t="s">
        <v>2447</v>
      </c>
      <c r="C121" s="26">
        <v>131874</v>
      </c>
      <c r="D121" s="25" t="s">
        <v>267</v>
      </c>
      <c r="E121" s="25" t="s">
        <v>266</v>
      </c>
      <c r="F121" s="26" t="s">
        <v>215</v>
      </c>
      <c r="G121" s="26" t="s">
        <v>215</v>
      </c>
      <c r="H121" s="26">
        <v>1</v>
      </c>
      <c r="I121" s="26">
        <v>3</v>
      </c>
      <c r="J121" s="26">
        <v>1</v>
      </c>
      <c r="K121" s="26">
        <v>138</v>
      </c>
      <c r="L121" s="26" t="s">
        <v>28</v>
      </c>
      <c r="M121" s="27">
        <v>788</v>
      </c>
      <c r="N121" s="28">
        <v>354088.04</v>
      </c>
      <c r="O121" s="26" t="s">
        <v>29</v>
      </c>
      <c r="P121" s="29"/>
      <c r="Q121" s="6"/>
      <c r="R121" s="29"/>
      <c r="S121" s="10"/>
      <c r="T121" s="8">
        <v>1</v>
      </c>
    </row>
    <row r="122" spans="1:26" ht="15.75" customHeight="1" outlineLevel="2" x14ac:dyDescent="0.35">
      <c r="A122" s="25" t="s">
        <v>205</v>
      </c>
      <c r="B122" s="25" t="s">
        <v>2447</v>
      </c>
      <c r="C122" s="26">
        <v>131897</v>
      </c>
      <c r="D122" s="25" t="s">
        <v>272</v>
      </c>
      <c r="E122" s="25" t="s">
        <v>269</v>
      </c>
      <c r="F122" s="26" t="s">
        <v>90</v>
      </c>
      <c r="G122" s="26" t="s">
        <v>90</v>
      </c>
      <c r="H122" s="26">
        <v>1</v>
      </c>
      <c r="I122" s="26">
        <v>1</v>
      </c>
      <c r="J122" s="26">
        <v>1</v>
      </c>
      <c r="K122" s="26">
        <v>138</v>
      </c>
      <c r="L122" s="26" t="s">
        <v>28</v>
      </c>
      <c r="M122" s="27">
        <v>804</v>
      </c>
      <c r="N122" s="28">
        <v>168715.08</v>
      </c>
      <c r="O122" s="26" t="s">
        <v>29</v>
      </c>
      <c r="P122" s="29"/>
      <c r="Q122" s="6"/>
      <c r="R122" s="29"/>
      <c r="S122" s="10"/>
      <c r="T122" s="8">
        <v>1</v>
      </c>
    </row>
    <row r="123" spans="1:26" ht="15.75" customHeight="1" outlineLevel="2" x14ac:dyDescent="0.35">
      <c r="A123" s="25" t="s">
        <v>205</v>
      </c>
      <c r="B123" s="25" t="s">
        <v>2447</v>
      </c>
      <c r="C123" s="26">
        <v>212012</v>
      </c>
      <c r="D123" s="25" t="s">
        <v>315</v>
      </c>
      <c r="E123" s="25" t="s">
        <v>312</v>
      </c>
      <c r="F123" s="26" t="s">
        <v>215</v>
      </c>
      <c r="G123" s="26" t="s">
        <v>215</v>
      </c>
      <c r="H123" s="26">
        <v>1</v>
      </c>
      <c r="I123" s="26">
        <v>3</v>
      </c>
      <c r="J123" s="26">
        <v>1</v>
      </c>
      <c r="K123" s="26">
        <v>138</v>
      </c>
      <c r="L123" s="26" t="s">
        <v>28</v>
      </c>
      <c r="M123" s="27">
        <v>841</v>
      </c>
      <c r="N123" s="28">
        <v>406181.81</v>
      </c>
      <c r="O123" s="26" t="s">
        <v>29</v>
      </c>
      <c r="P123" s="29"/>
      <c r="Q123" s="6"/>
      <c r="R123" s="29"/>
      <c r="S123" s="10"/>
      <c r="T123" s="8">
        <v>1</v>
      </c>
    </row>
    <row r="124" spans="1:26" ht="15.75" customHeight="1" outlineLevel="2" x14ac:dyDescent="0.35">
      <c r="A124" s="25" t="s">
        <v>205</v>
      </c>
      <c r="B124" s="25" t="s">
        <v>2447</v>
      </c>
      <c r="C124" s="26">
        <v>212051</v>
      </c>
      <c r="D124" s="25" t="s">
        <v>296</v>
      </c>
      <c r="E124" s="25" t="s">
        <v>261</v>
      </c>
      <c r="F124" s="26" t="s">
        <v>215</v>
      </c>
      <c r="G124" s="26" t="s">
        <v>215</v>
      </c>
      <c r="H124" s="26">
        <v>1</v>
      </c>
      <c r="I124" s="26">
        <v>1</v>
      </c>
      <c r="J124" s="26">
        <v>1</v>
      </c>
      <c r="K124" s="26">
        <v>138</v>
      </c>
      <c r="L124" s="26" t="s">
        <v>28</v>
      </c>
      <c r="M124" s="27">
        <v>785</v>
      </c>
      <c r="N124" s="28">
        <v>163465.07999999999</v>
      </c>
      <c r="O124" s="26" t="s">
        <v>29</v>
      </c>
      <c r="P124" s="29"/>
      <c r="Q124" s="6"/>
      <c r="R124" s="29"/>
      <c r="S124" s="10"/>
      <c r="T124" s="8">
        <v>1</v>
      </c>
    </row>
    <row r="125" spans="1:26" ht="15.75" customHeight="1" outlineLevel="1" x14ac:dyDescent="0.35">
      <c r="A125" s="25"/>
      <c r="B125" s="53" t="s">
        <v>2448</v>
      </c>
      <c r="C125" s="26"/>
      <c r="D125" s="25"/>
      <c r="E125" s="25"/>
      <c r="F125" s="26"/>
      <c r="G125" s="26"/>
      <c r="H125" s="26">
        <f t="shared" ref="H125:I125" si="6">SUBTOTAL(9,H121:H124)</f>
        <v>4</v>
      </c>
      <c r="I125" s="26">
        <f t="shared" si="6"/>
        <v>8</v>
      </c>
      <c r="J125" s="26"/>
      <c r="K125" s="26"/>
      <c r="L125" s="26"/>
      <c r="M125" s="27"/>
      <c r="N125" s="28">
        <f>SUBTOTAL(9,N121:N124)</f>
        <v>1092450.01</v>
      </c>
      <c r="O125" s="26"/>
      <c r="P125" s="29"/>
      <c r="Q125" s="6"/>
      <c r="R125" s="29"/>
      <c r="S125" s="10"/>
      <c r="T125" s="8"/>
    </row>
    <row r="126" spans="1:26" ht="25.5" customHeight="1" x14ac:dyDescent="0.35">
      <c r="A126" s="19"/>
      <c r="B126" s="19"/>
      <c r="C126" s="19"/>
      <c r="D126" s="50"/>
      <c r="E126" s="50"/>
      <c r="F126" s="19"/>
      <c r="G126" s="19"/>
      <c r="H126" s="48"/>
      <c r="I126" s="48"/>
      <c r="J126" s="19"/>
      <c r="K126" s="48"/>
      <c r="L126" s="54"/>
      <c r="M126" s="48"/>
      <c r="N126" s="48"/>
      <c r="O126" s="19"/>
      <c r="P126" s="45"/>
      <c r="Q126" s="51"/>
      <c r="R126" s="26"/>
      <c r="S126" s="55"/>
      <c r="T126" s="44"/>
      <c r="U126" s="54"/>
      <c r="V126" s="50"/>
      <c r="W126" s="19"/>
      <c r="X126" s="19"/>
      <c r="Y126" s="19"/>
      <c r="Z126" s="19"/>
    </row>
    <row r="127" spans="1:26" ht="25.5" customHeight="1" x14ac:dyDescent="0.35">
      <c r="A127" s="19"/>
      <c r="B127" s="56" t="s">
        <v>2377</v>
      </c>
      <c r="C127" s="19"/>
      <c r="D127" s="50"/>
      <c r="E127" s="50"/>
      <c r="F127" s="57"/>
      <c r="G127" s="57"/>
      <c r="H127" s="171" t="s">
        <v>2377</v>
      </c>
      <c r="I127" s="172"/>
      <c r="J127" s="19"/>
      <c r="K127" s="48"/>
      <c r="L127" s="54"/>
      <c r="M127" s="48"/>
      <c r="N127" s="48"/>
      <c r="O127" s="19"/>
      <c r="P127" s="51"/>
      <c r="Q127" s="51"/>
      <c r="R127" s="26"/>
      <c r="S127" s="55"/>
      <c r="T127" s="44"/>
      <c r="U127" s="54"/>
      <c r="V127" s="50"/>
      <c r="W127" s="19"/>
      <c r="X127" s="19"/>
      <c r="Y127" s="19"/>
      <c r="Z127" s="19"/>
    </row>
    <row r="128" spans="1:26" ht="25.5" customHeight="1" x14ac:dyDescent="0.35">
      <c r="A128" s="19"/>
      <c r="B128" s="19"/>
      <c r="C128" s="19"/>
      <c r="D128" s="50"/>
      <c r="E128" s="50"/>
      <c r="F128" s="19"/>
      <c r="G128" s="19"/>
      <c r="H128" s="19"/>
      <c r="I128" s="19"/>
      <c r="J128" s="19"/>
      <c r="K128" s="48"/>
      <c r="L128" s="54"/>
      <c r="M128" s="48"/>
      <c r="N128" s="48"/>
      <c r="O128" s="19"/>
      <c r="P128" s="51"/>
      <c r="Q128" s="51"/>
      <c r="R128" s="26"/>
      <c r="S128" s="55"/>
      <c r="T128" s="44"/>
      <c r="U128" s="54"/>
      <c r="V128" s="50"/>
      <c r="W128" s="19"/>
      <c r="X128" s="19"/>
      <c r="Y128" s="19"/>
      <c r="Z128" s="19"/>
    </row>
    <row r="129" spans="1:26" ht="25.5" customHeight="1" x14ac:dyDescent="0.35">
      <c r="A129" s="19"/>
      <c r="B129" s="19"/>
      <c r="C129" s="19"/>
      <c r="D129" s="50"/>
      <c r="E129" s="50"/>
      <c r="F129" s="19"/>
      <c r="G129" s="19"/>
      <c r="H129" s="48"/>
      <c r="I129" s="48"/>
      <c r="J129" s="19"/>
      <c r="K129" s="48"/>
      <c r="L129" s="54"/>
      <c r="M129" s="48"/>
      <c r="N129" s="48"/>
      <c r="O129" s="19"/>
      <c r="P129" s="51"/>
      <c r="Q129" s="51"/>
      <c r="R129" s="26"/>
      <c r="S129" s="55"/>
      <c r="T129" s="44"/>
      <c r="U129" s="54"/>
      <c r="V129" s="50"/>
      <c r="W129" s="19"/>
      <c r="X129" s="19"/>
      <c r="Y129" s="19"/>
      <c r="Z129" s="19"/>
    </row>
    <row r="130" spans="1:26" ht="25.5" customHeight="1" x14ac:dyDescent="0.35">
      <c r="A130" s="19"/>
      <c r="B130" s="19"/>
      <c r="C130" s="58"/>
      <c r="D130" s="78" t="s">
        <v>2432</v>
      </c>
      <c r="E130" s="50"/>
      <c r="F130" s="19"/>
      <c r="G130" s="19"/>
      <c r="H130" s="48"/>
      <c r="I130" s="48"/>
      <c r="J130" s="19"/>
      <c r="K130" s="48"/>
      <c r="L130" s="54"/>
      <c r="M130" s="173" t="s">
        <v>2433</v>
      </c>
      <c r="N130" s="172"/>
      <c r="O130" s="172"/>
      <c r="P130" s="51"/>
      <c r="Q130" s="51"/>
      <c r="R130" s="26"/>
      <c r="S130" s="55"/>
      <c r="T130" s="44"/>
      <c r="U130" s="54"/>
      <c r="V130" s="50"/>
      <c r="W130" s="19"/>
      <c r="X130" s="19"/>
      <c r="Y130" s="19"/>
      <c r="Z130" s="19"/>
    </row>
    <row r="131" spans="1:26" ht="29.25" customHeight="1" x14ac:dyDescent="0.35">
      <c r="A131" s="19"/>
      <c r="B131" s="19"/>
      <c r="C131" s="59"/>
      <c r="D131" s="56" t="s">
        <v>2434</v>
      </c>
      <c r="E131" s="60"/>
      <c r="F131" s="56"/>
      <c r="G131" s="56"/>
      <c r="H131" s="61"/>
      <c r="I131" s="61"/>
      <c r="J131" s="56"/>
      <c r="K131" s="61"/>
      <c r="L131" s="62"/>
      <c r="M131" s="174" t="s">
        <v>2435</v>
      </c>
      <c r="N131" s="172"/>
      <c r="O131" s="172"/>
      <c r="P131" s="63"/>
      <c r="Q131" s="51"/>
      <c r="R131" s="26"/>
      <c r="S131" s="55"/>
      <c r="T131" s="44"/>
      <c r="U131" s="54"/>
      <c r="V131" s="50"/>
      <c r="W131" s="19"/>
      <c r="X131" s="19"/>
      <c r="Y131" s="19"/>
      <c r="Z131" s="19"/>
    </row>
    <row r="132" spans="1:26" ht="15.75" customHeight="1" outlineLevel="2" x14ac:dyDescent="0.35">
      <c r="A132" s="9" t="s">
        <v>205</v>
      </c>
      <c r="B132" s="9" t="s">
        <v>310</v>
      </c>
      <c r="C132" s="31">
        <v>131642</v>
      </c>
      <c r="D132" s="32" t="s">
        <v>313</v>
      </c>
      <c r="E132" s="32" t="s">
        <v>312</v>
      </c>
      <c r="F132" s="29">
        <v>1</v>
      </c>
      <c r="G132" s="33"/>
      <c r="H132" s="33">
        <v>1</v>
      </c>
      <c r="I132" s="47">
        <v>3</v>
      </c>
      <c r="J132" s="29"/>
      <c r="K132" s="10"/>
      <c r="L132" s="10"/>
      <c r="M132" s="11"/>
      <c r="N132" s="34">
        <v>373719.03999999998</v>
      </c>
      <c r="O132" s="26" t="s">
        <v>29</v>
      </c>
      <c r="P132" s="29" t="s">
        <v>163</v>
      </c>
      <c r="Q132" s="6"/>
      <c r="R132" s="29"/>
      <c r="S132" s="10"/>
      <c r="T132" s="8">
        <v>1</v>
      </c>
    </row>
    <row r="133" spans="1:26" ht="15.75" customHeight="1" outlineLevel="1" x14ac:dyDescent="0.35">
      <c r="A133" s="9"/>
      <c r="B133" s="65" t="s">
        <v>2449</v>
      </c>
      <c r="C133" s="31"/>
      <c r="D133" s="32"/>
      <c r="E133" s="32"/>
      <c r="F133" s="29"/>
      <c r="G133" s="33"/>
      <c r="H133" s="33">
        <f t="shared" ref="H133:I133" si="7">SUBTOTAL(9,H132)</f>
        <v>1</v>
      </c>
      <c r="I133" s="47">
        <f t="shared" si="7"/>
        <v>3</v>
      </c>
      <c r="J133" s="29"/>
      <c r="K133" s="10"/>
      <c r="L133" s="10"/>
      <c r="M133" s="11"/>
      <c r="N133" s="34">
        <f>SUBTOTAL(9,N132)</f>
        <v>373719.03999999998</v>
      </c>
      <c r="O133" s="26"/>
      <c r="P133" s="29"/>
      <c r="Q133" s="6"/>
      <c r="R133" s="29"/>
      <c r="S133" s="10"/>
      <c r="T133" s="8"/>
    </row>
    <row r="134" spans="1:26" ht="25.5" customHeight="1" x14ac:dyDescent="0.35">
      <c r="A134" s="19"/>
      <c r="B134" s="19"/>
      <c r="C134" s="19"/>
      <c r="D134" s="50"/>
      <c r="E134" s="50"/>
      <c r="F134" s="19"/>
      <c r="G134" s="19"/>
      <c r="H134" s="48"/>
      <c r="I134" s="48"/>
      <c r="J134" s="19"/>
      <c r="K134" s="48"/>
      <c r="L134" s="54"/>
      <c r="M134" s="48"/>
      <c r="N134" s="48"/>
      <c r="O134" s="19"/>
      <c r="P134" s="45"/>
      <c r="Q134" s="51"/>
      <c r="R134" s="26"/>
      <c r="S134" s="55"/>
      <c r="T134" s="44"/>
      <c r="U134" s="54"/>
      <c r="V134" s="50"/>
      <c r="W134" s="19"/>
      <c r="X134" s="19"/>
      <c r="Y134" s="19"/>
      <c r="Z134" s="19"/>
    </row>
    <row r="135" spans="1:26" ht="25.5" customHeight="1" x14ac:dyDescent="0.35">
      <c r="A135" s="19"/>
      <c r="B135" s="56" t="s">
        <v>2377</v>
      </c>
      <c r="C135" s="19"/>
      <c r="D135" s="50"/>
      <c r="E135" s="50"/>
      <c r="F135" s="57"/>
      <c r="G135" s="57"/>
      <c r="H135" s="171" t="s">
        <v>2377</v>
      </c>
      <c r="I135" s="172"/>
      <c r="J135" s="19"/>
      <c r="K135" s="48"/>
      <c r="L135" s="54"/>
      <c r="M135" s="48"/>
      <c r="N135" s="48"/>
      <c r="O135" s="19"/>
      <c r="P135" s="51"/>
      <c r="Q135" s="51"/>
      <c r="R135" s="26"/>
      <c r="S135" s="55"/>
      <c r="T135" s="44"/>
      <c r="U135" s="54"/>
      <c r="V135" s="50"/>
      <c r="W135" s="19"/>
      <c r="X135" s="19"/>
      <c r="Y135" s="19"/>
      <c r="Z135" s="19"/>
    </row>
    <row r="136" spans="1:26" ht="25.5" customHeight="1" x14ac:dyDescent="0.35">
      <c r="A136" s="19"/>
      <c r="B136" s="19"/>
      <c r="C136" s="19"/>
      <c r="D136" s="50"/>
      <c r="E136" s="50"/>
      <c r="F136" s="19"/>
      <c r="G136" s="19"/>
      <c r="H136" s="19"/>
      <c r="I136" s="19"/>
      <c r="J136" s="19"/>
      <c r="K136" s="48"/>
      <c r="L136" s="54"/>
      <c r="M136" s="48"/>
      <c r="N136" s="48"/>
      <c r="O136" s="19"/>
      <c r="P136" s="51"/>
      <c r="Q136" s="51"/>
      <c r="R136" s="26"/>
      <c r="S136" s="55"/>
      <c r="T136" s="44"/>
      <c r="U136" s="54"/>
      <c r="V136" s="50"/>
      <c r="W136" s="19"/>
      <c r="X136" s="19"/>
      <c r="Y136" s="19"/>
      <c r="Z136" s="19"/>
    </row>
    <row r="137" spans="1:26" ht="25.5" customHeight="1" x14ac:dyDescent="0.35">
      <c r="A137" s="19"/>
      <c r="B137" s="19"/>
      <c r="C137" s="19"/>
      <c r="D137" s="50"/>
      <c r="E137" s="50"/>
      <c r="F137" s="19"/>
      <c r="G137" s="19"/>
      <c r="H137" s="48"/>
      <c r="I137" s="48"/>
      <c r="J137" s="19"/>
      <c r="K137" s="48"/>
      <c r="L137" s="54"/>
      <c r="M137" s="48"/>
      <c r="N137" s="48"/>
      <c r="O137" s="19"/>
      <c r="P137" s="51"/>
      <c r="Q137" s="51"/>
      <c r="R137" s="26"/>
      <c r="S137" s="55"/>
      <c r="T137" s="44"/>
      <c r="U137" s="54"/>
      <c r="V137" s="50"/>
      <c r="W137" s="19"/>
      <c r="X137" s="19"/>
      <c r="Y137" s="19"/>
      <c r="Z137" s="19"/>
    </row>
    <row r="138" spans="1:26" ht="25.5" customHeight="1" x14ac:dyDescent="0.35">
      <c r="A138" s="19"/>
      <c r="B138" s="19"/>
      <c r="C138" s="58"/>
      <c r="D138" s="78" t="s">
        <v>2432</v>
      </c>
      <c r="E138" s="50"/>
      <c r="F138" s="19"/>
      <c r="G138" s="19"/>
      <c r="H138" s="48"/>
      <c r="I138" s="48"/>
      <c r="J138" s="19"/>
      <c r="K138" s="48"/>
      <c r="L138" s="54"/>
      <c r="M138" s="173" t="s">
        <v>2433</v>
      </c>
      <c r="N138" s="172"/>
      <c r="O138" s="172"/>
      <c r="P138" s="51"/>
      <c r="Q138" s="51"/>
      <c r="R138" s="26"/>
      <c r="S138" s="55"/>
      <c r="T138" s="44"/>
      <c r="U138" s="54"/>
      <c r="V138" s="50"/>
      <c r="W138" s="19"/>
      <c r="X138" s="19"/>
      <c r="Y138" s="19"/>
      <c r="Z138" s="19"/>
    </row>
    <row r="139" spans="1:26" ht="29.25" customHeight="1" x14ac:dyDescent="0.35">
      <c r="A139" s="19"/>
      <c r="B139" s="19"/>
      <c r="C139" s="59"/>
      <c r="D139" s="56" t="s">
        <v>2434</v>
      </c>
      <c r="E139" s="60"/>
      <c r="F139" s="56"/>
      <c r="G139" s="56"/>
      <c r="H139" s="61"/>
      <c r="I139" s="61"/>
      <c r="J139" s="56"/>
      <c r="K139" s="61"/>
      <c r="L139" s="62"/>
      <c r="M139" s="174" t="s">
        <v>2435</v>
      </c>
      <c r="N139" s="172"/>
      <c r="O139" s="172"/>
      <c r="P139" s="63"/>
      <c r="Q139" s="51"/>
      <c r="R139" s="26"/>
      <c r="S139" s="55"/>
      <c r="T139" s="44"/>
      <c r="U139" s="54"/>
      <c r="V139" s="50"/>
      <c r="W139" s="19"/>
      <c r="X139" s="19"/>
      <c r="Y139" s="19"/>
      <c r="Z139" s="19"/>
    </row>
    <row r="140" spans="1:26" ht="15.75" customHeight="1" outlineLevel="2" x14ac:dyDescent="0.35">
      <c r="A140" s="25" t="s">
        <v>205</v>
      </c>
      <c r="B140" s="25" t="s">
        <v>2450</v>
      </c>
      <c r="C140" s="26">
        <v>132273</v>
      </c>
      <c r="D140" s="25" t="s">
        <v>341</v>
      </c>
      <c r="E140" s="25" t="s">
        <v>339</v>
      </c>
      <c r="F140" s="26" t="s">
        <v>90</v>
      </c>
      <c r="G140" s="26" t="s">
        <v>90</v>
      </c>
      <c r="H140" s="26">
        <v>1</v>
      </c>
      <c r="I140" s="26">
        <v>2</v>
      </c>
      <c r="J140" s="26">
        <v>1</v>
      </c>
      <c r="K140" s="26">
        <v>138</v>
      </c>
      <c r="L140" s="26" t="s">
        <v>28</v>
      </c>
      <c r="M140" s="27">
        <v>859</v>
      </c>
      <c r="N140" s="30">
        <v>220203.36</v>
      </c>
      <c r="O140" s="26" t="s">
        <v>29</v>
      </c>
      <c r="P140" s="29"/>
      <c r="Q140" s="6"/>
      <c r="R140" s="29"/>
      <c r="S140" s="10"/>
      <c r="T140" s="8">
        <v>1</v>
      </c>
    </row>
    <row r="141" spans="1:26" ht="15.75" customHeight="1" outlineLevel="2" x14ac:dyDescent="0.35">
      <c r="A141" s="25" t="s">
        <v>205</v>
      </c>
      <c r="B141" s="25" t="s">
        <v>2450</v>
      </c>
      <c r="C141" s="26">
        <v>132274</v>
      </c>
      <c r="D141" s="64" t="s">
        <v>342</v>
      </c>
      <c r="E141" s="25" t="s">
        <v>339</v>
      </c>
      <c r="F141" s="26" t="s">
        <v>90</v>
      </c>
      <c r="G141" s="33"/>
      <c r="H141" s="33">
        <v>1</v>
      </c>
      <c r="I141" s="47">
        <v>6</v>
      </c>
      <c r="J141" s="29"/>
      <c r="K141" s="10"/>
      <c r="L141" s="10"/>
      <c r="M141" s="11"/>
      <c r="N141" s="35">
        <v>405084.95</v>
      </c>
      <c r="O141" s="26" t="s">
        <v>29</v>
      </c>
      <c r="P141" s="29"/>
      <c r="Q141" s="6"/>
      <c r="R141" s="29"/>
      <c r="S141" s="10"/>
      <c r="T141" s="8">
        <v>1</v>
      </c>
    </row>
    <row r="142" spans="1:26" ht="15.75" customHeight="1" outlineLevel="2" x14ac:dyDescent="0.35">
      <c r="A142" s="25" t="s">
        <v>205</v>
      </c>
      <c r="B142" s="25" t="s">
        <v>2450</v>
      </c>
      <c r="C142" s="26">
        <v>132277</v>
      </c>
      <c r="D142" s="25" t="s">
        <v>343</v>
      </c>
      <c r="E142" s="25" t="s">
        <v>339</v>
      </c>
      <c r="F142" s="26" t="s">
        <v>90</v>
      </c>
      <c r="G142" s="26" t="s">
        <v>90</v>
      </c>
      <c r="H142" s="26">
        <v>1</v>
      </c>
      <c r="I142" s="26">
        <v>2</v>
      </c>
      <c r="J142" s="26">
        <v>1</v>
      </c>
      <c r="K142" s="26">
        <v>138</v>
      </c>
      <c r="L142" s="26" t="s">
        <v>28</v>
      </c>
      <c r="M142" s="27">
        <v>860</v>
      </c>
      <c r="N142" s="30">
        <v>180524.3</v>
      </c>
      <c r="O142" s="26" t="s">
        <v>29</v>
      </c>
      <c r="P142" s="29"/>
      <c r="Q142" s="6"/>
      <c r="R142" s="29"/>
      <c r="S142" s="10"/>
      <c r="T142" s="8">
        <v>1</v>
      </c>
    </row>
    <row r="143" spans="1:26" ht="15.75" customHeight="1" outlineLevel="2" x14ac:dyDescent="0.35">
      <c r="A143" s="25" t="s">
        <v>205</v>
      </c>
      <c r="B143" s="25" t="s">
        <v>2450</v>
      </c>
      <c r="C143" s="26">
        <v>132278</v>
      </c>
      <c r="D143" s="25" t="s">
        <v>344</v>
      </c>
      <c r="E143" s="25" t="s">
        <v>339</v>
      </c>
      <c r="F143" s="26" t="s">
        <v>90</v>
      </c>
      <c r="G143" s="26" t="s">
        <v>90</v>
      </c>
      <c r="H143" s="26">
        <v>1</v>
      </c>
      <c r="I143" s="26">
        <v>1</v>
      </c>
      <c r="J143" s="26">
        <v>1</v>
      </c>
      <c r="K143" s="26">
        <v>138</v>
      </c>
      <c r="L143" s="26" t="s">
        <v>28</v>
      </c>
      <c r="M143" s="27">
        <v>861</v>
      </c>
      <c r="N143" s="30">
        <v>92522.05</v>
      </c>
      <c r="O143" s="26" t="s">
        <v>29</v>
      </c>
      <c r="P143" s="29"/>
      <c r="Q143" s="6"/>
      <c r="R143" s="29"/>
      <c r="S143" s="10"/>
      <c r="T143" s="8">
        <v>1</v>
      </c>
    </row>
    <row r="144" spans="1:26" ht="15.75" customHeight="1" outlineLevel="2" x14ac:dyDescent="0.35">
      <c r="A144" s="25" t="s">
        <v>205</v>
      </c>
      <c r="B144" s="25" t="s">
        <v>2450</v>
      </c>
      <c r="C144" s="26">
        <v>132279</v>
      </c>
      <c r="D144" s="25" t="s">
        <v>345</v>
      </c>
      <c r="E144" s="25" t="s">
        <v>339</v>
      </c>
      <c r="F144" s="26" t="s">
        <v>90</v>
      </c>
      <c r="G144" s="26" t="s">
        <v>90</v>
      </c>
      <c r="H144" s="26">
        <v>1</v>
      </c>
      <c r="I144" s="26">
        <v>5</v>
      </c>
      <c r="J144" s="26">
        <v>1</v>
      </c>
      <c r="K144" s="26">
        <v>138</v>
      </c>
      <c r="L144" s="26" t="s">
        <v>28</v>
      </c>
      <c r="M144" s="27">
        <v>862</v>
      </c>
      <c r="N144" s="30">
        <v>406380.7</v>
      </c>
      <c r="O144" s="26" t="s">
        <v>29</v>
      </c>
      <c r="P144" s="29"/>
      <c r="Q144" s="6"/>
      <c r="R144" s="29"/>
      <c r="S144" s="10"/>
      <c r="T144" s="8">
        <v>1</v>
      </c>
    </row>
    <row r="145" spans="1:26" ht="15.75" customHeight="1" outlineLevel="2" x14ac:dyDescent="0.35">
      <c r="A145" s="25" t="s">
        <v>205</v>
      </c>
      <c r="B145" s="25" t="s">
        <v>2450</v>
      </c>
      <c r="C145" s="26">
        <v>132280</v>
      </c>
      <c r="D145" s="25" t="s">
        <v>346</v>
      </c>
      <c r="E145" s="25" t="s">
        <v>339</v>
      </c>
      <c r="F145" s="26" t="s">
        <v>90</v>
      </c>
      <c r="G145" s="26" t="s">
        <v>90</v>
      </c>
      <c r="H145" s="26">
        <v>1</v>
      </c>
      <c r="I145" s="26">
        <v>1</v>
      </c>
      <c r="J145" s="26">
        <v>1</v>
      </c>
      <c r="K145" s="26">
        <v>138</v>
      </c>
      <c r="L145" s="26" t="s">
        <v>28</v>
      </c>
      <c r="M145" s="27">
        <v>864</v>
      </c>
      <c r="N145" s="30">
        <v>108642.54</v>
      </c>
      <c r="O145" s="26" t="s">
        <v>29</v>
      </c>
      <c r="P145" s="29"/>
      <c r="Q145" s="6"/>
      <c r="R145" s="29"/>
      <c r="S145" s="10"/>
      <c r="T145" s="8">
        <v>1</v>
      </c>
    </row>
    <row r="146" spans="1:26" ht="15.75" customHeight="1" outlineLevel="2" x14ac:dyDescent="0.35">
      <c r="A146" s="25" t="s">
        <v>205</v>
      </c>
      <c r="B146" s="25" t="s">
        <v>2450</v>
      </c>
      <c r="C146" s="26">
        <v>132285</v>
      </c>
      <c r="D146" s="25" t="s">
        <v>347</v>
      </c>
      <c r="E146" s="25" t="s">
        <v>339</v>
      </c>
      <c r="F146" s="26" t="s">
        <v>90</v>
      </c>
      <c r="G146" s="26" t="s">
        <v>90</v>
      </c>
      <c r="H146" s="26">
        <v>1</v>
      </c>
      <c r="I146" s="26">
        <v>3</v>
      </c>
      <c r="J146" s="26">
        <v>1</v>
      </c>
      <c r="K146" s="26">
        <v>138</v>
      </c>
      <c r="L146" s="26" t="s">
        <v>28</v>
      </c>
      <c r="M146" s="27">
        <v>867</v>
      </c>
      <c r="N146" s="30">
        <v>270646.46999999997</v>
      </c>
      <c r="O146" s="26" t="s">
        <v>29</v>
      </c>
      <c r="P146" s="29"/>
      <c r="Q146" s="6"/>
      <c r="R146" s="29"/>
      <c r="S146" s="10"/>
      <c r="T146" s="8">
        <v>1</v>
      </c>
    </row>
    <row r="147" spans="1:26" ht="15.75" customHeight="1" outlineLevel="2" x14ac:dyDescent="0.35">
      <c r="A147" s="25" t="s">
        <v>205</v>
      </c>
      <c r="B147" s="25" t="s">
        <v>2450</v>
      </c>
      <c r="C147" s="26">
        <v>132438</v>
      </c>
      <c r="D147" s="25" t="s">
        <v>363</v>
      </c>
      <c r="E147" s="25" t="s">
        <v>364</v>
      </c>
      <c r="F147" s="26" t="s">
        <v>90</v>
      </c>
      <c r="G147" s="26" t="s">
        <v>90</v>
      </c>
      <c r="H147" s="26">
        <v>1</v>
      </c>
      <c r="I147" s="26">
        <v>2</v>
      </c>
      <c r="J147" s="26">
        <v>1</v>
      </c>
      <c r="K147" s="26">
        <v>138</v>
      </c>
      <c r="L147" s="26" t="s">
        <v>28</v>
      </c>
      <c r="M147" s="27">
        <v>870</v>
      </c>
      <c r="N147" s="28">
        <v>222400</v>
      </c>
      <c r="O147" s="26" t="s">
        <v>29</v>
      </c>
      <c r="P147" s="29"/>
      <c r="Q147" s="6"/>
      <c r="R147" s="29"/>
      <c r="S147" s="10"/>
      <c r="T147" s="8">
        <v>1</v>
      </c>
    </row>
    <row r="148" spans="1:26" ht="15.75" customHeight="1" outlineLevel="2" x14ac:dyDescent="0.35">
      <c r="A148" s="25" t="s">
        <v>205</v>
      </c>
      <c r="B148" s="25" t="s">
        <v>2450</v>
      </c>
      <c r="C148" s="26">
        <v>304793</v>
      </c>
      <c r="D148" s="64" t="s">
        <v>348</v>
      </c>
      <c r="E148" s="25" t="s">
        <v>339</v>
      </c>
      <c r="F148" s="26" t="s">
        <v>90</v>
      </c>
      <c r="G148" s="33"/>
      <c r="H148" s="33">
        <v>1</v>
      </c>
      <c r="I148" s="47">
        <v>12</v>
      </c>
      <c r="J148" s="29"/>
      <c r="K148" s="10"/>
      <c r="L148" s="10"/>
      <c r="M148" s="11"/>
      <c r="N148" s="35">
        <v>477182.44</v>
      </c>
      <c r="O148" s="26" t="s">
        <v>29</v>
      </c>
      <c r="P148" s="29"/>
      <c r="Q148" s="6"/>
      <c r="R148" s="29"/>
      <c r="S148" s="10"/>
      <c r="T148" s="8">
        <v>1</v>
      </c>
    </row>
    <row r="149" spans="1:26" ht="15.75" customHeight="1" outlineLevel="1" x14ac:dyDescent="0.35">
      <c r="A149" s="25"/>
      <c r="B149" s="53" t="s">
        <v>2451</v>
      </c>
      <c r="C149" s="26"/>
      <c r="D149" s="64"/>
      <c r="E149" s="25"/>
      <c r="F149" s="26"/>
      <c r="G149" s="33"/>
      <c r="H149" s="33">
        <f t="shared" ref="H149:I149" si="8">SUBTOTAL(9,H140:H148)</f>
        <v>9</v>
      </c>
      <c r="I149" s="47">
        <f t="shared" si="8"/>
        <v>34</v>
      </c>
      <c r="J149" s="29"/>
      <c r="K149" s="10"/>
      <c r="L149" s="10"/>
      <c r="M149" s="11"/>
      <c r="N149" s="35">
        <f>SUBTOTAL(9,N140:N148)</f>
        <v>2383586.81</v>
      </c>
      <c r="O149" s="26"/>
      <c r="P149" s="29"/>
      <c r="Q149" s="6"/>
      <c r="R149" s="29"/>
      <c r="S149" s="10"/>
      <c r="T149" s="8"/>
    </row>
    <row r="150" spans="1:26" ht="25.5" customHeight="1" x14ac:dyDescent="0.35">
      <c r="A150" s="19"/>
      <c r="B150" s="19"/>
      <c r="C150" s="19"/>
      <c r="D150" s="50"/>
      <c r="E150" s="50"/>
      <c r="F150" s="19"/>
      <c r="G150" s="19"/>
      <c r="H150" s="48"/>
      <c r="I150" s="48"/>
      <c r="J150" s="19"/>
      <c r="K150" s="48"/>
      <c r="L150" s="54"/>
      <c r="M150" s="48"/>
      <c r="N150" s="48"/>
      <c r="O150" s="19"/>
      <c r="P150" s="45"/>
      <c r="Q150" s="51"/>
      <c r="R150" s="26"/>
      <c r="S150" s="55"/>
      <c r="T150" s="44"/>
      <c r="U150" s="54"/>
      <c r="V150" s="50"/>
      <c r="W150" s="19"/>
      <c r="X150" s="19"/>
      <c r="Y150" s="19"/>
      <c r="Z150" s="19"/>
    </row>
    <row r="151" spans="1:26" ht="25.5" customHeight="1" x14ac:dyDescent="0.35">
      <c r="A151" s="19"/>
      <c r="B151" s="56" t="s">
        <v>2377</v>
      </c>
      <c r="C151" s="19"/>
      <c r="D151" s="50"/>
      <c r="E151" s="50"/>
      <c r="F151" s="57"/>
      <c r="G151" s="57"/>
      <c r="H151" s="171" t="s">
        <v>2377</v>
      </c>
      <c r="I151" s="172"/>
      <c r="J151" s="19"/>
      <c r="K151" s="48"/>
      <c r="L151" s="54"/>
      <c r="M151" s="48"/>
      <c r="N151" s="48"/>
      <c r="O151" s="19"/>
      <c r="P151" s="51"/>
      <c r="Q151" s="51"/>
      <c r="R151" s="26"/>
      <c r="S151" s="55"/>
      <c r="T151" s="44"/>
      <c r="U151" s="54"/>
      <c r="V151" s="50"/>
      <c r="W151" s="19"/>
      <c r="X151" s="19"/>
      <c r="Y151" s="19"/>
      <c r="Z151" s="19"/>
    </row>
    <row r="152" spans="1:26" ht="25.5" customHeight="1" x14ac:dyDescent="0.35">
      <c r="A152" s="19"/>
      <c r="B152" s="19"/>
      <c r="C152" s="19"/>
      <c r="D152" s="50"/>
      <c r="E152" s="50"/>
      <c r="F152" s="19"/>
      <c r="G152" s="19"/>
      <c r="H152" s="19"/>
      <c r="I152" s="19"/>
      <c r="J152" s="19"/>
      <c r="K152" s="48"/>
      <c r="L152" s="54"/>
      <c r="M152" s="48"/>
      <c r="N152" s="48"/>
      <c r="O152" s="19"/>
      <c r="P152" s="51"/>
      <c r="Q152" s="51"/>
      <c r="R152" s="26"/>
      <c r="S152" s="55"/>
      <c r="T152" s="44"/>
      <c r="U152" s="54"/>
      <c r="V152" s="50"/>
      <c r="W152" s="19"/>
      <c r="X152" s="19"/>
      <c r="Y152" s="19"/>
      <c r="Z152" s="19"/>
    </row>
    <row r="153" spans="1:26" ht="25.5" customHeight="1" x14ac:dyDescent="0.35">
      <c r="A153" s="19"/>
      <c r="B153" s="19"/>
      <c r="C153" s="19"/>
      <c r="D153" s="50"/>
      <c r="E153" s="50"/>
      <c r="F153" s="19"/>
      <c r="G153" s="19"/>
      <c r="H153" s="48"/>
      <c r="I153" s="48"/>
      <c r="J153" s="19"/>
      <c r="K153" s="48"/>
      <c r="L153" s="54"/>
      <c r="M153" s="48"/>
      <c r="N153" s="48"/>
      <c r="O153" s="19"/>
      <c r="P153" s="51"/>
      <c r="Q153" s="51"/>
      <c r="R153" s="26"/>
      <c r="S153" s="55"/>
      <c r="T153" s="44"/>
      <c r="U153" s="54"/>
      <c r="V153" s="50"/>
      <c r="W153" s="19"/>
      <c r="X153" s="19"/>
      <c r="Y153" s="19"/>
      <c r="Z153" s="19"/>
    </row>
    <row r="154" spans="1:26" ht="25.5" customHeight="1" x14ac:dyDescent="0.35">
      <c r="A154" s="19"/>
      <c r="B154" s="19"/>
      <c r="C154" s="58"/>
      <c r="D154" s="78" t="s">
        <v>2432</v>
      </c>
      <c r="E154" s="50"/>
      <c r="F154" s="19"/>
      <c r="G154" s="19"/>
      <c r="H154" s="48"/>
      <c r="I154" s="48"/>
      <c r="J154" s="19"/>
      <c r="K154" s="48"/>
      <c r="L154" s="54"/>
      <c r="M154" s="173" t="s">
        <v>2433</v>
      </c>
      <c r="N154" s="172"/>
      <c r="O154" s="172"/>
      <c r="P154" s="51"/>
      <c r="Q154" s="51"/>
      <c r="R154" s="26"/>
      <c r="S154" s="55"/>
      <c r="T154" s="44"/>
      <c r="U154" s="54"/>
      <c r="V154" s="50"/>
      <c r="W154" s="19"/>
      <c r="X154" s="19"/>
      <c r="Y154" s="19"/>
      <c r="Z154" s="19"/>
    </row>
    <row r="155" spans="1:26" ht="29.25" customHeight="1" x14ac:dyDescent="0.35">
      <c r="A155" s="19"/>
      <c r="B155" s="19"/>
      <c r="C155" s="59"/>
      <c r="D155" s="56" t="s">
        <v>2434</v>
      </c>
      <c r="E155" s="60"/>
      <c r="F155" s="56"/>
      <c r="G155" s="56"/>
      <c r="H155" s="61"/>
      <c r="I155" s="61"/>
      <c r="J155" s="56"/>
      <c r="K155" s="61"/>
      <c r="L155" s="62"/>
      <c r="M155" s="174" t="s">
        <v>2435</v>
      </c>
      <c r="N155" s="172"/>
      <c r="O155" s="172"/>
      <c r="P155" s="63"/>
      <c r="Q155" s="51"/>
      <c r="R155" s="26"/>
      <c r="S155" s="55"/>
      <c r="T155" s="44"/>
      <c r="U155" s="54"/>
      <c r="V155" s="50"/>
      <c r="W155" s="19"/>
      <c r="X155" s="19"/>
      <c r="Y155" s="19"/>
      <c r="Z155" s="19"/>
    </row>
    <row r="156" spans="1:26" ht="15.75" customHeight="1" outlineLevel="2" x14ac:dyDescent="0.35">
      <c r="A156" s="25" t="s">
        <v>2376</v>
      </c>
      <c r="B156" s="25" t="s">
        <v>2452</v>
      </c>
      <c r="C156" s="26">
        <v>116971</v>
      </c>
      <c r="D156" s="25" t="s">
        <v>1481</v>
      </c>
      <c r="E156" s="25" t="s">
        <v>1478</v>
      </c>
      <c r="F156" s="26" t="s">
        <v>469</v>
      </c>
      <c r="G156" s="26" t="s">
        <v>469</v>
      </c>
      <c r="H156" s="26">
        <v>1</v>
      </c>
      <c r="I156" s="26">
        <v>7</v>
      </c>
      <c r="J156" s="26">
        <v>1</v>
      </c>
      <c r="K156" s="26">
        <v>138</v>
      </c>
      <c r="L156" s="26" t="s">
        <v>28</v>
      </c>
      <c r="M156" s="27">
        <v>1002</v>
      </c>
      <c r="N156" s="28">
        <v>629037.28</v>
      </c>
      <c r="O156" s="26" t="s">
        <v>29</v>
      </c>
      <c r="P156" s="29"/>
      <c r="Q156" s="6"/>
      <c r="R156" s="29"/>
      <c r="S156" s="10"/>
      <c r="T156" s="8">
        <v>1</v>
      </c>
    </row>
    <row r="157" spans="1:26" ht="15.75" customHeight="1" outlineLevel="2" x14ac:dyDescent="0.35">
      <c r="A157" s="25" t="s">
        <v>2376</v>
      </c>
      <c r="B157" s="25" t="s">
        <v>2452</v>
      </c>
      <c r="C157" s="26">
        <v>116973</v>
      </c>
      <c r="D157" s="25" t="s">
        <v>1483</v>
      </c>
      <c r="E157" s="25" t="s">
        <v>1478</v>
      </c>
      <c r="F157" s="26" t="s">
        <v>469</v>
      </c>
      <c r="G157" s="26" t="s">
        <v>469</v>
      </c>
      <c r="H157" s="26">
        <v>1</v>
      </c>
      <c r="I157" s="26">
        <v>4</v>
      </c>
      <c r="J157" s="26">
        <v>1</v>
      </c>
      <c r="K157" s="26">
        <v>138</v>
      </c>
      <c r="L157" s="26" t="s">
        <v>28</v>
      </c>
      <c r="M157" s="27">
        <v>1005</v>
      </c>
      <c r="N157" s="28">
        <v>669838</v>
      </c>
      <c r="O157" s="26" t="s">
        <v>29</v>
      </c>
      <c r="P157" s="29"/>
      <c r="Q157" s="6"/>
      <c r="R157" s="29"/>
      <c r="S157" s="10"/>
      <c r="T157" s="8">
        <v>1</v>
      </c>
    </row>
    <row r="158" spans="1:26" ht="15.75" customHeight="1" outlineLevel="2" x14ac:dyDescent="0.35">
      <c r="A158" s="25" t="s">
        <v>2376</v>
      </c>
      <c r="B158" s="25" t="s">
        <v>2452</v>
      </c>
      <c r="C158" s="26">
        <v>116977</v>
      </c>
      <c r="D158" s="25" t="s">
        <v>1484</v>
      </c>
      <c r="E158" s="25" t="s">
        <v>1478</v>
      </c>
      <c r="F158" s="26" t="s">
        <v>469</v>
      </c>
      <c r="G158" s="26" t="s">
        <v>469</v>
      </c>
      <c r="H158" s="26">
        <v>1</v>
      </c>
      <c r="I158" s="26">
        <v>2</v>
      </c>
      <c r="J158" s="26">
        <v>1</v>
      </c>
      <c r="K158" s="26">
        <v>138</v>
      </c>
      <c r="L158" s="26" t="s">
        <v>28</v>
      </c>
      <c r="M158" s="27">
        <v>1013</v>
      </c>
      <c r="N158" s="28">
        <v>758672.56</v>
      </c>
      <c r="O158" s="26" t="s">
        <v>29</v>
      </c>
      <c r="P158" s="29"/>
      <c r="Q158" s="6"/>
      <c r="R158" s="29"/>
      <c r="S158" s="10"/>
      <c r="T158" s="8">
        <v>1</v>
      </c>
    </row>
    <row r="159" spans="1:26" ht="15.75" customHeight="1" outlineLevel="2" x14ac:dyDescent="0.35">
      <c r="A159" s="25" t="s">
        <v>2376</v>
      </c>
      <c r="B159" s="25" t="s">
        <v>2452</v>
      </c>
      <c r="C159" s="26">
        <v>116979</v>
      </c>
      <c r="D159" s="25" t="s">
        <v>1485</v>
      </c>
      <c r="E159" s="25" t="s">
        <v>1478</v>
      </c>
      <c r="F159" s="26" t="s">
        <v>469</v>
      </c>
      <c r="G159" s="26" t="s">
        <v>469</v>
      </c>
      <c r="H159" s="26">
        <v>1</v>
      </c>
      <c r="I159" s="26">
        <v>10</v>
      </c>
      <c r="J159" s="26">
        <v>1</v>
      </c>
      <c r="K159" s="26">
        <v>138</v>
      </c>
      <c r="L159" s="26" t="s">
        <v>28</v>
      </c>
      <c r="M159" s="27">
        <v>1017</v>
      </c>
      <c r="N159" s="28">
        <v>896856.69</v>
      </c>
      <c r="O159" s="26" t="s">
        <v>29</v>
      </c>
      <c r="P159" s="29"/>
      <c r="Q159" s="6"/>
      <c r="R159" s="29"/>
      <c r="S159" s="10"/>
      <c r="T159" s="8">
        <v>1</v>
      </c>
    </row>
    <row r="160" spans="1:26" ht="15.75" customHeight="1" outlineLevel="2" x14ac:dyDescent="0.35">
      <c r="A160" s="25" t="s">
        <v>2376</v>
      </c>
      <c r="B160" s="25" t="s">
        <v>2452</v>
      </c>
      <c r="C160" s="26">
        <v>116983</v>
      </c>
      <c r="D160" s="25" t="s">
        <v>1486</v>
      </c>
      <c r="E160" s="25" t="s">
        <v>1478</v>
      </c>
      <c r="F160" s="26" t="s">
        <v>469</v>
      </c>
      <c r="G160" s="26" t="s">
        <v>469</v>
      </c>
      <c r="H160" s="26">
        <v>1</v>
      </c>
      <c r="I160" s="26">
        <v>9</v>
      </c>
      <c r="J160" s="26">
        <v>1</v>
      </c>
      <c r="K160" s="26">
        <v>138</v>
      </c>
      <c r="L160" s="26" t="s">
        <v>28</v>
      </c>
      <c r="M160" s="27">
        <v>1021</v>
      </c>
      <c r="N160" s="28">
        <v>349163.74</v>
      </c>
      <c r="O160" s="26" t="s">
        <v>29</v>
      </c>
      <c r="P160" s="29"/>
      <c r="Q160" s="6"/>
      <c r="R160" s="29"/>
      <c r="S160" s="10"/>
      <c r="T160" s="8">
        <v>1</v>
      </c>
    </row>
    <row r="161" spans="1:20" ht="15.75" customHeight="1" outlineLevel="2" x14ac:dyDescent="0.35">
      <c r="A161" s="25" t="s">
        <v>2376</v>
      </c>
      <c r="B161" s="25" t="s">
        <v>2452</v>
      </c>
      <c r="C161" s="26">
        <v>117014</v>
      </c>
      <c r="D161" s="25" t="s">
        <v>1492</v>
      </c>
      <c r="E161" s="25" t="s">
        <v>1478</v>
      </c>
      <c r="F161" s="26" t="s">
        <v>469</v>
      </c>
      <c r="G161" s="26" t="s">
        <v>469</v>
      </c>
      <c r="H161" s="26">
        <v>1</v>
      </c>
      <c r="I161" s="26">
        <v>5</v>
      </c>
      <c r="J161" s="26">
        <v>1</v>
      </c>
      <c r="K161" s="26">
        <v>138</v>
      </c>
      <c r="L161" s="26" t="s">
        <v>28</v>
      </c>
      <c r="M161" s="27">
        <v>1023</v>
      </c>
      <c r="N161" s="28">
        <v>549601.5</v>
      </c>
      <c r="O161" s="26" t="s">
        <v>29</v>
      </c>
      <c r="P161" s="29"/>
      <c r="Q161" s="6"/>
      <c r="R161" s="29"/>
      <c r="S161" s="10"/>
      <c r="T161" s="8">
        <v>1</v>
      </c>
    </row>
    <row r="162" spans="1:20" ht="15.75" customHeight="1" outlineLevel="2" x14ac:dyDescent="0.35">
      <c r="A162" s="25" t="s">
        <v>2376</v>
      </c>
      <c r="B162" s="25" t="s">
        <v>2452</v>
      </c>
      <c r="C162" s="26">
        <v>117143</v>
      </c>
      <c r="D162" s="25" t="s">
        <v>1500</v>
      </c>
      <c r="E162" s="25" t="s">
        <v>1499</v>
      </c>
      <c r="F162" s="26" t="s">
        <v>469</v>
      </c>
      <c r="G162" s="26" t="s">
        <v>469</v>
      </c>
      <c r="H162" s="26">
        <v>1</v>
      </c>
      <c r="I162" s="26">
        <v>9</v>
      </c>
      <c r="J162" s="26">
        <v>1</v>
      </c>
      <c r="K162" s="26">
        <v>138</v>
      </c>
      <c r="L162" s="26" t="s">
        <v>28</v>
      </c>
      <c r="M162" s="27">
        <v>987</v>
      </c>
      <c r="N162" s="28">
        <v>923210.17</v>
      </c>
      <c r="O162" s="26" t="s">
        <v>29</v>
      </c>
      <c r="P162" s="29"/>
      <c r="Q162" s="6"/>
      <c r="R162" s="29"/>
      <c r="S162" s="10"/>
      <c r="T162" s="8">
        <v>1</v>
      </c>
    </row>
    <row r="163" spans="1:20" ht="15.75" customHeight="1" outlineLevel="2" x14ac:dyDescent="0.35">
      <c r="A163" s="25" t="s">
        <v>2376</v>
      </c>
      <c r="B163" s="25" t="s">
        <v>2452</v>
      </c>
      <c r="C163" s="26">
        <v>117145</v>
      </c>
      <c r="D163" s="25" t="s">
        <v>1501</v>
      </c>
      <c r="E163" s="25" t="s">
        <v>1499</v>
      </c>
      <c r="F163" s="26" t="s">
        <v>469</v>
      </c>
      <c r="G163" s="26" t="s">
        <v>469</v>
      </c>
      <c r="H163" s="26">
        <v>1</v>
      </c>
      <c r="I163" s="26">
        <v>9</v>
      </c>
      <c r="J163" s="26">
        <v>1</v>
      </c>
      <c r="K163" s="26">
        <v>138</v>
      </c>
      <c r="L163" s="26" t="s">
        <v>28</v>
      </c>
      <c r="M163" s="27">
        <v>989</v>
      </c>
      <c r="N163" s="28">
        <v>835486.41</v>
      </c>
      <c r="O163" s="26" t="s">
        <v>29</v>
      </c>
      <c r="P163" s="29"/>
      <c r="Q163" s="6"/>
      <c r="R163" s="29"/>
      <c r="S163" s="10"/>
      <c r="T163" s="8">
        <v>1</v>
      </c>
    </row>
    <row r="164" spans="1:20" ht="15.75" customHeight="1" outlineLevel="2" x14ac:dyDescent="0.35">
      <c r="A164" s="25" t="s">
        <v>2376</v>
      </c>
      <c r="B164" s="25" t="s">
        <v>2452</v>
      </c>
      <c r="C164" s="26">
        <v>117146</v>
      </c>
      <c r="D164" s="25" t="s">
        <v>1502</v>
      </c>
      <c r="E164" s="25" t="s">
        <v>1499</v>
      </c>
      <c r="F164" s="26" t="s">
        <v>469</v>
      </c>
      <c r="G164" s="26" t="s">
        <v>469</v>
      </c>
      <c r="H164" s="26">
        <v>1</v>
      </c>
      <c r="I164" s="26">
        <v>9</v>
      </c>
      <c r="J164" s="26">
        <v>1</v>
      </c>
      <c r="K164" s="26">
        <v>138</v>
      </c>
      <c r="L164" s="26" t="s">
        <v>28</v>
      </c>
      <c r="M164" s="27">
        <v>992</v>
      </c>
      <c r="N164" s="28">
        <v>970538.94</v>
      </c>
      <c r="O164" s="26" t="s">
        <v>29</v>
      </c>
      <c r="P164" s="29"/>
      <c r="Q164" s="6"/>
      <c r="R164" s="29"/>
      <c r="S164" s="10"/>
      <c r="T164" s="8">
        <v>1</v>
      </c>
    </row>
    <row r="165" spans="1:20" ht="15.75" customHeight="1" outlineLevel="2" x14ac:dyDescent="0.35">
      <c r="A165" s="25" t="s">
        <v>2376</v>
      </c>
      <c r="B165" s="25" t="s">
        <v>2452</v>
      </c>
      <c r="C165" s="26">
        <v>117155</v>
      </c>
      <c r="D165" s="25" t="s">
        <v>1503</v>
      </c>
      <c r="E165" s="25" t="s">
        <v>1499</v>
      </c>
      <c r="F165" s="26" t="s">
        <v>469</v>
      </c>
      <c r="G165" s="26" t="s">
        <v>469</v>
      </c>
      <c r="H165" s="26">
        <v>1</v>
      </c>
      <c r="I165" s="26">
        <v>9</v>
      </c>
      <c r="J165" s="26">
        <v>1</v>
      </c>
      <c r="K165" s="26">
        <v>138</v>
      </c>
      <c r="L165" s="26" t="s">
        <v>28</v>
      </c>
      <c r="M165" s="27">
        <v>1006</v>
      </c>
      <c r="N165" s="28">
        <v>786342.28</v>
      </c>
      <c r="O165" s="26" t="s">
        <v>29</v>
      </c>
      <c r="P165" s="29"/>
      <c r="Q165" s="6"/>
      <c r="R165" s="29"/>
      <c r="S165" s="10"/>
      <c r="T165" s="8">
        <v>1</v>
      </c>
    </row>
    <row r="166" spans="1:20" ht="15.75" customHeight="1" outlineLevel="2" x14ac:dyDescent="0.35">
      <c r="A166" s="25" t="s">
        <v>2376</v>
      </c>
      <c r="B166" s="25" t="s">
        <v>2452</v>
      </c>
      <c r="C166" s="26">
        <v>117202</v>
      </c>
      <c r="D166" s="25" t="s">
        <v>1505</v>
      </c>
      <c r="E166" s="25" t="s">
        <v>1506</v>
      </c>
      <c r="F166" s="26" t="s">
        <v>466</v>
      </c>
      <c r="G166" s="26" t="s">
        <v>466</v>
      </c>
      <c r="H166" s="26">
        <v>1</v>
      </c>
      <c r="I166" s="26">
        <v>2</v>
      </c>
      <c r="J166" s="26">
        <v>1</v>
      </c>
      <c r="K166" s="26">
        <v>138</v>
      </c>
      <c r="L166" s="26" t="s">
        <v>28</v>
      </c>
      <c r="M166" s="27">
        <v>964</v>
      </c>
      <c r="N166" s="28">
        <v>263400</v>
      </c>
      <c r="O166" s="26" t="s">
        <v>29</v>
      </c>
      <c r="P166" s="29"/>
      <c r="Q166" s="6"/>
      <c r="R166" s="29"/>
      <c r="S166" s="10"/>
      <c r="T166" s="8">
        <v>1</v>
      </c>
    </row>
    <row r="167" spans="1:20" ht="15.75" customHeight="1" outlineLevel="2" x14ac:dyDescent="0.35">
      <c r="A167" s="25" t="s">
        <v>2376</v>
      </c>
      <c r="B167" s="25" t="s">
        <v>2452</v>
      </c>
      <c r="C167" s="26">
        <v>117258</v>
      </c>
      <c r="D167" s="25" t="s">
        <v>1510</v>
      </c>
      <c r="E167" s="25" t="s">
        <v>1509</v>
      </c>
      <c r="F167" s="26" t="s">
        <v>466</v>
      </c>
      <c r="G167" s="26" t="s">
        <v>466</v>
      </c>
      <c r="H167" s="26">
        <v>1</v>
      </c>
      <c r="I167" s="26">
        <v>6</v>
      </c>
      <c r="J167" s="26">
        <v>1</v>
      </c>
      <c r="K167" s="26">
        <v>138</v>
      </c>
      <c r="L167" s="26" t="s">
        <v>28</v>
      </c>
      <c r="M167" s="27">
        <v>962</v>
      </c>
      <c r="N167" s="28">
        <v>536631.35</v>
      </c>
      <c r="O167" s="26" t="s">
        <v>29</v>
      </c>
      <c r="P167" s="29"/>
      <c r="Q167" s="6"/>
      <c r="R167" s="29"/>
      <c r="S167" s="10"/>
      <c r="T167" s="8">
        <v>1</v>
      </c>
    </row>
    <row r="168" spans="1:20" ht="15.75" customHeight="1" outlineLevel="2" x14ac:dyDescent="0.35">
      <c r="A168" s="25" t="s">
        <v>2376</v>
      </c>
      <c r="B168" s="25" t="s">
        <v>2452</v>
      </c>
      <c r="C168" s="26">
        <v>117262</v>
      </c>
      <c r="D168" s="25" t="s">
        <v>1512</v>
      </c>
      <c r="E168" s="25" t="s">
        <v>1509</v>
      </c>
      <c r="F168" s="26" t="s">
        <v>466</v>
      </c>
      <c r="G168" s="26" t="s">
        <v>466</v>
      </c>
      <c r="H168" s="26">
        <v>1</v>
      </c>
      <c r="I168" s="26">
        <v>8</v>
      </c>
      <c r="J168" s="26">
        <v>1</v>
      </c>
      <c r="K168" s="26">
        <v>138</v>
      </c>
      <c r="L168" s="26" t="s">
        <v>28</v>
      </c>
      <c r="M168" s="27">
        <v>968</v>
      </c>
      <c r="N168" s="28">
        <v>699806.92</v>
      </c>
      <c r="O168" s="26" t="s">
        <v>29</v>
      </c>
      <c r="P168" s="29"/>
      <c r="Q168" s="6"/>
      <c r="R168" s="29"/>
      <c r="S168" s="10"/>
      <c r="T168" s="8">
        <v>1</v>
      </c>
    </row>
    <row r="169" spans="1:20" ht="15.75" customHeight="1" outlineLevel="2" x14ac:dyDescent="0.35">
      <c r="A169" s="25" t="s">
        <v>2376</v>
      </c>
      <c r="B169" s="25" t="s">
        <v>2452</v>
      </c>
      <c r="C169" s="26">
        <v>117701</v>
      </c>
      <c r="D169" s="25" t="s">
        <v>1549</v>
      </c>
      <c r="E169" s="25" t="s">
        <v>1550</v>
      </c>
      <c r="F169" s="26" t="s">
        <v>90</v>
      </c>
      <c r="G169" s="26" t="s">
        <v>90</v>
      </c>
      <c r="H169" s="26">
        <v>1</v>
      </c>
      <c r="I169" s="26">
        <v>4</v>
      </c>
      <c r="J169" s="26">
        <v>1</v>
      </c>
      <c r="K169" s="26">
        <v>138</v>
      </c>
      <c r="L169" s="26" t="s">
        <v>28</v>
      </c>
      <c r="M169" s="27">
        <v>1065</v>
      </c>
      <c r="N169" s="28">
        <v>841603.67</v>
      </c>
      <c r="O169" s="26" t="s">
        <v>29</v>
      </c>
      <c r="P169" s="29"/>
      <c r="Q169" s="6"/>
      <c r="R169" s="29"/>
      <c r="S169" s="10"/>
      <c r="T169" s="8">
        <v>1</v>
      </c>
    </row>
    <row r="170" spans="1:20" ht="15.75" customHeight="1" outlineLevel="2" x14ac:dyDescent="0.35">
      <c r="A170" s="25" t="s">
        <v>2376</v>
      </c>
      <c r="B170" s="25" t="s">
        <v>2452</v>
      </c>
      <c r="C170" s="26">
        <v>117702</v>
      </c>
      <c r="D170" s="25" t="s">
        <v>1551</v>
      </c>
      <c r="E170" s="25" t="s">
        <v>1550</v>
      </c>
      <c r="F170" s="26" t="s">
        <v>90</v>
      </c>
      <c r="G170" s="26" t="s">
        <v>90</v>
      </c>
      <c r="H170" s="26">
        <v>1</v>
      </c>
      <c r="I170" s="26">
        <v>9</v>
      </c>
      <c r="J170" s="26">
        <v>1</v>
      </c>
      <c r="K170" s="26">
        <v>138</v>
      </c>
      <c r="L170" s="26" t="s">
        <v>28</v>
      </c>
      <c r="M170" s="27">
        <v>1066</v>
      </c>
      <c r="N170" s="28">
        <v>433936.72</v>
      </c>
      <c r="O170" s="26" t="s">
        <v>29</v>
      </c>
      <c r="P170" s="29"/>
      <c r="Q170" s="6"/>
      <c r="R170" s="29"/>
      <c r="S170" s="10"/>
      <c r="T170" s="8">
        <v>1</v>
      </c>
    </row>
    <row r="171" spans="1:20" ht="15.75" customHeight="1" outlineLevel="2" x14ac:dyDescent="0.35">
      <c r="A171" s="25" t="s">
        <v>2376</v>
      </c>
      <c r="B171" s="25" t="s">
        <v>2452</v>
      </c>
      <c r="C171" s="26">
        <v>117731</v>
      </c>
      <c r="D171" s="25" t="s">
        <v>1552</v>
      </c>
      <c r="E171" s="25" t="s">
        <v>1550</v>
      </c>
      <c r="F171" s="26" t="s">
        <v>90</v>
      </c>
      <c r="G171" s="26" t="s">
        <v>90</v>
      </c>
      <c r="H171" s="26">
        <v>1</v>
      </c>
      <c r="I171" s="26">
        <v>9</v>
      </c>
      <c r="J171" s="26">
        <v>1</v>
      </c>
      <c r="K171" s="26">
        <v>138</v>
      </c>
      <c r="L171" s="26" t="s">
        <v>28</v>
      </c>
      <c r="M171" s="27">
        <v>1062</v>
      </c>
      <c r="N171" s="28">
        <v>572834.21</v>
      </c>
      <c r="O171" s="26" t="s">
        <v>29</v>
      </c>
      <c r="P171" s="29"/>
      <c r="Q171" s="6"/>
      <c r="R171" s="29"/>
      <c r="S171" s="10"/>
      <c r="T171" s="8">
        <v>1</v>
      </c>
    </row>
    <row r="172" spans="1:20" ht="15.75" customHeight="1" outlineLevel="2" x14ac:dyDescent="0.35">
      <c r="A172" s="25" t="s">
        <v>2376</v>
      </c>
      <c r="B172" s="25" t="s">
        <v>2452</v>
      </c>
      <c r="C172" s="26">
        <v>117732</v>
      </c>
      <c r="D172" s="25" t="s">
        <v>1553</v>
      </c>
      <c r="E172" s="25" t="s">
        <v>1550</v>
      </c>
      <c r="F172" s="26" t="s">
        <v>90</v>
      </c>
      <c r="G172" s="26" t="s">
        <v>90</v>
      </c>
      <c r="H172" s="26">
        <v>1</v>
      </c>
      <c r="I172" s="26">
        <v>9</v>
      </c>
      <c r="J172" s="26">
        <v>1</v>
      </c>
      <c r="K172" s="26">
        <v>138</v>
      </c>
      <c r="L172" s="26" t="s">
        <v>28</v>
      </c>
      <c r="M172" s="27">
        <v>1063</v>
      </c>
      <c r="N172" s="28">
        <v>504099.64</v>
      </c>
      <c r="O172" s="26" t="s">
        <v>29</v>
      </c>
      <c r="P172" s="29"/>
      <c r="Q172" s="6"/>
      <c r="R172" s="29"/>
      <c r="S172" s="10"/>
      <c r="T172" s="8">
        <v>1</v>
      </c>
    </row>
    <row r="173" spans="1:20" ht="15.75" customHeight="1" outlineLevel="2" x14ac:dyDescent="0.35">
      <c r="A173" s="25" t="s">
        <v>2376</v>
      </c>
      <c r="B173" s="25" t="s">
        <v>2452</v>
      </c>
      <c r="C173" s="26">
        <v>117831</v>
      </c>
      <c r="D173" s="25" t="s">
        <v>1442</v>
      </c>
      <c r="E173" s="25" t="s">
        <v>1443</v>
      </c>
      <c r="F173" s="26" t="s">
        <v>469</v>
      </c>
      <c r="G173" s="26" t="s">
        <v>469</v>
      </c>
      <c r="H173" s="26">
        <v>1</v>
      </c>
      <c r="I173" s="26">
        <v>4</v>
      </c>
      <c r="J173" s="26">
        <v>1</v>
      </c>
      <c r="K173" s="26">
        <v>138</v>
      </c>
      <c r="L173" s="26" t="s">
        <v>28</v>
      </c>
      <c r="M173" s="27">
        <v>936</v>
      </c>
      <c r="N173" s="28">
        <v>327426.32</v>
      </c>
      <c r="O173" s="26" t="s">
        <v>29</v>
      </c>
      <c r="P173" s="29"/>
      <c r="Q173" s="6"/>
      <c r="R173" s="29"/>
      <c r="S173" s="10"/>
      <c r="T173" s="8">
        <v>1</v>
      </c>
    </row>
    <row r="174" spans="1:20" ht="15.75" customHeight="1" outlineLevel="2" x14ac:dyDescent="0.35">
      <c r="A174" s="25" t="s">
        <v>2376</v>
      </c>
      <c r="B174" s="25" t="s">
        <v>2452</v>
      </c>
      <c r="C174" s="26">
        <v>117866</v>
      </c>
      <c r="D174" s="25" t="s">
        <v>1446</v>
      </c>
      <c r="E174" s="25" t="s">
        <v>1443</v>
      </c>
      <c r="F174" s="26" t="s">
        <v>469</v>
      </c>
      <c r="G174" s="26" t="s">
        <v>469</v>
      </c>
      <c r="H174" s="26">
        <v>1</v>
      </c>
      <c r="I174" s="26">
        <v>6</v>
      </c>
      <c r="J174" s="26">
        <v>1</v>
      </c>
      <c r="K174" s="26">
        <v>138</v>
      </c>
      <c r="L174" s="26" t="s">
        <v>28</v>
      </c>
      <c r="M174" s="27">
        <v>946</v>
      </c>
      <c r="N174" s="28">
        <v>377135.42</v>
      </c>
      <c r="O174" s="26" t="s">
        <v>29</v>
      </c>
      <c r="P174" s="29"/>
      <c r="Q174" s="6"/>
      <c r="R174" s="29"/>
      <c r="S174" s="10"/>
      <c r="T174" s="8">
        <v>1</v>
      </c>
    </row>
    <row r="175" spans="1:20" ht="15.75" customHeight="1" outlineLevel="2" x14ac:dyDescent="0.35">
      <c r="A175" s="25" t="s">
        <v>2376</v>
      </c>
      <c r="B175" s="25" t="s">
        <v>2452</v>
      </c>
      <c r="C175" s="26">
        <v>117868</v>
      </c>
      <c r="D175" s="25" t="s">
        <v>1447</v>
      </c>
      <c r="E175" s="25" t="s">
        <v>1443</v>
      </c>
      <c r="F175" s="26" t="s">
        <v>469</v>
      </c>
      <c r="G175" s="26" t="s">
        <v>469</v>
      </c>
      <c r="H175" s="26">
        <v>1</v>
      </c>
      <c r="I175" s="26">
        <v>5</v>
      </c>
      <c r="J175" s="26">
        <v>1</v>
      </c>
      <c r="K175" s="26">
        <v>138</v>
      </c>
      <c r="L175" s="26" t="s">
        <v>28</v>
      </c>
      <c r="M175" s="27">
        <v>948</v>
      </c>
      <c r="N175" s="28">
        <v>201772.03</v>
      </c>
      <c r="O175" s="26" t="s">
        <v>29</v>
      </c>
      <c r="P175" s="29"/>
      <c r="Q175" s="6"/>
      <c r="R175" s="29"/>
      <c r="S175" s="10"/>
      <c r="T175" s="8">
        <v>1</v>
      </c>
    </row>
    <row r="176" spans="1:20" ht="15.75" customHeight="1" outlineLevel="2" x14ac:dyDescent="0.35">
      <c r="A176" s="25" t="s">
        <v>2376</v>
      </c>
      <c r="B176" s="25" t="s">
        <v>2452</v>
      </c>
      <c r="C176" s="26">
        <v>117878</v>
      </c>
      <c r="D176" s="25" t="s">
        <v>1449</v>
      </c>
      <c r="E176" s="25" t="s">
        <v>1443</v>
      </c>
      <c r="F176" s="26" t="s">
        <v>469</v>
      </c>
      <c r="G176" s="26" t="s">
        <v>469</v>
      </c>
      <c r="H176" s="26">
        <v>1</v>
      </c>
      <c r="I176" s="26">
        <v>1</v>
      </c>
      <c r="J176" s="26">
        <v>1</v>
      </c>
      <c r="K176" s="26">
        <v>138</v>
      </c>
      <c r="L176" s="26" t="s">
        <v>28</v>
      </c>
      <c r="M176" s="27">
        <v>939</v>
      </c>
      <c r="N176" s="28">
        <v>103109.53</v>
      </c>
      <c r="O176" s="26" t="s">
        <v>29</v>
      </c>
      <c r="P176" s="29"/>
      <c r="Q176" s="6"/>
      <c r="R176" s="29"/>
      <c r="S176" s="10"/>
      <c r="T176" s="8">
        <v>1</v>
      </c>
    </row>
    <row r="177" spans="1:26" ht="15.75" customHeight="1" outlineLevel="2" x14ac:dyDescent="0.35">
      <c r="A177" s="25" t="s">
        <v>2376</v>
      </c>
      <c r="B177" s="25" t="s">
        <v>2452</v>
      </c>
      <c r="C177" s="26">
        <v>117883</v>
      </c>
      <c r="D177" s="25" t="s">
        <v>1451</v>
      </c>
      <c r="E177" s="25" t="s">
        <v>1443</v>
      </c>
      <c r="F177" s="26" t="s">
        <v>469</v>
      </c>
      <c r="G177" s="26" t="s">
        <v>469</v>
      </c>
      <c r="H177" s="26">
        <v>1</v>
      </c>
      <c r="I177" s="26">
        <v>7</v>
      </c>
      <c r="J177" s="26">
        <v>1</v>
      </c>
      <c r="K177" s="26">
        <v>138</v>
      </c>
      <c r="L177" s="26" t="s">
        <v>28</v>
      </c>
      <c r="M177" s="27">
        <v>942</v>
      </c>
      <c r="N177" s="28">
        <v>375014.12</v>
      </c>
      <c r="O177" s="26" t="s">
        <v>29</v>
      </c>
      <c r="P177" s="29"/>
      <c r="Q177" s="6"/>
      <c r="R177" s="29"/>
      <c r="S177" s="10"/>
      <c r="T177" s="8">
        <v>1</v>
      </c>
    </row>
    <row r="178" spans="1:26" ht="15.75" customHeight="1" outlineLevel="2" x14ac:dyDescent="0.35">
      <c r="A178" s="25" t="s">
        <v>2376</v>
      </c>
      <c r="B178" s="25" t="s">
        <v>2452</v>
      </c>
      <c r="C178" s="26">
        <v>117888</v>
      </c>
      <c r="D178" s="25" t="s">
        <v>1452</v>
      </c>
      <c r="E178" s="25" t="s">
        <v>1443</v>
      </c>
      <c r="F178" s="26" t="s">
        <v>469</v>
      </c>
      <c r="G178" s="26" t="s">
        <v>469</v>
      </c>
      <c r="H178" s="26">
        <v>1</v>
      </c>
      <c r="I178" s="26">
        <v>5</v>
      </c>
      <c r="J178" s="26">
        <v>1</v>
      </c>
      <c r="K178" s="26">
        <v>138</v>
      </c>
      <c r="L178" s="26" t="s">
        <v>28</v>
      </c>
      <c r="M178" s="27">
        <v>944</v>
      </c>
      <c r="N178" s="28">
        <v>233902.03</v>
      </c>
      <c r="O178" s="26" t="s">
        <v>29</v>
      </c>
      <c r="P178" s="29"/>
      <c r="Q178" s="6"/>
      <c r="R178" s="29"/>
      <c r="S178" s="10"/>
      <c r="T178" s="8">
        <v>1</v>
      </c>
    </row>
    <row r="179" spans="1:26" ht="15.75" customHeight="1" outlineLevel="2" x14ac:dyDescent="0.35">
      <c r="A179" s="25" t="s">
        <v>2376</v>
      </c>
      <c r="B179" s="25" t="s">
        <v>2452</v>
      </c>
      <c r="C179" s="26">
        <v>117891</v>
      </c>
      <c r="D179" s="25" t="s">
        <v>1453</v>
      </c>
      <c r="E179" s="25" t="s">
        <v>1443</v>
      </c>
      <c r="F179" s="26" t="s">
        <v>469</v>
      </c>
      <c r="G179" s="26" t="s">
        <v>469</v>
      </c>
      <c r="H179" s="26">
        <v>1</v>
      </c>
      <c r="I179" s="26">
        <v>1</v>
      </c>
      <c r="J179" s="26">
        <v>1</v>
      </c>
      <c r="K179" s="26">
        <v>138</v>
      </c>
      <c r="L179" s="26" t="s">
        <v>28</v>
      </c>
      <c r="M179" s="27">
        <v>947</v>
      </c>
      <c r="N179" s="28">
        <v>77360.33</v>
      </c>
      <c r="O179" s="26" t="s">
        <v>29</v>
      </c>
      <c r="P179" s="29"/>
      <c r="Q179" s="6"/>
      <c r="R179" s="29"/>
      <c r="S179" s="10"/>
      <c r="T179" s="8">
        <v>1</v>
      </c>
    </row>
    <row r="180" spans="1:26" ht="15.75" customHeight="1" outlineLevel="2" x14ac:dyDescent="0.35">
      <c r="A180" s="25" t="s">
        <v>2376</v>
      </c>
      <c r="B180" s="25" t="s">
        <v>2452</v>
      </c>
      <c r="C180" s="26">
        <v>180505</v>
      </c>
      <c r="D180" s="25" t="s">
        <v>1530</v>
      </c>
      <c r="E180" s="25" t="s">
        <v>1494</v>
      </c>
      <c r="F180" s="26" t="s">
        <v>466</v>
      </c>
      <c r="G180" s="26" t="s">
        <v>466</v>
      </c>
      <c r="H180" s="26">
        <v>1</v>
      </c>
      <c r="I180" s="26">
        <v>13</v>
      </c>
      <c r="J180" s="26">
        <v>1</v>
      </c>
      <c r="K180" s="26">
        <v>138</v>
      </c>
      <c r="L180" s="26" t="s">
        <v>28</v>
      </c>
      <c r="M180" s="27">
        <v>979</v>
      </c>
      <c r="N180" s="28">
        <v>1116889.07</v>
      </c>
      <c r="O180" s="26" t="s">
        <v>29</v>
      </c>
      <c r="P180" s="29"/>
      <c r="Q180" s="6"/>
      <c r="R180" s="29"/>
      <c r="S180" s="10"/>
      <c r="T180" s="8">
        <v>1</v>
      </c>
    </row>
    <row r="181" spans="1:26" ht="15.75" customHeight="1" outlineLevel="2" x14ac:dyDescent="0.35">
      <c r="A181" s="25" t="s">
        <v>2376</v>
      </c>
      <c r="B181" s="25" t="s">
        <v>2452</v>
      </c>
      <c r="C181" s="26">
        <v>180508</v>
      </c>
      <c r="D181" s="25" t="s">
        <v>1532</v>
      </c>
      <c r="E181" s="25" t="s">
        <v>1499</v>
      </c>
      <c r="F181" s="26" t="s">
        <v>469</v>
      </c>
      <c r="G181" s="26" t="s">
        <v>469</v>
      </c>
      <c r="H181" s="26">
        <v>1</v>
      </c>
      <c r="I181" s="26">
        <v>9</v>
      </c>
      <c r="J181" s="26">
        <v>1</v>
      </c>
      <c r="K181" s="26">
        <v>138</v>
      </c>
      <c r="L181" s="26" t="s">
        <v>28</v>
      </c>
      <c r="M181" s="27">
        <v>1001</v>
      </c>
      <c r="N181" s="28">
        <v>958158.87</v>
      </c>
      <c r="O181" s="26" t="s">
        <v>29</v>
      </c>
      <c r="P181" s="29"/>
      <c r="Q181" s="6"/>
      <c r="R181" s="29"/>
      <c r="S181" s="10"/>
      <c r="T181" s="8">
        <v>1</v>
      </c>
    </row>
    <row r="182" spans="1:26" ht="15.75" customHeight="1" outlineLevel="2" x14ac:dyDescent="0.35">
      <c r="A182" s="25" t="s">
        <v>2376</v>
      </c>
      <c r="B182" s="25" t="s">
        <v>2452</v>
      </c>
      <c r="C182" s="26">
        <v>180518</v>
      </c>
      <c r="D182" s="25" t="s">
        <v>1536</v>
      </c>
      <c r="E182" s="25" t="s">
        <v>1499</v>
      </c>
      <c r="F182" s="26" t="s">
        <v>469</v>
      </c>
      <c r="G182" s="26" t="s">
        <v>469</v>
      </c>
      <c r="H182" s="26">
        <v>1</v>
      </c>
      <c r="I182" s="26">
        <v>9</v>
      </c>
      <c r="J182" s="26">
        <v>1</v>
      </c>
      <c r="K182" s="26">
        <v>138</v>
      </c>
      <c r="L182" s="26" t="s">
        <v>28</v>
      </c>
      <c r="M182" s="27">
        <v>980</v>
      </c>
      <c r="N182" s="28">
        <v>723035.78</v>
      </c>
      <c r="O182" s="26" t="s">
        <v>29</v>
      </c>
      <c r="P182" s="29"/>
      <c r="Q182" s="6"/>
      <c r="R182" s="29"/>
      <c r="S182" s="10"/>
      <c r="T182" s="8">
        <v>1</v>
      </c>
    </row>
    <row r="183" spans="1:26" ht="15.75" customHeight="1" outlineLevel="2" x14ac:dyDescent="0.35">
      <c r="A183" s="25" t="s">
        <v>2376</v>
      </c>
      <c r="B183" s="25" t="s">
        <v>2452</v>
      </c>
      <c r="C183" s="26">
        <v>184001</v>
      </c>
      <c r="D183" s="25" t="s">
        <v>1555</v>
      </c>
      <c r="E183" s="25" t="s">
        <v>1550</v>
      </c>
      <c r="F183" s="26" t="s">
        <v>90</v>
      </c>
      <c r="G183" s="26" t="s">
        <v>90</v>
      </c>
      <c r="H183" s="26">
        <v>1</v>
      </c>
      <c r="I183" s="26">
        <v>11</v>
      </c>
      <c r="J183" s="26">
        <v>1</v>
      </c>
      <c r="K183" s="26">
        <v>138</v>
      </c>
      <c r="L183" s="26" t="s">
        <v>28</v>
      </c>
      <c r="M183" s="27">
        <v>1067</v>
      </c>
      <c r="N183" s="28">
        <v>570050.57999999996</v>
      </c>
      <c r="O183" s="26" t="s">
        <v>29</v>
      </c>
      <c r="P183" s="29"/>
      <c r="Q183" s="6"/>
      <c r="R183" s="29"/>
      <c r="S183" s="10"/>
      <c r="T183" s="8">
        <v>1</v>
      </c>
    </row>
    <row r="184" spans="1:26" ht="15.75" customHeight="1" outlineLevel="2" x14ac:dyDescent="0.35">
      <c r="A184" s="25" t="s">
        <v>2376</v>
      </c>
      <c r="B184" s="25" t="s">
        <v>2452</v>
      </c>
      <c r="C184" s="26">
        <v>185501</v>
      </c>
      <c r="D184" s="25" t="s">
        <v>1454</v>
      </c>
      <c r="E184" s="25" t="s">
        <v>1443</v>
      </c>
      <c r="F184" s="26" t="s">
        <v>469</v>
      </c>
      <c r="G184" s="26" t="s">
        <v>469</v>
      </c>
      <c r="H184" s="26">
        <v>1</v>
      </c>
      <c r="I184" s="26">
        <v>13</v>
      </c>
      <c r="J184" s="26">
        <v>1</v>
      </c>
      <c r="K184" s="26">
        <v>138</v>
      </c>
      <c r="L184" s="26" t="s">
        <v>28</v>
      </c>
      <c r="M184" s="27">
        <v>941</v>
      </c>
      <c r="N184" s="28">
        <v>575339.29</v>
      </c>
      <c r="O184" s="26" t="s">
        <v>29</v>
      </c>
      <c r="P184" s="29"/>
      <c r="Q184" s="6"/>
      <c r="R184" s="29"/>
      <c r="S184" s="10"/>
      <c r="T184" s="8">
        <v>1</v>
      </c>
    </row>
    <row r="185" spans="1:26" ht="15.75" customHeight="1" outlineLevel="2" x14ac:dyDescent="0.35">
      <c r="A185" s="25" t="s">
        <v>2376</v>
      </c>
      <c r="B185" s="25" t="s">
        <v>2452</v>
      </c>
      <c r="C185" s="26">
        <v>185502</v>
      </c>
      <c r="D185" s="25" t="s">
        <v>1455</v>
      </c>
      <c r="E185" s="25" t="s">
        <v>1443</v>
      </c>
      <c r="F185" s="26" t="s">
        <v>469</v>
      </c>
      <c r="G185" s="26" t="s">
        <v>469</v>
      </c>
      <c r="H185" s="26">
        <v>1</v>
      </c>
      <c r="I185" s="26">
        <v>4</v>
      </c>
      <c r="J185" s="26">
        <v>1</v>
      </c>
      <c r="K185" s="26">
        <v>138</v>
      </c>
      <c r="L185" s="26" t="s">
        <v>28</v>
      </c>
      <c r="M185" s="27">
        <v>943</v>
      </c>
      <c r="N185" s="28">
        <v>258222.93</v>
      </c>
      <c r="O185" s="26" t="s">
        <v>29</v>
      </c>
      <c r="P185" s="29"/>
      <c r="Q185" s="6"/>
      <c r="R185" s="29"/>
      <c r="S185" s="10"/>
      <c r="T185" s="8">
        <v>1</v>
      </c>
    </row>
    <row r="186" spans="1:26" ht="15.75" customHeight="1" outlineLevel="2" x14ac:dyDescent="0.35">
      <c r="A186" s="25" t="s">
        <v>2376</v>
      </c>
      <c r="B186" s="25" t="s">
        <v>2452</v>
      </c>
      <c r="C186" s="26">
        <v>117569</v>
      </c>
      <c r="D186" s="39" t="s">
        <v>1376</v>
      </c>
      <c r="E186" s="25" t="s">
        <v>1375</v>
      </c>
      <c r="F186" s="26" t="s">
        <v>90</v>
      </c>
      <c r="G186" s="26" t="s">
        <v>90</v>
      </c>
      <c r="H186" s="26">
        <v>1</v>
      </c>
      <c r="I186" s="26">
        <v>9</v>
      </c>
      <c r="J186" s="26">
        <v>1</v>
      </c>
      <c r="K186" s="26">
        <v>138</v>
      </c>
      <c r="L186" s="26" t="s">
        <v>28</v>
      </c>
      <c r="M186" s="27">
        <v>920</v>
      </c>
      <c r="N186" s="30">
        <v>1101216.52</v>
      </c>
      <c r="O186" s="26" t="s">
        <v>29</v>
      </c>
      <c r="P186" s="29"/>
      <c r="Q186" s="6"/>
      <c r="R186" s="29"/>
      <c r="S186" s="10"/>
      <c r="T186" s="8">
        <v>1</v>
      </c>
    </row>
    <row r="187" spans="1:26" ht="15.75" customHeight="1" outlineLevel="1" x14ac:dyDescent="0.35">
      <c r="A187" s="25"/>
      <c r="B187" s="53" t="s">
        <v>2453</v>
      </c>
      <c r="C187" s="26"/>
      <c r="D187" s="25"/>
      <c r="E187" s="25"/>
      <c r="F187" s="26"/>
      <c r="G187" s="26"/>
      <c r="H187" s="26">
        <f t="shared" ref="H187:I187" si="9">SUBTOTAL(9,H156:H186)</f>
        <v>31</v>
      </c>
      <c r="I187" s="26">
        <f t="shared" si="9"/>
        <v>217</v>
      </c>
      <c r="J187" s="26"/>
      <c r="K187" s="26"/>
      <c r="L187" s="26"/>
      <c r="M187" s="27"/>
      <c r="N187" s="30">
        <f>SUBTOTAL(9,N156:N186)</f>
        <v>18219692.899999999</v>
      </c>
      <c r="O187" s="26"/>
      <c r="P187" s="29"/>
      <c r="Q187" s="6"/>
      <c r="R187" s="29"/>
      <c r="S187" s="10"/>
      <c r="T187" s="8"/>
    </row>
    <row r="188" spans="1:26" ht="25.5" customHeight="1" x14ac:dyDescent="0.35">
      <c r="A188" s="19"/>
      <c r="B188" s="19"/>
      <c r="C188" s="19"/>
      <c r="D188" s="50"/>
      <c r="E188" s="50"/>
      <c r="F188" s="19"/>
      <c r="G188" s="19"/>
      <c r="H188" s="48"/>
      <c r="I188" s="48"/>
      <c r="J188" s="19"/>
      <c r="K188" s="48"/>
      <c r="L188" s="54"/>
      <c r="M188" s="48"/>
      <c r="N188" s="48"/>
      <c r="O188" s="19"/>
      <c r="P188" s="45"/>
      <c r="Q188" s="51"/>
      <c r="R188" s="26"/>
      <c r="S188" s="55"/>
      <c r="T188" s="44"/>
      <c r="U188" s="54"/>
      <c r="V188" s="50"/>
      <c r="W188" s="19"/>
      <c r="X188" s="19"/>
      <c r="Y188" s="19"/>
      <c r="Z188" s="19"/>
    </row>
    <row r="189" spans="1:26" ht="25.5" customHeight="1" x14ac:dyDescent="0.35">
      <c r="A189" s="19"/>
      <c r="B189" s="56" t="s">
        <v>2377</v>
      </c>
      <c r="C189" s="19"/>
      <c r="D189" s="50"/>
      <c r="E189" s="50"/>
      <c r="F189" s="57"/>
      <c r="G189" s="57"/>
      <c r="H189" s="171" t="s">
        <v>2377</v>
      </c>
      <c r="I189" s="172"/>
      <c r="J189" s="19"/>
      <c r="K189" s="48"/>
      <c r="L189" s="54"/>
      <c r="M189" s="48"/>
      <c r="N189" s="48"/>
      <c r="O189" s="19"/>
      <c r="P189" s="51"/>
      <c r="Q189" s="51"/>
      <c r="R189" s="26"/>
      <c r="S189" s="55"/>
      <c r="T189" s="44"/>
      <c r="U189" s="54"/>
      <c r="V189" s="50"/>
      <c r="W189" s="19"/>
      <c r="X189" s="19"/>
      <c r="Y189" s="19"/>
      <c r="Z189" s="19"/>
    </row>
    <row r="190" spans="1:26" ht="25.5" customHeight="1" x14ac:dyDescent="0.35">
      <c r="A190" s="19"/>
      <c r="B190" s="19"/>
      <c r="C190" s="19"/>
      <c r="D190" s="50"/>
      <c r="E190" s="50"/>
      <c r="F190" s="19"/>
      <c r="G190" s="19"/>
      <c r="H190" s="19"/>
      <c r="I190" s="19"/>
      <c r="J190" s="19"/>
      <c r="K190" s="48"/>
      <c r="L190" s="54"/>
      <c r="M190" s="48"/>
      <c r="N190" s="48"/>
      <c r="O190" s="19"/>
      <c r="P190" s="51"/>
      <c r="Q190" s="51"/>
      <c r="R190" s="26"/>
      <c r="S190" s="55"/>
      <c r="T190" s="44"/>
      <c r="U190" s="54"/>
      <c r="V190" s="50"/>
      <c r="W190" s="19"/>
      <c r="X190" s="19"/>
      <c r="Y190" s="19"/>
      <c r="Z190" s="19"/>
    </row>
    <row r="191" spans="1:26" ht="25.5" customHeight="1" x14ac:dyDescent="0.35">
      <c r="A191" s="19"/>
      <c r="B191" s="19"/>
      <c r="C191" s="19"/>
      <c r="D191" s="50"/>
      <c r="E191" s="50"/>
      <c r="F191" s="19"/>
      <c r="G191" s="19"/>
      <c r="H191" s="48"/>
      <c r="I191" s="48"/>
      <c r="J191" s="19"/>
      <c r="K191" s="48"/>
      <c r="L191" s="54"/>
      <c r="M191" s="48"/>
      <c r="N191" s="48"/>
      <c r="O191" s="19"/>
      <c r="P191" s="51"/>
      <c r="Q191" s="51"/>
      <c r="R191" s="26"/>
      <c r="S191" s="55"/>
      <c r="T191" s="44"/>
      <c r="U191" s="54"/>
      <c r="V191" s="50"/>
      <c r="W191" s="19"/>
      <c r="X191" s="19"/>
      <c r="Y191" s="19"/>
      <c r="Z191" s="19"/>
    </row>
    <row r="192" spans="1:26" ht="25.5" customHeight="1" x14ac:dyDescent="0.35">
      <c r="A192" s="19"/>
      <c r="B192" s="19"/>
      <c r="C192" s="58"/>
      <c r="D192" s="78" t="s">
        <v>2432</v>
      </c>
      <c r="E192" s="50"/>
      <c r="F192" s="19"/>
      <c r="G192" s="19"/>
      <c r="H192" s="48"/>
      <c r="I192" s="48"/>
      <c r="J192" s="19"/>
      <c r="K192" s="48"/>
      <c r="L192" s="54"/>
      <c r="M192" s="173" t="s">
        <v>2433</v>
      </c>
      <c r="N192" s="172"/>
      <c r="O192" s="172"/>
      <c r="P192" s="51"/>
      <c r="Q192" s="51"/>
      <c r="R192" s="26"/>
      <c r="S192" s="55"/>
      <c r="T192" s="44"/>
      <c r="U192" s="54"/>
      <c r="V192" s="50"/>
      <c r="W192" s="19"/>
      <c r="X192" s="19"/>
      <c r="Y192" s="19"/>
      <c r="Z192" s="19"/>
    </row>
    <row r="193" spans="1:26" ht="29.25" customHeight="1" x14ac:dyDescent="0.35">
      <c r="A193" s="19"/>
      <c r="B193" s="19"/>
      <c r="C193" s="59"/>
      <c r="D193" s="56" t="s">
        <v>2434</v>
      </c>
      <c r="E193" s="60"/>
      <c r="F193" s="56"/>
      <c r="G193" s="56"/>
      <c r="H193" s="61"/>
      <c r="I193" s="61"/>
      <c r="J193" s="56"/>
      <c r="K193" s="61"/>
      <c r="L193" s="62"/>
      <c r="M193" s="174" t="s">
        <v>2435</v>
      </c>
      <c r="N193" s="172"/>
      <c r="O193" s="172"/>
      <c r="P193" s="63"/>
      <c r="Q193" s="51"/>
      <c r="R193" s="26"/>
      <c r="S193" s="55"/>
      <c r="T193" s="44"/>
      <c r="U193" s="54"/>
      <c r="V193" s="50"/>
      <c r="W193" s="19"/>
      <c r="X193" s="19"/>
      <c r="Y193" s="19"/>
      <c r="Z193" s="19"/>
    </row>
    <row r="194" spans="1:26" ht="15.75" customHeight="1" outlineLevel="2" x14ac:dyDescent="0.35">
      <c r="A194" s="25" t="s">
        <v>2376</v>
      </c>
      <c r="B194" s="25" t="s">
        <v>2454</v>
      </c>
      <c r="C194" s="26">
        <v>120084</v>
      </c>
      <c r="D194" s="25" t="s">
        <v>1575</v>
      </c>
      <c r="E194" s="25" t="s">
        <v>1576</v>
      </c>
      <c r="F194" s="26" t="s">
        <v>90</v>
      </c>
      <c r="G194" s="26" t="s">
        <v>90</v>
      </c>
      <c r="H194" s="26">
        <v>1</v>
      </c>
      <c r="I194" s="26">
        <v>3</v>
      </c>
      <c r="J194" s="26">
        <v>1</v>
      </c>
      <c r="K194" s="26">
        <v>138</v>
      </c>
      <c r="L194" s="26" t="s">
        <v>28</v>
      </c>
      <c r="M194" s="27">
        <v>904</v>
      </c>
      <c r="N194" s="28">
        <v>248776.32000000001</v>
      </c>
      <c r="O194" s="26" t="s">
        <v>29</v>
      </c>
      <c r="P194" s="29"/>
      <c r="Q194" s="6"/>
      <c r="R194" s="29"/>
      <c r="S194" s="10"/>
      <c r="T194" s="8">
        <v>1</v>
      </c>
    </row>
    <row r="195" spans="1:26" ht="15.75" customHeight="1" outlineLevel="2" x14ac:dyDescent="0.35">
      <c r="A195" s="25" t="s">
        <v>2376</v>
      </c>
      <c r="B195" s="25" t="s">
        <v>2454</v>
      </c>
      <c r="C195" s="26">
        <v>120255</v>
      </c>
      <c r="D195" s="25" t="s">
        <v>1713</v>
      </c>
      <c r="E195" s="25" t="s">
        <v>1709</v>
      </c>
      <c r="F195" s="26" t="s">
        <v>215</v>
      </c>
      <c r="G195" s="26" t="s">
        <v>215</v>
      </c>
      <c r="H195" s="26">
        <v>1</v>
      </c>
      <c r="I195" s="26">
        <v>2</v>
      </c>
      <c r="J195" s="26">
        <v>1</v>
      </c>
      <c r="K195" s="26">
        <v>138</v>
      </c>
      <c r="L195" s="26" t="s">
        <v>28</v>
      </c>
      <c r="M195" s="27">
        <v>932</v>
      </c>
      <c r="N195" s="28">
        <v>1355741.1</v>
      </c>
      <c r="O195" s="26" t="s">
        <v>29</v>
      </c>
      <c r="P195" s="29"/>
      <c r="Q195" s="6"/>
      <c r="R195" s="29"/>
      <c r="S195" s="10"/>
      <c r="T195" s="8">
        <v>1</v>
      </c>
    </row>
    <row r="196" spans="1:26" ht="15.75" customHeight="1" outlineLevel="2" x14ac:dyDescent="0.35">
      <c r="A196" s="25" t="s">
        <v>2376</v>
      </c>
      <c r="B196" s="25" t="s">
        <v>2454</v>
      </c>
      <c r="C196" s="26">
        <v>120266</v>
      </c>
      <c r="D196" s="25" t="s">
        <v>1716</v>
      </c>
      <c r="E196" s="25" t="s">
        <v>1709</v>
      </c>
      <c r="F196" s="26" t="s">
        <v>215</v>
      </c>
      <c r="G196" s="26" t="s">
        <v>215</v>
      </c>
      <c r="H196" s="26">
        <v>1</v>
      </c>
      <c r="I196" s="26">
        <v>2</v>
      </c>
      <c r="J196" s="26">
        <v>1</v>
      </c>
      <c r="K196" s="26">
        <v>138</v>
      </c>
      <c r="L196" s="26" t="s">
        <v>28</v>
      </c>
      <c r="M196" s="27">
        <v>925</v>
      </c>
      <c r="N196" s="28">
        <v>831989.92</v>
      </c>
      <c r="O196" s="26" t="s">
        <v>29</v>
      </c>
      <c r="P196" s="29"/>
      <c r="Q196" s="6"/>
      <c r="R196" s="29"/>
      <c r="S196" s="10"/>
      <c r="T196" s="8">
        <v>1</v>
      </c>
    </row>
    <row r="197" spans="1:26" ht="15.75" customHeight="1" outlineLevel="2" x14ac:dyDescent="0.35">
      <c r="A197" s="25" t="s">
        <v>2376</v>
      </c>
      <c r="B197" s="25" t="s">
        <v>2454</v>
      </c>
      <c r="C197" s="26">
        <v>120271</v>
      </c>
      <c r="D197" s="25" t="s">
        <v>1717</v>
      </c>
      <c r="E197" s="25" t="s">
        <v>1709</v>
      </c>
      <c r="F197" s="26" t="s">
        <v>215</v>
      </c>
      <c r="G197" s="26" t="s">
        <v>215</v>
      </c>
      <c r="H197" s="26">
        <v>1</v>
      </c>
      <c r="I197" s="26">
        <v>2</v>
      </c>
      <c r="J197" s="26">
        <v>1</v>
      </c>
      <c r="K197" s="26">
        <v>138</v>
      </c>
      <c r="L197" s="26" t="s">
        <v>28</v>
      </c>
      <c r="M197" s="27">
        <v>927</v>
      </c>
      <c r="N197" s="28">
        <v>1340772.5900000001</v>
      </c>
      <c r="O197" s="26" t="s">
        <v>29</v>
      </c>
      <c r="P197" s="29"/>
      <c r="Q197" s="6"/>
      <c r="R197" s="29"/>
      <c r="S197" s="10"/>
      <c r="T197" s="8">
        <v>1</v>
      </c>
    </row>
    <row r="198" spans="1:26" ht="15.75" customHeight="1" outlineLevel="2" x14ac:dyDescent="0.35">
      <c r="A198" s="25" t="s">
        <v>2376</v>
      </c>
      <c r="B198" s="25" t="s">
        <v>2454</v>
      </c>
      <c r="C198" s="26">
        <v>120286</v>
      </c>
      <c r="D198" s="25" t="s">
        <v>1719</v>
      </c>
      <c r="E198" s="25" t="s">
        <v>1709</v>
      </c>
      <c r="F198" s="26" t="s">
        <v>215</v>
      </c>
      <c r="G198" s="26" t="s">
        <v>215</v>
      </c>
      <c r="H198" s="26">
        <v>1</v>
      </c>
      <c r="I198" s="26">
        <v>2</v>
      </c>
      <c r="J198" s="26">
        <v>1</v>
      </c>
      <c r="K198" s="26">
        <v>138</v>
      </c>
      <c r="L198" s="26" t="s">
        <v>28</v>
      </c>
      <c r="M198" s="27">
        <v>934</v>
      </c>
      <c r="N198" s="28">
        <v>1360645.41</v>
      </c>
      <c r="O198" s="26" t="s">
        <v>29</v>
      </c>
      <c r="P198" s="29"/>
      <c r="Q198" s="6"/>
      <c r="R198" s="29"/>
      <c r="S198" s="10"/>
      <c r="T198" s="8">
        <v>1</v>
      </c>
    </row>
    <row r="199" spans="1:26" ht="15.75" customHeight="1" outlineLevel="2" x14ac:dyDescent="0.35">
      <c r="A199" s="25" t="s">
        <v>2376</v>
      </c>
      <c r="B199" s="25" t="s">
        <v>2454</v>
      </c>
      <c r="C199" s="26">
        <v>120342</v>
      </c>
      <c r="D199" s="25" t="s">
        <v>1738</v>
      </c>
      <c r="E199" s="25" t="s">
        <v>1739</v>
      </c>
      <c r="F199" s="26" t="s">
        <v>90</v>
      </c>
      <c r="G199" s="26" t="s">
        <v>90</v>
      </c>
      <c r="H199" s="26">
        <v>1</v>
      </c>
      <c r="I199" s="26">
        <v>1</v>
      </c>
      <c r="J199" s="26">
        <v>1</v>
      </c>
      <c r="K199" s="26">
        <v>138</v>
      </c>
      <c r="L199" s="26" t="s">
        <v>28</v>
      </c>
      <c r="M199" s="27">
        <v>1038</v>
      </c>
      <c r="N199" s="28">
        <v>41069.35</v>
      </c>
      <c r="O199" s="26" t="s">
        <v>29</v>
      </c>
      <c r="P199" s="29"/>
      <c r="Q199" s="6"/>
      <c r="R199" s="29"/>
      <c r="S199" s="10"/>
      <c r="T199" s="8">
        <v>1</v>
      </c>
    </row>
    <row r="200" spans="1:26" ht="15.75" customHeight="1" outlineLevel="2" x14ac:dyDescent="0.35">
      <c r="A200" s="25" t="s">
        <v>2376</v>
      </c>
      <c r="B200" s="25" t="s">
        <v>2454</v>
      </c>
      <c r="C200" s="26">
        <v>120350</v>
      </c>
      <c r="D200" s="25" t="s">
        <v>1742</v>
      </c>
      <c r="E200" s="25" t="s">
        <v>1739</v>
      </c>
      <c r="F200" s="26" t="s">
        <v>90</v>
      </c>
      <c r="G200" s="26" t="s">
        <v>90</v>
      </c>
      <c r="H200" s="26">
        <v>1</v>
      </c>
      <c r="I200" s="26">
        <v>5</v>
      </c>
      <c r="J200" s="26">
        <v>1</v>
      </c>
      <c r="K200" s="26">
        <v>138</v>
      </c>
      <c r="L200" s="26" t="s">
        <v>28</v>
      </c>
      <c r="M200" s="27">
        <v>1041</v>
      </c>
      <c r="N200" s="28">
        <v>184157.53</v>
      </c>
      <c r="O200" s="26" t="s">
        <v>29</v>
      </c>
      <c r="P200" s="29"/>
      <c r="Q200" s="6"/>
      <c r="R200" s="29"/>
      <c r="S200" s="10"/>
      <c r="T200" s="8">
        <v>1</v>
      </c>
    </row>
    <row r="201" spans="1:26" ht="15.75" customHeight="1" outlineLevel="2" x14ac:dyDescent="0.35">
      <c r="A201" s="25" t="s">
        <v>2376</v>
      </c>
      <c r="B201" s="25" t="s">
        <v>2454</v>
      </c>
      <c r="C201" s="26">
        <v>120523</v>
      </c>
      <c r="D201" s="25" t="s">
        <v>1760</v>
      </c>
      <c r="E201" s="25" t="s">
        <v>1758</v>
      </c>
      <c r="F201" s="26" t="s">
        <v>491</v>
      </c>
      <c r="G201" s="26" t="s">
        <v>491</v>
      </c>
      <c r="H201" s="26">
        <v>1</v>
      </c>
      <c r="I201" s="26">
        <v>5</v>
      </c>
      <c r="J201" s="26">
        <v>1</v>
      </c>
      <c r="K201" s="26">
        <v>138</v>
      </c>
      <c r="L201" s="26" t="s">
        <v>28</v>
      </c>
      <c r="M201" s="27">
        <v>1059</v>
      </c>
      <c r="N201" s="28">
        <v>71674.73</v>
      </c>
      <c r="O201" s="26" t="s">
        <v>29</v>
      </c>
      <c r="P201" s="29"/>
      <c r="Q201" s="6"/>
      <c r="R201" s="29"/>
      <c r="S201" s="10"/>
      <c r="T201" s="8">
        <v>1</v>
      </c>
    </row>
    <row r="202" spans="1:26" ht="15.75" customHeight="1" outlineLevel="2" x14ac:dyDescent="0.35">
      <c r="A202" s="25" t="s">
        <v>2376</v>
      </c>
      <c r="B202" s="25" t="s">
        <v>2454</v>
      </c>
      <c r="C202" s="26">
        <v>120545</v>
      </c>
      <c r="D202" s="25" t="s">
        <v>1781</v>
      </c>
      <c r="E202" s="25" t="s">
        <v>1780</v>
      </c>
      <c r="F202" s="26" t="s">
        <v>90</v>
      </c>
      <c r="G202" s="26" t="s">
        <v>90</v>
      </c>
      <c r="H202" s="26">
        <v>1</v>
      </c>
      <c r="I202" s="26">
        <v>5</v>
      </c>
      <c r="J202" s="26">
        <v>1</v>
      </c>
      <c r="K202" s="26">
        <v>138</v>
      </c>
      <c r="L202" s="26" t="s">
        <v>28</v>
      </c>
      <c r="M202" s="27">
        <v>1088</v>
      </c>
      <c r="N202" s="28">
        <v>481609.38</v>
      </c>
      <c r="O202" s="26" t="s">
        <v>29</v>
      </c>
      <c r="P202" s="29"/>
      <c r="Q202" s="6"/>
      <c r="R202" s="29"/>
      <c r="S202" s="10"/>
      <c r="T202" s="8">
        <v>1</v>
      </c>
    </row>
    <row r="203" spans="1:26" ht="15.75" customHeight="1" outlineLevel="2" x14ac:dyDescent="0.35">
      <c r="A203" s="25" t="s">
        <v>2376</v>
      </c>
      <c r="B203" s="25" t="s">
        <v>2454</v>
      </c>
      <c r="C203" s="26">
        <v>120546</v>
      </c>
      <c r="D203" s="25" t="s">
        <v>1782</v>
      </c>
      <c r="E203" s="25" t="s">
        <v>1780</v>
      </c>
      <c r="F203" s="26" t="s">
        <v>90</v>
      </c>
      <c r="G203" s="26" t="s">
        <v>90</v>
      </c>
      <c r="H203" s="26">
        <v>1</v>
      </c>
      <c r="I203" s="26">
        <v>9</v>
      </c>
      <c r="J203" s="26">
        <v>1</v>
      </c>
      <c r="K203" s="26">
        <v>138</v>
      </c>
      <c r="L203" s="26" t="s">
        <v>28</v>
      </c>
      <c r="M203" s="27">
        <v>1089</v>
      </c>
      <c r="N203" s="28">
        <v>349670.02</v>
      </c>
      <c r="O203" s="26" t="s">
        <v>29</v>
      </c>
      <c r="P203" s="29"/>
      <c r="Q203" s="6"/>
      <c r="R203" s="29"/>
      <c r="S203" s="10"/>
      <c r="T203" s="8">
        <v>1</v>
      </c>
    </row>
    <row r="204" spans="1:26" ht="15.75" customHeight="1" outlineLevel="2" x14ac:dyDescent="0.35">
      <c r="A204" s="25" t="s">
        <v>2376</v>
      </c>
      <c r="B204" s="25" t="s">
        <v>2454</v>
      </c>
      <c r="C204" s="26">
        <v>120558</v>
      </c>
      <c r="D204" s="25" t="s">
        <v>1784</v>
      </c>
      <c r="E204" s="25" t="s">
        <v>1780</v>
      </c>
      <c r="F204" s="26" t="s">
        <v>90</v>
      </c>
      <c r="G204" s="26" t="s">
        <v>90</v>
      </c>
      <c r="H204" s="26">
        <v>1</v>
      </c>
      <c r="I204" s="26">
        <v>4</v>
      </c>
      <c r="J204" s="26">
        <v>1</v>
      </c>
      <c r="K204" s="26">
        <v>138</v>
      </c>
      <c r="L204" s="26" t="s">
        <v>28</v>
      </c>
      <c r="M204" s="27">
        <v>1092</v>
      </c>
      <c r="N204" s="28">
        <v>447814.41</v>
      </c>
      <c r="O204" s="26" t="s">
        <v>29</v>
      </c>
      <c r="P204" s="29"/>
      <c r="Q204" s="6"/>
      <c r="R204" s="29"/>
      <c r="S204" s="10"/>
      <c r="T204" s="8">
        <v>1</v>
      </c>
    </row>
    <row r="205" spans="1:26" ht="15.75" customHeight="1" outlineLevel="2" x14ac:dyDescent="0.35">
      <c r="A205" s="25" t="s">
        <v>2376</v>
      </c>
      <c r="B205" s="25" t="s">
        <v>2454</v>
      </c>
      <c r="C205" s="26">
        <v>189521</v>
      </c>
      <c r="D205" s="25" t="s">
        <v>1764</v>
      </c>
      <c r="E205" s="25" t="s">
        <v>1758</v>
      </c>
      <c r="F205" s="26" t="s">
        <v>491</v>
      </c>
      <c r="G205" s="26" t="s">
        <v>491</v>
      </c>
      <c r="H205" s="26">
        <v>1</v>
      </c>
      <c r="I205" s="26">
        <v>3</v>
      </c>
      <c r="J205" s="26">
        <v>1</v>
      </c>
      <c r="K205" s="26">
        <v>138</v>
      </c>
      <c r="L205" s="26" t="s">
        <v>28</v>
      </c>
      <c r="M205" s="27">
        <v>1061</v>
      </c>
      <c r="N205" s="28">
        <v>52592.75</v>
      </c>
      <c r="O205" s="26" t="s">
        <v>29</v>
      </c>
      <c r="P205" s="29"/>
      <c r="Q205" s="6"/>
      <c r="R205" s="29"/>
      <c r="S205" s="10"/>
      <c r="T205" s="8">
        <v>1</v>
      </c>
    </row>
    <row r="206" spans="1:26" ht="15.75" customHeight="1" outlineLevel="2" x14ac:dyDescent="0.35">
      <c r="A206" s="25" t="s">
        <v>2376</v>
      </c>
      <c r="B206" s="25" t="s">
        <v>2454</v>
      </c>
      <c r="C206" s="26">
        <v>189530</v>
      </c>
      <c r="D206" s="25" t="s">
        <v>1765</v>
      </c>
      <c r="E206" s="25" t="s">
        <v>1739</v>
      </c>
      <c r="F206" s="26" t="s">
        <v>90</v>
      </c>
      <c r="G206" s="26" t="s">
        <v>90</v>
      </c>
      <c r="H206" s="26">
        <v>1</v>
      </c>
      <c r="I206" s="26">
        <v>2</v>
      </c>
      <c r="J206" s="26">
        <v>1</v>
      </c>
      <c r="K206" s="26">
        <v>138</v>
      </c>
      <c r="L206" s="26" t="s">
        <v>28</v>
      </c>
      <c r="M206" s="27">
        <v>1036</v>
      </c>
      <c r="N206" s="28">
        <v>39782.199999999997</v>
      </c>
      <c r="O206" s="26" t="s">
        <v>29</v>
      </c>
      <c r="P206" s="29"/>
      <c r="Q206" s="6"/>
      <c r="R206" s="29"/>
      <c r="S206" s="10"/>
      <c r="T206" s="8">
        <v>1</v>
      </c>
    </row>
    <row r="207" spans="1:26" ht="15.75" customHeight="1" outlineLevel="2" x14ac:dyDescent="0.35">
      <c r="A207" s="25" t="s">
        <v>2376</v>
      </c>
      <c r="B207" s="25" t="s">
        <v>2454</v>
      </c>
      <c r="C207" s="26">
        <v>234005</v>
      </c>
      <c r="D207" s="25" t="s">
        <v>1788</v>
      </c>
      <c r="E207" s="25" t="s">
        <v>1780</v>
      </c>
      <c r="F207" s="26" t="s">
        <v>90</v>
      </c>
      <c r="G207" s="26" t="s">
        <v>90</v>
      </c>
      <c r="H207" s="26">
        <v>1</v>
      </c>
      <c r="I207" s="26">
        <v>6</v>
      </c>
      <c r="J207" s="26">
        <v>1</v>
      </c>
      <c r="K207" s="26">
        <v>138</v>
      </c>
      <c r="L207" s="26" t="s">
        <v>28</v>
      </c>
      <c r="M207" s="27">
        <v>1087</v>
      </c>
      <c r="N207" s="28">
        <v>532231.31999999995</v>
      </c>
      <c r="O207" s="26" t="s">
        <v>29</v>
      </c>
      <c r="P207" s="29"/>
      <c r="Q207" s="6"/>
      <c r="R207" s="29"/>
      <c r="S207" s="10"/>
      <c r="T207" s="8">
        <v>1</v>
      </c>
    </row>
    <row r="208" spans="1:26" ht="15.75" customHeight="1" outlineLevel="2" x14ac:dyDescent="0.35">
      <c r="A208" s="25" t="s">
        <v>2376</v>
      </c>
      <c r="B208" s="25" t="s">
        <v>2454</v>
      </c>
      <c r="C208" s="26">
        <v>237501</v>
      </c>
      <c r="D208" s="25" t="s">
        <v>1577</v>
      </c>
      <c r="E208" s="25" t="s">
        <v>1576</v>
      </c>
      <c r="F208" s="26" t="s">
        <v>90</v>
      </c>
      <c r="G208" s="26" t="s">
        <v>90</v>
      </c>
      <c r="H208" s="26">
        <v>1</v>
      </c>
      <c r="I208" s="26">
        <v>6</v>
      </c>
      <c r="J208" s="26">
        <v>1</v>
      </c>
      <c r="K208" s="26">
        <v>138</v>
      </c>
      <c r="L208" s="26" t="s">
        <v>28</v>
      </c>
      <c r="M208" s="27">
        <v>905</v>
      </c>
      <c r="N208" s="28">
        <v>505185.69</v>
      </c>
      <c r="O208" s="26" t="s">
        <v>29</v>
      </c>
      <c r="P208" s="29"/>
      <c r="Q208" s="6"/>
      <c r="R208" s="29"/>
      <c r="S208" s="10"/>
      <c r="T208" s="8">
        <v>1</v>
      </c>
    </row>
    <row r="209" spans="1:26" ht="15.75" customHeight="1" outlineLevel="2" x14ac:dyDescent="0.35">
      <c r="A209" s="25" t="s">
        <v>2376</v>
      </c>
      <c r="B209" s="25" t="s">
        <v>2454</v>
      </c>
      <c r="C209" s="26">
        <v>322306</v>
      </c>
      <c r="D209" s="25" t="s">
        <v>1789</v>
      </c>
      <c r="E209" s="25" t="s">
        <v>1780</v>
      </c>
      <c r="F209" s="26" t="s">
        <v>90</v>
      </c>
      <c r="G209" s="26" t="s">
        <v>90</v>
      </c>
      <c r="H209" s="26">
        <v>1</v>
      </c>
      <c r="I209" s="26">
        <v>4</v>
      </c>
      <c r="J209" s="26">
        <v>1</v>
      </c>
      <c r="K209" s="26">
        <v>138</v>
      </c>
      <c r="L209" s="26" t="s">
        <v>28</v>
      </c>
      <c r="M209" s="27">
        <v>1093</v>
      </c>
      <c r="N209" s="28">
        <v>597036.67000000004</v>
      </c>
      <c r="O209" s="26" t="s">
        <v>29</v>
      </c>
      <c r="P209" s="29"/>
      <c r="Q209" s="6"/>
      <c r="R209" s="29"/>
      <c r="S209" s="10"/>
      <c r="T209" s="8">
        <v>1</v>
      </c>
    </row>
    <row r="210" spans="1:26" ht="15.75" customHeight="1" outlineLevel="2" x14ac:dyDescent="0.35">
      <c r="A210" s="25" t="s">
        <v>2376</v>
      </c>
      <c r="B210" s="25" t="s">
        <v>2454</v>
      </c>
      <c r="C210" s="26">
        <v>323009</v>
      </c>
      <c r="D210" s="25" t="s">
        <v>1579</v>
      </c>
      <c r="E210" s="25" t="s">
        <v>1576</v>
      </c>
      <c r="F210" s="26" t="s">
        <v>90</v>
      </c>
      <c r="G210" s="26" t="s">
        <v>90</v>
      </c>
      <c r="H210" s="26">
        <v>1</v>
      </c>
      <c r="I210" s="26">
        <v>5</v>
      </c>
      <c r="J210" s="26">
        <v>1</v>
      </c>
      <c r="K210" s="26">
        <v>138</v>
      </c>
      <c r="L210" s="26" t="s">
        <v>28</v>
      </c>
      <c r="M210" s="27">
        <v>906</v>
      </c>
      <c r="N210" s="28">
        <v>487551.32</v>
      </c>
      <c r="O210" s="26" t="s">
        <v>29</v>
      </c>
      <c r="P210" s="29"/>
      <c r="Q210" s="6"/>
      <c r="R210" s="29"/>
      <c r="S210" s="10"/>
      <c r="T210" s="8">
        <v>1</v>
      </c>
    </row>
    <row r="211" spans="1:26" ht="15.75" customHeight="1" outlineLevel="1" x14ac:dyDescent="0.35">
      <c r="A211" s="25"/>
      <c r="B211" s="53" t="s">
        <v>2455</v>
      </c>
      <c r="C211" s="26"/>
      <c r="D211" s="25"/>
      <c r="E211" s="25"/>
      <c r="F211" s="26"/>
      <c r="G211" s="26"/>
      <c r="H211" s="26">
        <f t="shared" ref="H211:I211" si="10">SUBTOTAL(9,H194:H210)</f>
        <v>17</v>
      </c>
      <c r="I211" s="26">
        <f t="shared" si="10"/>
        <v>66</v>
      </c>
      <c r="J211" s="26"/>
      <c r="K211" s="26"/>
      <c r="L211" s="26"/>
      <c r="M211" s="27"/>
      <c r="N211" s="28">
        <f>SUBTOTAL(9,N194:N210)</f>
        <v>8928300.7100000028</v>
      </c>
      <c r="O211" s="26"/>
      <c r="P211" s="29"/>
      <c r="Q211" s="6"/>
      <c r="R211" s="29"/>
      <c r="S211" s="10"/>
      <c r="T211" s="8"/>
    </row>
    <row r="212" spans="1:26" ht="25.5" customHeight="1" x14ac:dyDescent="0.35">
      <c r="A212" s="19"/>
      <c r="B212" s="19"/>
      <c r="C212" s="19"/>
      <c r="D212" s="50"/>
      <c r="E212" s="50"/>
      <c r="F212" s="19"/>
      <c r="G212" s="19"/>
      <c r="H212" s="48"/>
      <c r="I212" s="48"/>
      <c r="J212" s="19"/>
      <c r="K212" s="48"/>
      <c r="L212" s="54"/>
      <c r="M212" s="48"/>
      <c r="N212" s="48"/>
      <c r="O212" s="19"/>
      <c r="P212" s="45"/>
      <c r="Q212" s="51"/>
      <c r="R212" s="26"/>
      <c r="S212" s="55"/>
      <c r="T212" s="44"/>
      <c r="U212" s="54"/>
      <c r="V212" s="50"/>
      <c r="W212" s="19"/>
      <c r="X212" s="19"/>
      <c r="Y212" s="19"/>
      <c r="Z212" s="19"/>
    </row>
    <row r="213" spans="1:26" ht="25.5" customHeight="1" x14ac:dyDescent="0.35">
      <c r="A213" s="19"/>
      <c r="B213" s="56" t="s">
        <v>2377</v>
      </c>
      <c r="C213" s="19"/>
      <c r="D213" s="50"/>
      <c r="E213" s="50"/>
      <c r="F213" s="57"/>
      <c r="G213" s="57"/>
      <c r="H213" s="171" t="s">
        <v>2377</v>
      </c>
      <c r="I213" s="172"/>
      <c r="J213" s="19"/>
      <c r="K213" s="48"/>
      <c r="L213" s="54"/>
      <c r="M213" s="48"/>
      <c r="N213" s="48"/>
      <c r="O213" s="19"/>
      <c r="P213" s="51"/>
      <c r="Q213" s="51"/>
      <c r="R213" s="26"/>
      <c r="S213" s="55"/>
      <c r="T213" s="44"/>
      <c r="U213" s="54"/>
      <c r="V213" s="50"/>
      <c r="W213" s="19"/>
      <c r="X213" s="19"/>
      <c r="Y213" s="19"/>
      <c r="Z213" s="19"/>
    </row>
    <row r="214" spans="1:26" ht="25.5" customHeight="1" x14ac:dyDescent="0.35">
      <c r="A214" s="19"/>
      <c r="B214" s="19"/>
      <c r="C214" s="19"/>
      <c r="D214" s="50"/>
      <c r="E214" s="50"/>
      <c r="F214" s="19"/>
      <c r="G214" s="19"/>
      <c r="H214" s="19"/>
      <c r="I214" s="19"/>
      <c r="J214" s="19"/>
      <c r="K214" s="48"/>
      <c r="L214" s="54"/>
      <c r="M214" s="48"/>
      <c r="N214" s="48"/>
      <c r="O214" s="19"/>
      <c r="P214" s="51"/>
      <c r="Q214" s="51"/>
      <c r="R214" s="26"/>
      <c r="S214" s="55"/>
      <c r="T214" s="44"/>
      <c r="U214" s="54"/>
      <c r="V214" s="50"/>
      <c r="W214" s="19"/>
      <c r="X214" s="19"/>
      <c r="Y214" s="19"/>
      <c r="Z214" s="19"/>
    </row>
    <row r="215" spans="1:26" ht="25.5" customHeight="1" x14ac:dyDescent="0.35">
      <c r="A215" s="19"/>
      <c r="B215" s="19"/>
      <c r="C215" s="19"/>
      <c r="D215" s="50"/>
      <c r="E215" s="50"/>
      <c r="F215" s="19"/>
      <c r="G215" s="19"/>
      <c r="H215" s="48"/>
      <c r="I215" s="48"/>
      <c r="J215" s="19"/>
      <c r="K215" s="48"/>
      <c r="L215" s="54"/>
      <c r="M215" s="48"/>
      <c r="N215" s="48"/>
      <c r="O215" s="19"/>
      <c r="P215" s="51"/>
      <c r="Q215" s="51"/>
      <c r="R215" s="26"/>
      <c r="S215" s="55"/>
      <c r="T215" s="44"/>
      <c r="U215" s="54"/>
      <c r="V215" s="50"/>
      <c r="W215" s="19"/>
      <c r="X215" s="19"/>
      <c r="Y215" s="19"/>
      <c r="Z215" s="19"/>
    </row>
    <row r="216" spans="1:26" ht="25.5" customHeight="1" x14ac:dyDescent="0.35">
      <c r="A216" s="19"/>
      <c r="B216" s="19"/>
      <c r="C216" s="58"/>
      <c r="D216" s="78" t="s">
        <v>2432</v>
      </c>
      <c r="E216" s="50"/>
      <c r="F216" s="19"/>
      <c r="G216" s="19"/>
      <c r="H216" s="48"/>
      <c r="I216" s="48"/>
      <c r="J216" s="19"/>
      <c r="K216" s="48"/>
      <c r="L216" s="54"/>
      <c r="M216" s="173" t="s">
        <v>2433</v>
      </c>
      <c r="N216" s="172"/>
      <c r="O216" s="172"/>
      <c r="P216" s="51"/>
      <c r="Q216" s="51"/>
      <c r="R216" s="26"/>
      <c r="S216" s="55"/>
      <c r="T216" s="44"/>
      <c r="U216" s="54"/>
      <c r="V216" s="50"/>
      <c r="W216" s="19"/>
      <c r="X216" s="19"/>
      <c r="Y216" s="19"/>
      <c r="Z216" s="19"/>
    </row>
    <row r="217" spans="1:26" ht="29.25" customHeight="1" x14ac:dyDescent="0.35">
      <c r="A217" s="19"/>
      <c r="B217" s="19"/>
      <c r="C217" s="59"/>
      <c r="D217" s="56" t="s">
        <v>2434</v>
      </c>
      <c r="E217" s="60"/>
      <c r="F217" s="56"/>
      <c r="G217" s="56"/>
      <c r="H217" s="61"/>
      <c r="I217" s="61"/>
      <c r="J217" s="56"/>
      <c r="K217" s="61"/>
      <c r="L217" s="62"/>
      <c r="M217" s="174" t="s">
        <v>2435</v>
      </c>
      <c r="N217" s="172"/>
      <c r="O217" s="172"/>
      <c r="P217" s="63"/>
      <c r="Q217" s="51"/>
      <c r="R217" s="26"/>
      <c r="S217" s="55"/>
      <c r="T217" s="44"/>
      <c r="U217" s="54"/>
      <c r="V217" s="50"/>
      <c r="W217" s="19"/>
      <c r="X217" s="19"/>
      <c r="Y217" s="19"/>
      <c r="Z217" s="19"/>
    </row>
    <row r="218" spans="1:26" ht="15.75" customHeight="1" outlineLevel="2" x14ac:dyDescent="0.35">
      <c r="A218" s="25" t="s">
        <v>409</v>
      </c>
      <c r="B218" s="25" t="s">
        <v>2456</v>
      </c>
      <c r="C218" s="26">
        <v>101971</v>
      </c>
      <c r="D218" s="25" t="s">
        <v>467</v>
      </c>
      <c r="E218" s="25" t="s">
        <v>468</v>
      </c>
      <c r="F218" s="26" t="s">
        <v>469</v>
      </c>
      <c r="G218" s="26" t="s">
        <v>469</v>
      </c>
      <c r="H218" s="26">
        <v>1</v>
      </c>
      <c r="I218" s="26">
        <v>5</v>
      </c>
      <c r="J218" s="26">
        <v>1</v>
      </c>
      <c r="K218" s="26">
        <v>138</v>
      </c>
      <c r="L218" s="26" t="s">
        <v>28</v>
      </c>
      <c r="M218" s="27">
        <v>1130</v>
      </c>
      <c r="N218" s="28">
        <v>125121.99</v>
      </c>
      <c r="O218" s="26" t="s">
        <v>29</v>
      </c>
      <c r="P218" s="29"/>
      <c r="Q218" s="6"/>
      <c r="R218" s="29"/>
      <c r="S218" s="10"/>
      <c r="T218" s="8">
        <v>1</v>
      </c>
    </row>
    <row r="219" spans="1:26" ht="15.75" customHeight="1" outlineLevel="2" x14ac:dyDescent="0.35">
      <c r="A219" s="25" t="s">
        <v>409</v>
      </c>
      <c r="B219" s="25" t="s">
        <v>2456</v>
      </c>
      <c r="C219" s="26">
        <v>101992</v>
      </c>
      <c r="D219" s="25" t="s">
        <v>471</v>
      </c>
      <c r="E219" s="25" t="s">
        <v>468</v>
      </c>
      <c r="F219" s="26" t="s">
        <v>469</v>
      </c>
      <c r="G219" s="26" t="s">
        <v>469</v>
      </c>
      <c r="H219" s="26">
        <v>1</v>
      </c>
      <c r="I219" s="26">
        <v>5</v>
      </c>
      <c r="J219" s="26">
        <v>1</v>
      </c>
      <c r="K219" s="26">
        <v>138</v>
      </c>
      <c r="L219" s="26" t="s">
        <v>28</v>
      </c>
      <c r="M219" s="27">
        <v>1132</v>
      </c>
      <c r="N219" s="28">
        <v>169595.41</v>
      </c>
      <c r="O219" s="26" t="s">
        <v>29</v>
      </c>
      <c r="P219" s="29"/>
      <c r="Q219" s="6"/>
      <c r="R219" s="29"/>
      <c r="S219" s="10"/>
      <c r="T219" s="8">
        <v>1</v>
      </c>
    </row>
    <row r="220" spans="1:26" ht="15.75" customHeight="1" outlineLevel="2" x14ac:dyDescent="0.35">
      <c r="A220" s="25" t="s">
        <v>409</v>
      </c>
      <c r="B220" s="25" t="s">
        <v>2456</v>
      </c>
      <c r="C220" s="26">
        <v>101993</v>
      </c>
      <c r="D220" s="25" t="s">
        <v>472</v>
      </c>
      <c r="E220" s="25" t="s">
        <v>468</v>
      </c>
      <c r="F220" s="26" t="s">
        <v>469</v>
      </c>
      <c r="G220" s="26" t="s">
        <v>469</v>
      </c>
      <c r="H220" s="26">
        <v>1</v>
      </c>
      <c r="I220" s="26">
        <v>3</v>
      </c>
      <c r="J220" s="26">
        <v>1</v>
      </c>
      <c r="K220" s="26">
        <v>138</v>
      </c>
      <c r="L220" s="26" t="s">
        <v>28</v>
      </c>
      <c r="M220" s="27">
        <v>1133</v>
      </c>
      <c r="N220" s="28">
        <v>174550.95</v>
      </c>
      <c r="O220" s="26" t="s">
        <v>29</v>
      </c>
      <c r="P220" s="29"/>
      <c r="Q220" s="6"/>
      <c r="R220" s="29"/>
      <c r="S220" s="10"/>
      <c r="T220" s="8">
        <v>1</v>
      </c>
    </row>
    <row r="221" spans="1:26" ht="15.75" customHeight="1" outlineLevel="2" x14ac:dyDescent="0.35">
      <c r="A221" s="25" t="s">
        <v>409</v>
      </c>
      <c r="B221" s="25" t="s">
        <v>2456</v>
      </c>
      <c r="C221" s="26">
        <v>102024</v>
      </c>
      <c r="D221" s="25" t="s">
        <v>474</v>
      </c>
      <c r="E221" s="25" t="s">
        <v>475</v>
      </c>
      <c r="F221" s="26" t="s">
        <v>466</v>
      </c>
      <c r="G221" s="26" t="s">
        <v>466</v>
      </c>
      <c r="H221" s="26">
        <v>1</v>
      </c>
      <c r="I221" s="26">
        <v>6</v>
      </c>
      <c r="J221" s="26">
        <v>1</v>
      </c>
      <c r="K221" s="26">
        <v>138</v>
      </c>
      <c r="L221" s="26" t="s">
        <v>28</v>
      </c>
      <c r="M221" s="27">
        <v>1127</v>
      </c>
      <c r="N221" s="28">
        <v>287690.39</v>
      </c>
      <c r="O221" s="26" t="s">
        <v>29</v>
      </c>
      <c r="P221" s="29"/>
      <c r="Q221" s="6"/>
      <c r="R221" s="29"/>
      <c r="S221" s="10"/>
      <c r="T221" s="8">
        <v>1</v>
      </c>
    </row>
    <row r="222" spans="1:26" ht="15.75" customHeight="1" outlineLevel="2" x14ac:dyDescent="0.35">
      <c r="A222" s="25" t="s">
        <v>409</v>
      </c>
      <c r="B222" s="25" t="s">
        <v>2456</v>
      </c>
      <c r="C222" s="26">
        <v>102099</v>
      </c>
      <c r="D222" s="25" t="s">
        <v>476</v>
      </c>
      <c r="E222" s="25" t="s">
        <v>477</v>
      </c>
      <c r="F222" s="26" t="s">
        <v>469</v>
      </c>
      <c r="G222" s="26" t="s">
        <v>469</v>
      </c>
      <c r="H222" s="26">
        <v>1</v>
      </c>
      <c r="I222" s="26">
        <v>5</v>
      </c>
      <c r="J222" s="26">
        <v>1</v>
      </c>
      <c r="K222" s="26">
        <v>138</v>
      </c>
      <c r="L222" s="26" t="s">
        <v>28</v>
      </c>
      <c r="M222" s="27">
        <v>1129</v>
      </c>
      <c r="N222" s="28">
        <v>113224.83</v>
      </c>
      <c r="O222" s="26" t="s">
        <v>29</v>
      </c>
      <c r="P222" s="29"/>
      <c r="Q222" s="6"/>
      <c r="R222" s="29"/>
      <c r="S222" s="10"/>
      <c r="T222" s="8">
        <v>1</v>
      </c>
    </row>
    <row r="223" spans="1:26" ht="15.75" customHeight="1" outlineLevel="2" x14ac:dyDescent="0.35">
      <c r="A223" s="25" t="s">
        <v>409</v>
      </c>
      <c r="B223" s="25" t="s">
        <v>2456</v>
      </c>
      <c r="C223" s="26">
        <v>102132</v>
      </c>
      <c r="D223" s="25" t="s">
        <v>478</v>
      </c>
      <c r="E223" s="25" t="s">
        <v>475</v>
      </c>
      <c r="F223" s="26" t="s">
        <v>466</v>
      </c>
      <c r="G223" s="26" t="s">
        <v>466</v>
      </c>
      <c r="H223" s="26">
        <v>1</v>
      </c>
      <c r="I223" s="26">
        <v>3</v>
      </c>
      <c r="J223" s="26">
        <v>1</v>
      </c>
      <c r="K223" s="26">
        <v>138</v>
      </c>
      <c r="L223" s="26" t="s">
        <v>28</v>
      </c>
      <c r="M223" s="27">
        <v>1126</v>
      </c>
      <c r="N223" s="28">
        <v>201940.01</v>
      </c>
      <c r="O223" s="26" t="s">
        <v>29</v>
      </c>
      <c r="P223" s="29"/>
      <c r="Q223" s="6"/>
      <c r="R223" s="29"/>
      <c r="S223" s="10"/>
      <c r="T223" s="8">
        <v>1</v>
      </c>
    </row>
    <row r="224" spans="1:26" ht="15.75" customHeight="1" outlineLevel="1" x14ac:dyDescent="0.35">
      <c r="A224" s="25"/>
      <c r="B224" s="53" t="s">
        <v>2457</v>
      </c>
      <c r="C224" s="26"/>
      <c r="D224" s="25"/>
      <c r="E224" s="25"/>
      <c r="F224" s="26"/>
      <c r="G224" s="26"/>
      <c r="H224" s="26">
        <f t="shared" ref="H224:I224" si="11">SUBTOTAL(9,H218:H223)</f>
        <v>6</v>
      </c>
      <c r="I224" s="26">
        <f t="shared" si="11"/>
        <v>27</v>
      </c>
      <c r="J224" s="26"/>
      <c r="K224" s="26"/>
      <c r="L224" s="26"/>
      <c r="M224" s="27"/>
      <c r="N224" s="28">
        <f>SUBTOTAL(9,N218:N223)</f>
        <v>1072123.58</v>
      </c>
      <c r="O224" s="26"/>
      <c r="P224" s="29"/>
      <c r="Q224" s="6"/>
      <c r="R224" s="29"/>
      <c r="S224" s="10"/>
      <c r="T224" s="8"/>
    </row>
    <row r="225" spans="1:26" ht="25.5" customHeight="1" x14ac:dyDescent="0.35">
      <c r="A225" s="19"/>
      <c r="B225" s="19"/>
      <c r="C225" s="19"/>
      <c r="D225" s="50"/>
      <c r="E225" s="50"/>
      <c r="F225" s="19"/>
      <c r="G225" s="19"/>
      <c r="H225" s="48"/>
      <c r="I225" s="48"/>
      <c r="J225" s="19"/>
      <c r="K225" s="48"/>
      <c r="L225" s="54"/>
      <c r="M225" s="48"/>
      <c r="N225" s="48"/>
      <c r="O225" s="19"/>
      <c r="P225" s="45"/>
      <c r="Q225" s="51"/>
      <c r="R225" s="26"/>
      <c r="S225" s="55"/>
      <c r="T225" s="44"/>
      <c r="U225" s="54"/>
      <c r="V225" s="50"/>
      <c r="W225" s="19"/>
      <c r="X225" s="19"/>
      <c r="Y225" s="19"/>
      <c r="Z225" s="19"/>
    </row>
    <row r="226" spans="1:26" ht="25.5" customHeight="1" x14ac:dyDescent="0.35">
      <c r="A226" s="19"/>
      <c r="B226" s="56" t="s">
        <v>2377</v>
      </c>
      <c r="C226" s="19"/>
      <c r="D226" s="50"/>
      <c r="E226" s="50"/>
      <c r="F226" s="57"/>
      <c r="G226" s="57"/>
      <c r="H226" s="171" t="s">
        <v>2377</v>
      </c>
      <c r="I226" s="172"/>
      <c r="J226" s="19"/>
      <c r="K226" s="48"/>
      <c r="L226" s="54"/>
      <c r="M226" s="48"/>
      <c r="N226" s="48"/>
      <c r="O226" s="19"/>
      <c r="P226" s="51"/>
      <c r="Q226" s="51"/>
      <c r="R226" s="26"/>
      <c r="S226" s="55"/>
      <c r="T226" s="44"/>
      <c r="U226" s="54"/>
      <c r="V226" s="50"/>
      <c r="W226" s="19"/>
      <c r="X226" s="19"/>
      <c r="Y226" s="19"/>
      <c r="Z226" s="19"/>
    </row>
    <row r="227" spans="1:26" ht="25.5" customHeight="1" x14ac:dyDescent="0.35">
      <c r="A227" s="19"/>
      <c r="B227" s="19"/>
      <c r="C227" s="19"/>
      <c r="D227" s="50"/>
      <c r="E227" s="50"/>
      <c r="F227" s="19"/>
      <c r="G227" s="19"/>
      <c r="H227" s="19"/>
      <c r="I227" s="19"/>
      <c r="J227" s="19"/>
      <c r="K227" s="48"/>
      <c r="L227" s="54"/>
      <c r="M227" s="48"/>
      <c r="N227" s="48"/>
      <c r="O227" s="19"/>
      <c r="P227" s="51"/>
      <c r="Q227" s="51"/>
      <c r="R227" s="26"/>
      <c r="S227" s="55"/>
      <c r="T227" s="44"/>
      <c r="U227" s="54"/>
      <c r="V227" s="50"/>
      <c r="W227" s="19"/>
      <c r="X227" s="19"/>
      <c r="Y227" s="19"/>
      <c r="Z227" s="19"/>
    </row>
    <row r="228" spans="1:26" ht="25.5" customHeight="1" x14ac:dyDescent="0.35">
      <c r="A228" s="19"/>
      <c r="B228" s="19"/>
      <c r="C228" s="19"/>
      <c r="D228" s="50"/>
      <c r="E228" s="50"/>
      <c r="F228" s="19"/>
      <c r="G228" s="19"/>
      <c r="H228" s="48"/>
      <c r="I228" s="48"/>
      <c r="J228" s="19"/>
      <c r="K228" s="48"/>
      <c r="L228" s="54"/>
      <c r="M228" s="48"/>
      <c r="N228" s="48"/>
      <c r="O228" s="19"/>
      <c r="P228" s="51"/>
      <c r="Q228" s="51"/>
      <c r="R228" s="26"/>
      <c r="S228" s="55"/>
      <c r="T228" s="44"/>
      <c r="U228" s="54"/>
      <c r="V228" s="50"/>
      <c r="W228" s="19"/>
      <c r="X228" s="19"/>
      <c r="Y228" s="19"/>
      <c r="Z228" s="19"/>
    </row>
    <row r="229" spans="1:26" ht="25.5" customHeight="1" x14ac:dyDescent="0.35">
      <c r="A229" s="19"/>
      <c r="B229" s="19"/>
      <c r="C229" s="58"/>
      <c r="D229" s="78" t="s">
        <v>2432</v>
      </c>
      <c r="E229" s="50"/>
      <c r="F229" s="19"/>
      <c r="G229" s="19"/>
      <c r="H229" s="48"/>
      <c r="I229" s="48"/>
      <c r="J229" s="19"/>
      <c r="K229" s="48"/>
      <c r="L229" s="54"/>
      <c r="M229" s="173" t="s">
        <v>2433</v>
      </c>
      <c r="N229" s="172"/>
      <c r="O229" s="172"/>
      <c r="P229" s="51"/>
      <c r="Q229" s="51"/>
      <c r="R229" s="26"/>
      <c r="S229" s="55"/>
      <c r="T229" s="44"/>
      <c r="U229" s="54"/>
      <c r="V229" s="50"/>
      <c r="W229" s="19"/>
      <c r="X229" s="19"/>
      <c r="Y229" s="19"/>
      <c r="Z229" s="19"/>
    </row>
    <row r="230" spans="1:26" ht="29.25" customHeight="1" x14ac:dyDescent="0.35">
      <c r="A230" s="19"/>
      <c r="B230" s="19"/>
      <c r="C230" s="59"/>
      <c r="D230" s="56" t="s">
        <v>2434</v>
      </c>
      <c r="E230" s="60"/>
      <c r="F230" s="56"/>
      <c r="G230" s="56"/>
      <c r="H230" s="61"/>
      <c r="I230" s="61"/>
      <c r="J230" s="56"/>
      <c r="K230" s="61"/>
      <c r="L230" s="62"/>
      <c r="M230" s="174" t="s">
        <v>2435</v>
      </c>
      <c r="N230" s="172"/>
      <c r="O230" s="172"/>
      <c r="P230" s="63"/>
      <c r="Q230" s="51"/>
      <c r="R230" s="26"/>
      <c r="S230" s="55"/>
      <c r="T230" s="44"/>
      <c r="U230" s="54"/>
      <c r="V230" s="50"/>
      <c r="W230" s="19"/>
      <c r="X230" s="19"/>
      <c r="Y230" s="19"/>
      <c r="Z230" s="19"/>
    </row>
    <row r="231" spans="1:26" ht="15.75" customHeight="1" outlineLevel="2" x14ac:dyDescent="0.35">
      <c r="A231" s="25" t="s">
        <v>495</v>
      </c>
      <c r="B231" s="25" t="s">
        <v>2458</v>
      </c>
      <c r="C231" s="26">
        <v>102460</v>
      </c>
      <c r="D231" s="25" t="s">
        <v>497</v>
      </c>
      <c r="E231" s="25" t="s">
        <v>498</v>
      </c>
      <c r="F231" s="26" t="s">
        <v>215</v>
      </c>
      <c r="G231" s="26" t="s">
        <v>215</v>
      </c>
      <c r="H231" s="26">
        <v>1</v>
      </c>
      <c r="I231" s="26">
        <v>6</v>
      </c>
      <c r="J231" s="26">
        <v>1</v>
      </c>
      <c r="K231" s="26">
        <v>138</v>
      </c>
      <c r="L231" s="26" t="s">
        <v>28</v>
      </c>
      <c r="M231" s="27">
        <v>1140</v>
      </c>
      <c r="N231" s="28">
        <v>551885.05000000005</v>
      </c>
      <c r="O231" s="26" t="s">
        <v>29</v>
      </c>
      <c r="P231" s="29"/>
      <c r="Q231" s="6"/>
      <c r="R231" s="29"/>
      <c r="S231" s="10"/>
      <c r="T231" s="8">
        <v>1</v>
      </c>
    </row>
    <row r="232" spans="1:26" ht="15.75" customHeight="1" outlineLevel="2" x14ac:dyDescent="0.35">
      <c r="A232" s="25" t="s">
        <v>495</v>
      </c>
      <c r="B232" s="25" t="s">
        <v>2458</v>
      </c>
      <c r="C232" s="26">
        <v>102472</v>
      </c>
      <c r="D232" s="25" t="s">
        <v>499</v>
      </c>
      <c r="E232" s="25" t="s">
        <v>498</v>
      </c>
      <c r="F232" s="26" t="s">
        <v>215</v>
      </c>
      <c r="G232" s="26" t="s">
        <v>215</v>
      </c>
      <c r="H232" s="26">
        <v>1</v>
      </c>
      <c r="I232" s="26">
        <v>3</v>
      </c>
      <c r="J232" s="26">
        <v>1</v>
      </c>
      <c r="K232" s="26">
        <v>138</v>
      </c>
      <c r="L232" s="26" t="s">
        <v>28</v>
      </c>
      <c r="M232" s="27">
        <v>1148</v>
      </c>
      <c r="N232" s="28">
        <v>474509.84</v>
      </c>
      <c r="O232" s="26" t="s">
        <v>29</v>
      </c>
      <c r="P232" s="29"/>
      <c r="Q232" s="6"/>
      <c r="R232" s="29"/>
      <c r="S232" s="10"/>
      <c r="T232" s="8">
        <v>1</v>
      </c>
    </row>
    <row r="233" spans="1:26" ht="15.75" customHeight="1" outlineLevel="2" x14ac:dyDescent="0.35">
      <c r="A233" s="25" t="s">
        <v>495</v>
      </c>
      <c r="B233" s="25" t="s">
        <v>2458</v>
      </c>
      <c r="C233" s="26">
        <v>102565</v>
      </c>
      <c r="D233" s="25" t="s">
        <v>508</v>
      </c>
      <c r="E233" s="25" t="s">
        <v>509</v>
      </c>
      <c r="F233" s="26" t="s">
        <v>215</v>
      </c>
      <c r="G233" s="26" t="s">
        <v>215</v>
      </c>
      <c r="H233" s="26">
        <v>1</v>
      </c>
      <c r="I233" s="26">
        <v>2</v>
      </c>
      <c r="J233" s="26">
        <v>1</v>
      </c>
      <c r="K233" s="26">
        <v>138</v>
      </c>
      <c r="L233" s="26" t="s">
        <v>28</v>
      </c>
      <c r="M233" s="27">
        <v>1144</v>
      </c>
      <c r="N233" s="28">
        <v>360773.24</v>
      </c>
      <c r="O233" s="26" t="s">
        <v>29</v>
      </c>
      <c r="P233" s="29"/>
      <c r="Q233" s="6"/>
      <c r="R233" s="29"/>
      <c r="S233" s="10"/>
      <c r="T233" s="8">
        <v>1</v>
      </c>
    </row>
    <row r="234" spans="1:26" ht="15.75" customHeight="1" outlineLevel="1" x14ac:dyDescent="0.35">
      <c r="A234" s="25"/>
      <c r="B234" s="53" t="s">
        <v>2459</v>
      </c>
      <c r="C234" s="26"/>
      <c r="D234" s="25"/>
      <c r="E234" s="25"/>
      <c r="F234" s="26"/>
      <c r="G234" s="26"/>
      <c r="H234" s="26">
        <f t="shared" ref="H234:I234" si="12">SUBTOTAL(9,H231:H233)</f>
        <v>3</v>
      </c>
      <c r="I234" s="26">
        <f t="shared" si="12"/>
        <v>11</v>
      </c>
      <c r="J234" s="26"/>
      <c r="K234" s="26"/>
      <c r="L234" s="26"/>
      <c r="M234" s="27"/>
      <c r="N234" s="28">
        <f>SUBTOTAL(9,N231:N233)</f>
        <v>1387168.1300000001</v>
      </c>
      <c r="O234" s="26"/>
      <c r="P234" s="29"/>
      <c r="Q234" s="6"/>
      <c r="R234" s="29"/>
      <c r="S234" s="10"/>
      <c r="T234" s="8"/>
    </row>
    <row r="235" spans="1:26" ht="25.5" customHeight="1" x14ac:dyDescent="0.35">
      <c r="A235" s="19"/>
      <c r="B235" s="19"/>
      <c r="C235" s="19"/>
      <c r="D235" s="50"/>
      <c r="E235" s="50"/>
      <c r="F235" s="19"/>
      <c r="G235" s="19"/>
      <c r="H235" s="48"/>
      <c r="I235" s="48"/>
      <c r="J235" s="19"/>
      <c r="K235" s="48"/>
      <c r="L235" s="54"/>
      <c r="M235" s="48"/>
      <c r="N235" s="48"/>
      <c r="O235" s="19"/>
      <c r="P235" s="45"/>
      <c r="Q235" s="51"/>
      <c r="R235" s="26"/>
      <c r="S235" s="55"/>
      <c r="T235" s="44"/>
      <c r="U235" s="54"/>
      <c r="V235" s="50"/>
      <c r="W235" s="19"/>
      <c r="X235" s="19"/>
      <c r="Y235" s="19"/>
      <c r="Z235" s="19"/>
    </row>
    <row r="236" spans="1:26" ht="25.5" customHeight="1" x14ac:dyDescent="0.35">
      <c r="A236" s="19"/>
      <c r="B236" s="56" t="s">
        <v>2377</v>
      </c>
      <c r="C236" s="19"/>
      <c r="D236" s="50"/>
      <c r="E236" s="50"/>
      <c r="F236" s="57"/>
      <c r="G236" s="57"/>
      <c r="H236" s="171" t="s">
        <v>2377</v>
      </c>
      <c r="I236" s="172"/>
      <c r="J236" s="19"/>
      <c r="K236" s="48"/>
      <c r="L236" s="54"/>
      <c r="M236" s="48"/>
      <c r="N236" s="48"/>
      <c r="O236" s="19"/>
      <c r="P236" s="51"/>
      <c r="Q236" s="51"/>
      <c r="R236" s="26"/>
      <c r="S236" s="55"/>
      <c r="T236" s="44"/>
      <c r="U236" s="54"/>
      <c r="V236" s="50"/>
      <c r="W236" s="19"/>
      <c r="X236" s="19"/>
      <c r="Y236" s="19"/>
      <c r="Z236" s="19"/>
    </row>
    <row r="237" spans="1:26" ht="25.5" customHeight="1" x14ac:dyDescent="0.35">
      <c r="A237" s="19"/>
      <c r="B237" s="19"/>
      <c r="C237" s="19"/>
      <c r="D237" s="50"/>
      <c r="E237" s="50"/>
      <c r="F237" s="19"/>
      <c r="G237" s="19"/>
      <c r="H237" s="19"/>
      <c r="I237" s="19"/>
      <c r="J237" s="19"/>
      <c r="K237" s="48"/>
      <c r="L237" s="54"/>
      <c r="M237" s="48"/>
      <c r="N237" s="48"/>
      <c r="O237" s="19"/>
      <c r="P237" s="51"/>
      <c r="Q237" s="51"/>
      <c r="R237" s="26"/>
      <c r="S237" s="55"/>
      <c r="T237" s="44"/>
      <c r="U237" s="54"/>
      <c r="V237" s="50"/>
      <c r="W237" s="19"/>
      <c r="X237" s="19"/>
      <c r="Y237" s="19"/>
      <c r="Z237" s="19"/>
    </row>
    <row r="238" spans="1:26" ht="25.5" customHeight="1" x14ac:dyDescent="0.35">
      <c r="A238" s="19"/>
      <c r="B238" s="19"/>
      <c r="C238" s="19"/>
      <c r="D238" s="50"/>
      <c r="E238" s="50"/>
      <c r="F238" s="19"/>
      <c r="G238" s="19"/>
      <c r="H238" s="48"/>
      <c r="I238" s="48"/>
      <c r="J238" s="19"/>
      <c r="K238" s="48"/>
      <c r="L238" s="54"/>
      <c r="M238" s="48"/>
      <c r="N238" s="48"/>
      <c r="O238" s="19"/>
      <c r="P238" s="51"/>
      <c r="Q238" s="51"/>
      <c r="R238" s="26"/>
      <c r="S238" s="55"/>
      <c r="T238" s="44"/>
      <c r="U238" s="54"/>
      <c r="V238" s="50"/>
      <c r="W238" s="19"/>
      <c r="X238" s="19"/>
      <c r="Y238" s="19"/>
      <c r="Z238" s="19"/>
    </row>
    <row r="239" spans="1:26" ht="25.5" customHeight="1" x14ac:dyDescent="0.35">
      <c r="A239" s="19"/>
      <c r="B239" s="19"/>
      <c r="C239" s="58"/>
      <c r="D239" s="78" t="s">
        <v>2432</v>
      </c>
      <c r="E239" s="50"/>
      <c r="F239" s="19"/>
      <c r="G239" s="19"/>
      <c r="H239" s="48"/>
      <c r="I239" s="48"/>
      <c r="J239" s="19"/>
      <c r="K239" s="48"/>
      <c r="L239" s="54"/>
      <c r="M239" s="173" t="s">
        <v>2433</v>
      </c>
      <c r="N239" s="172"/>
      <c r="O239" s="172"/>
      <c r="P239" s="51"/>
      <c r="Q239" s="51"/>
      <c r="R239" s="26"/>
      <c r="S239" s="55"/>
      <c r="T239" s="44"/>
      <c r="U239" s="54"/>
      <c r="V239" s="50"/>
      <c r="W239" s="19"/>
      <c r="X239" s="19"/>
      <c r="Y239" s="19"/>
      <c r="Z239" s="19"/>
    </row>
    <row r="240" spans="1:26" ht="29.25" customHeight="1" x14ac:dyDescent="0.35">
      <c r="A240" s="19"/>
      <c r="B240" s="19"/>
      <c r="C240" s="59"/>
      <c r="D240" s="56" t="s">
        <v>2434</v>
      </c>
      <c r="E240" s="60"/>
      <c r="F240" s="56"/>
      <c r="G240" s="56"/>
      <c r="H240" s="61"/>
      <c r="I240" s="61"/>
      <c r="J240" s="56"/>
      <c r="K240" s="61"/>
      <c r="L240" s="62"/>
      <c r="M240" s="174" t="s">
        <v>2435</v>
      </c>
      <c r="N240" s="172"/>
      <c r="O240" s="172"/>
      <c r="P240" s="63"/>
      <c r="Q240" s="51"/>
      <c r="R240" s="26"/>
      <c r="S240" s="55"/>
      <c r="T240" s="44"/>
      <c r="U240" s="54"/>
      <c r="V240" s="50"/>
      <c r="W240" s="19"/>
      <c r="X240" s="19"/>
      <c r="Y240" s="19"/>
      <c r="Z240" s="19"/>
    </row>
    <row r="241" spans="1:26" ht="15.75" customHeight="1" outlineLevel="2" x14ac:dyDescent="0.35">
      <c r="A241" s="9" t="s">
        <v>495</v>
      </c>
      <c r="B241" s="9" t="s">
        <v>540</v>
      </c>
      <c r="C241" s="31">
        <v>103759</v>
      </c>
      <c r="D241" s="32" t="s">
        <v>570</v>
      </c>
      <c r="E241" s="32" t="s">
        <v>569</v>
      </c>
      <c r="F241" s="29">
        <v>2</v>
      </c>
      <c r="G241" s="33"/>
      <c r="H241" s="33">
        <v>1</v>
      </c>
      <c r="I241" s="47">
        <v>3</v>
      </c>
      <c r="J241" s="29"/>
      <c r="K241" s="10"/>
      <c r="L241" s="10"/>
      <c r="M241" s="11"/>
      <c r="N241" s="34">
        <v>219362.91</v>
      </c>
      <c r="O241" s="26" t="s">
        <v>29</v>
      </c>
      <c r="P241" s="29" t="s">
        <v>163</v>
      </c>
      <c r="Q241" s="6"/>
      <c r="R241" s="29"/>
      <c r="S241" s="10"/>
      <c r="T241" s="8">
        <v>1</v>
      </c>
    </row>
    <row r="242" spans="1:26" ht="15.75" customHeight="1" outlineLevel="2" x14ac:dyDescent="0.35">
      <c r="A242" s="9" t="s">
        <v>495</v>
      </c>
      <c r="B242" s="9" t="s">
        <v>540</v>
      </c>
      <c r="C242" s="31">
        <v>103763</v>
      </c>
      <c r="D242" s="32" t="s">
        <v>572</v>
      </c>
      <c r="E242" s="32" t="s">
        <v>569</v>
      </c>
      <c r="F242" s="29">
        <v>2</v>
      </c>
      <c r="G242" s="33"/>
      <c r="H242" s="33">
        <v>1</v>
      </c>
      <c r="I242" s="47">
        <v>1</v>
      </c>
      <c r="J242" s="29"/>
      <c r="K242" s="10"/>
      <c r="L242" s="10"/>
      <c r="M242" s="11"/>
      <c r="N242" s="34">
        <v>129288.3</v>
      </c>
      <c r="O242" s="26" t="s">
        <v>29</v>
      </c>
      <c r="P242" s="29" t="s">
        <v>163</v>
      </c>
      <c r="Q242" s="6"/>
      <c r="R242" s="29"/>
      <c r="S242" s="10"/>
      <c r="T242" s="8">
        <v>1</v>
      </c>
    </row>
    <row r="243" spans="1:26" ht="15.75" customHeight="1" outlineLevel="1" x14ac:dyDescent="0.35">
      <c r="A243" s="9"/>
      <c r="B243" s="65" t="s">
        <v>2460</v>
      </c>
      <c r="C243" s="31"/>
      <c r="D243" s="32"/>
      <c r="E243" s="32"/>
      <c r="F243" s="29"/>
      <c r="G243" s="33"/>
      <c r="H243" s="33">
        <f t="shared" ref="H243:I243" si="13">SUBTOTAL(9,H241:H242)</f>
        <v>2</v>
      </c>
      <c r="I243" s="47">
        <f t="shared" si="13"/>
        <v>4</v>
      </c>
      <c r="J243" s="29"/>
      <c r="K243" s="10"/>
      <c r="L243" s="10"/>
      <c r="M243" s="11"/>
      <c r="N243" s="34">
        <f>SUBTOTAL(9,N241:N242)</f>
        <v>348651.21</v>
      </c>
      <c r="O243" s="26"/>
      <c r="P243" s="29"/>
      <c r="Q243" s="6"/>
      <c r="R243" s="29"/>
      <c r="S243" s="10"/>
      <c r="T243" s="8"/>
    </row>
    <row r="244" spans="1:26" ht="25.5" customHeight="1" x14ac:dyDescent="0.35">
      <c r="A244" s="19"/>
      <c r="B244" s="19"/>
      <c r="C244" s="19"/>
      <c r="D244" s="50"/>
      <c r="E244" s="50"/>
      <c r="F244" s="19"/>
      <c r="G244" s="19"/>
      <c r="H244" s="48"/>
      <c r="I244" s="48"/>
      <c r="J244" s="19"/>
      <c r="K244" s="48"/>
      <c r="L244" s="54"/>
      <c r="M244" s="48"/>
      <c r="N244" s="48"/>
      <c r="O244" s="19"/>
      <c r="P244" s="45"/>
      <c r="Q244" s="51"/>
      <c r="R244" s="26"/>
      <c r="S244" s="55"/>
      <c r="T244" s="44"/>
      <c r="U244" s="54"/>
      <c r="V244" s="50"/>
      <c r="W244" s="19"/>
      <c r="X244" s="19"/>
      <c r="Y244" s="19"/>
      <c r="Z244" s="19"/>
    </row>
    <row r="245" spans="1:26" ht="25.5" customHeight="1" x14ac:dyDescent="0.35">
      <c r="A245" s="19"/>
      <c r="B245" s="56" t="s">
        <v>2377</v>
      </c>
      <c r="C245" s="19"/>
      <c r="D245" s="50"/>
      <c r="E245" s="50"/>
      <c r="F245" s="57"/>
      <c r="G245" s="57"/>
      <c r="H245" s="171" t="s">
        <v>2377</v>
      </c>
      <c r="I245" s="172"/>
      <c r="J245" s="19"/>
      <c r="K245" s="48"/>
      <c r="L245" s="54"/>
      <c r="M245" s="48"/>
      <c r="N245" s="48"/>
      <c r="O245" s="19"/>
      <c r="P245" s="51"/>
      <c r="Q245" s="51"/>
      <c r="R245" s="26"/>
      <c r="S245" s="55"/>
      <c r="T245" s="44"/>
      <c r="U245" s="54"/>
      <c r="V245" s="50"/>
      <c r="W245" s="19"/>
      <c r="X245" s="19"/>
      <c r="Y245" s="19"/>
      <c r="Z245" s="19"/>
    </row>
    <row r="246" spans="1:26" ht="25.5" customHeight="1" x14ac:dyDescent="0.35">
      <c r="A246" s="19"/>
      <c r="B246" s="19"/>
      <c r="C246" s="19"/>
      <c r="D246" s="50"/>
      <c r="E246" s="50"/>
      <c r="F246" s="19"/>
      <c r="G246" s="19"/>
      <c r="H246" s="19"/>
      <c r="I246" s="19"/>
      <c r="J246" s="19"/>
      <c r="K246" s="48"/>
      <c r="L246" s="54"/>
      <c r="M246" s="48"/>
      <c r="N246" s="48"/>
      <c r="O246" s="19"/>
      <c r="P246" s="51"/>
      <c r="Q246" s="51"/>
      <c r="R246" s="26"/>
      <c r="S246" s="55"/>
      <c r="T246" s="44"/>
      <c r="U246" s="54"/>
      <c r="V246" s="50"/>
      <c r="W246" s="19"/>
      <c r="X246" s="19"/>
      <c r="Y246" s="19"/>
      <c r="Z246" s="19"/>
    </row>
    <row r="247" spans="1:26" ht="25.5" customHeight="1" x14ac:dyDescent="0.35">
      <c r="A247" s="19"/>
      <c r="B247" s="19"/>
      <c r="C247" s="19"/>
      <c r="D247" s="50"/>
      <c r="E247" s="50"/>
      <c r="F247" s="19"/>
      <c r="G247" s="19"/>
      <c r="H247" s="48"/>
      <c r="I247" s="48"/>
      <c r="J247" s="19"/>
      <c r="K247" s="48"/>
      <c r="L247" s="54"/>
      <c r="M247" s="48"/>
      <c r="N247" s="48"/>
      <c r="O247" s="19"/>
      <c r="P247" s="51"/>
      <c r="Q247" s="51"/>
      <c r="R247" s="26"/>
      <c r="S247" s="55"/>
      <c r="T247" s="44"/>
      <c r="U247" s="54"/>
      <c r="V247" s="50"/>
      <c r="W247" s="19"/>
      <c r="X247" s="19"/>
      <c r="Y247" s="19"/>
      <c r="Z247" s="19"/>
    </row>
    <row r="248" spans="1:26" ht="25.5" customHeight="1" x14ac:dyDescent="0.35">
      <c r="A248" s="19"/>
      <c r="B248" s="19"/>
      <c r="C248" s="58"/>
      <c r="D248" s="78" t="s">
        <v>2432</v>
      </c>
      <c r="E248" s="50"/>
      <c r="F248" s="19"/>
      <c r="G248" s="19"/>
      <c r="H248" s="48"/>
      <c r="I248" s="48"/>
      <c r="J248" s="19"/>
      <c r="K248" s="48"/>
      <c r="L248" s="54"/>
      <c r="M248" s="173" t="s">
        <v>2433</v>
      </c>
      <c r="N248" s="172"/>
      <c r="O248" s="172"/>
      <c r="P248" s="51"/>
      <c r="Q248" s="51"/>
      <c r="R248" s="26"/>
      <c r="S248" s="55"/>
      <c r="T248" s="44"/>
      <c r="U248" s="54"/>
      <c r="V248" s="50"/>
      <c r="W248" s="19"/>
      <c r="X248" s="19"/>
      <c r="Y248" s="19"/>
      <c r="Z248" s="19"/>
    </row>
    <row r="249" spans="1:26" ht="29.25" customHeight="1" x14ac:dyDescent="0.35">
      <c r="A249" s="19"/>
      <c r="B249" s="19"/>
      <c r="C249" s="59"/>
      <c r="D249" s="56" t="s">
        <v>2434</v>
      </c>
      <c r="E249" s="60"/>
      <c r="F249" s="56"/>
      <c r="G249" s="56"/>
      <c r="H249" s="61"/>
      <c r="I249" s="61"/>
      <c r="J249" s="56"/>
      <c r="K249" s="61"/>
      <c r="L249" s="62"/>
      <c r="M249" s="174" t="s">
        <v>2435</v>
      </c>
      <c r="N249" s="172"/>
      <c r="O249" s="172"/>
      <c r="P249" s="63"/>
      <c r="Q249" s="51"/>
      <c r="R249" s="26"/>
      <c r="S249" s="55"/>
      <c r="T249" s="44"/>
      <c r="U249" s="54"/>
      <c r="V249" s="50"/>
      <c r="W249" s="19"/>
      <c r="X249" s="19"/>
      <c r="Y249" s="19"/>
      <c r="Z249" s="19"/>
    </row>
    <row r="250" spans="1:26" ht="15.75" customHeight="1" outlineLevel="2" x14ac:dyDescent="0.35">
      <c r="A250" s="25" t="s">
        <v>495</v>
      </c>
      <c r="B250" s="25" t="s">
        <v>2461</v>
      </c>
      <c r="C250" s="26">
        <v>103990</v>
      </c>
      <c r="D250" s="25" t="s">
        <v>586</v>
      </c>
      <c r="E250" s="25" t="s">
        <v>585</v>
      </c>
      <c r="F250" s="26" t="s">
        <v>27</v>
      </c>
      <c r="G250" s="26" t="s">
        <v>27</v>
      </c>
      <c r="H250" s="26">
        <v>1</v>
      </c>
      <c r="I250" s="26">
        <v>5</v>
      </c>
      <c r="J250" s="26">
        <v>1</v>
      </c>
      <c r="K250" s="26">
        <v>138</v>
      </c>
      <c r="L250" s="26" t="s">
        <v>28</v>
      </c>
      <c r="M250" s="27">
        <v>1201</v>
      </c>
      <c r="N250" s="28">
        <v>1201001.02</v>
      </c>
      <c r="O250" s="26" t="s">
        <v>29</v>
      </c>
      <c r="P250" s="29"/>
      <c r="Q250" s="6"/>
      <c r="R250" s="29"/>
      <c r="S250" s="10"/>
      <c r="T250" s="8">
        <v>1</v>
      </c>
    </row>
    <row r="251" spans="1:26" ht="15.75" customHeight="1" outlineLevel="2" x14ac:dyDescent="0.35">
      <c r="A251" s="25" t="s">
        <v>495</v>
      </c>
      <c r="B251" s="25" t="s">
        <v>2461</v>
      </c>
      <c r="C251" s="26">
        <v>104000</v>
      </c>
      <c r="D251" s="25" t="s">
        <v>587</v>
      </c>
      <c r="E251" s="25" t="s">
        <v>585</v>
      </c>
      <c r="F251" s="26" t="s">
        <v>27</v>
      </c>
      <c r="G251" s="26" t="s">
        <v>27</v>
      </c>
      <c r="H251" s="26">
        <v>1</v>
      </c>
      <c r="I251" s="26">
        <v>6</v>
      </c>
      <c r="J251" s="26">
        <v>1</v>
      </c>
      <c r="K251" s="26">
        <v>138</v>
      </c>
      <c r="L251" s="26" t="s">
        <v>28</v>
      </c>
      <c r="M251" s="27">
        <v>1211</v>
      </c>
      <c r="N251" s="28">
        <v>785827.01</v>
      </c>
      <c r="O251" s="26" t="s">
        <v>29</v>
      </c>
      <c r="P251" s="29"/>
      <c r="Q251" s="6"/>
      <c r="R251" s="29"/>
      <c r="S251" s="10"/>
      <c r="T251" s="8">
        <v>1</v>
      </c>
    </row>
    <row r="252" spans="1:26" ht="15.75" customHeight="1" outlineLevel="2" x14ac:dyDescent="0.35">
      <c r="A252" s="25" t="s">
        <v>495</v>
      </c>
      <c r="B252" s="25" t="s">
        <v>2461</v>
      </c>
      <c r="C252" s="26">
        <v>104102</v>
      </c>
      <c r="D252" s="25" t="s">
        <v>593</v>
      </c>
      <c r="E252" s="25" t="s">
        <v>592</v>
      </c>
      <c r="F252" s="26" t="s">
        <v>27</v>
      </c>
      <c r="G252" s="26" t="s">
        <v>27</v>
      </c>
      <c r="H252" s="26">
        <v>1</v>
      </c>
      <c r="I252" s="26">
        <v>4</v>
      </c>
      <c r="J252" s="26">
        <v>1</v>
      </c>
      <c r="K252" s="26">
        <v>138</v>
      </c>
      <c r="L252" s="26" t="s">
        <v>28</v>
      </c>
      <c r="M252" s="27">
        <v>1209</v>
      </c>
      <c r="N252" s="28">
        <v>784569.52</v>
      </c>
      <c r="O252" s="26" t="s">
        <v>29</v>
      </c>
      <c r="P252" s="29"/>
      <c r="Q252" s="6"/>
      <c r="R252" s="29"/>
      <c r="S252" s="10"/>
      <c r="T252" s="8">
        <v>1</v>
      </c>
    </row>
    <row r="253" spans="1:26" ht="15.75" customHeight="1" outlineLevel="2" x14ac:dyDescent="0.35">
      <c r="A253" s="25" t="s">
        <v>495</v>
      </c>
      <c r="B253" s="25" t="s">
        <v>2461</v>
      </c>
      <c r="C253" s="26">
        <v>104122</v>
      </c>
      <c r="D253" s="25" t="s">
        <v>594</v>
      </c>
      <c r="E253" s="25" t="s">
        <v>595</v>
      </c>
      <c r="F253" s="26" t="s">
        <v>27</v>
      </c>
      <c r="G253" s="26" t="s">
        <v>27</v>
      </c>
      <c r="H253" s="26">
        <v>1</v>
      </c>
      <c r="I253" s="26">
        <v>7</v>
      </c>
      <c r="J253" s="26">
        <v>1</v>
      </c>
      <c r="K253" s="26">
        <v>138</v>
      </c>
      <c r="L253" s="26" t="s">
        <v>28</v>
      </c>
      <c r="M253" s="27">
        <v>1199</v>
      </c>
      <c r="N253" s="28">
        <v>975474</v>
      </c>
      <c r="O253" s="26" t="s">
        <v>29</v>
      </c>
      <c r="P253" s="29"/>
      <c r="Q253" s="6"/>
      <c r="R253" s="29"/>
      <c r="S253" s="10"/>
      <c r="T253" s="8">
        <v>1</v>
      </c>
    </row>
    <row r="254" spans="1:26" ht="15.75" customHeight="1" outlineLevel="2" x14ac:dyDescent="0.35">
      <c r="A254" s="25" t="s">
        <v>495</v>
      </c>
      <c r="B254" s="25" t="s">
        <v>2461</v>
      </c>
      <c r="C254" s="26">
        <v>104131</v>
      </c>
      <c r="D254" s="25" t="s">
        <v>596</v>
      </c>
      <c r="E254" s="25" t="s">
        <v>595</v>
      </c>
      <c r="F254" s="26" t="s">
        <v>27</v>
      </c>
      <c r="G254" s="26" t="s">
        <v>27</v>
      </c>
      <c r="H254" s="26">
        <v>1</v>
      </c>
      <c r="I254" s="26">
        <v>14</v>
      </c>
      <c r="J254" s="26">
        <v>1</v>
      </c>
      <c r="K254" s="26">
        <v>138</v>
      </c>
      <c r="L254" s="26" t="s">
        <v>28</v>
      </c>
      <c r="M254" s="27">
        <v>1203</v>
      </c>
      <c r="N254" s="28">
        <v>1527697.58</v>
      </c>
      <c r="O254" s="26" t="s">
        <v>29</v>
      </c>
      <c r="P254" s="29"/>
      <c r="Q254" s="6"/>
      <c r="R254" s="29"/>
      <c r="S254" s="10"/>
      <c r="T254" s="8">
        <v>1</v>
      </c>
    </row>
    <row r="255" spans="1:26" ht="15.75" customHeight="1" outlineLevel="2" x14ac:dyDescent="0.35">
      <c r="A255" s="25" t="s">
        <v>495</v>
      </c>
      <c r="B255" s="25" t="s">
        <v>2461</v>
      </c>
      <c r="C255" s="26">
        <v>104137</v>
      </c>
      <c r="D255" s="25" t="s">
        <v>597</v>
      </c>
      <c r="E255" s="25" t="s">
        <v>595</v>
      </c>
      <c r="F255" s="26" t="s">
        <v>27</v>
      </c>
      <c r="G255" s="26" t="s">
        <v>27</v>
      </c>
      <c r="H255" s="26">
        <v>1</v>
      </c>
      <c r="I255" s="26">
        <v>8</v>
      </c>
      <c r="J255" s="26">
        <v>1</v>
      </c>
      <c r="K255" s="26">
        <v>138</v>
      </c>
      <c r="L255" s="26" t="s">
        <v>28</v>
      </c>
      <c r="M255" s="27">
        <v>1205</v>
      </c>
      <c r="N255" s="30">
        <v>1419459.81</v>
      </c>
      <c r="O255" s="26" t="s">
        <v>29</v>
      </c>
      <c r="P255" s="29"/>
      <c r="Q255" s="6"/>
      <c r="R255" s="29"/>
      <c r="S255" s="10"/>
      <c r="T255" s="8">
        <v>1</v>
      </c>
    </row>
    <row r="256" spans="1:26" ht="15.75" customHeight="1" outlineLevel="2" x14ac:dyDescent="0.35">
      <c r="A256" s="25" t="s">
        <v>495</v>
      </c>
      <c r="B256" s="25" t="s">
        <v>2461</v>
      </c>
      <c r="C256" s="26">
        <v>104197</v>
      </c>
      <c r="D256" s="25" t="s">
        <v>598</v>
      </c>
      <c r="E256" s="25" t="s">
        <v>599</v>
      </c>
      <c r="F256" s="26" t="s">
        <v>27</v>
      </c>
      <c r="G256" s="26" t="s">
        <v>27</v>
      </c>
      <c r="H256" s="26">
        <v>1</v>
      </c>
      <c r="I256" s="26">
        <v>7</v>
      </c>
      <c r="J256" s="26">
        <v>1</v>
      </c>
      <c r="K256" s="26">
        <v>138</v>
      </c>
      <c r="L256" s="26" t="s">
        <v>28</v>
      </c>
      <c r="M256" s="27">
        <v>1198</v>
      </c>
      <c r="N256" s="30">
        <v>1260159.6599999999</v>
      </c>
      <c r="O256" s="26" t="s">
        <v>29</v>
      </c>
      <c r="P256" s="29"/>
      <c r="Q256" s="6"/>
      <c r="R256" s="29"/>
      <c r="S256" s="10"/>
      <c r="T256" s="8">
        <v>1</v>
      </c>
    </row>
    <row r="257" spans="1:26" ht="15.75" customHeight="1" outlineLevel="2" x14ac:dyDescent="0.35">
      <c r="A257" s="25" t="s">
        <v>495</v>
      </c>
      <c r="B257" s="25" t="s">
        <v>2461</v>
      </c>
      <c r="C257" s="26">
        <v>104205</v>
      </c>
      <c r="D257" s="25" t="s">
        <v>600</v>
      </c>
      <c r="E257" s="25" t="s">
        <v>601</v>
      </c>
      <c r="F257" s="26" t="s">
        <v>27</v>
      </c>
      <c r="G257" s="26" t="s">
        <v>27</v>
      </c>
      <c r="H257" s="26">
        <v>1</v>
      </c>
      <c r="I257" s="26">
        <v>6</v>
      </c>
      <c r="J257" s="26">
        <v>1</v>
      </c>
      <c r="K257" s="26">
        <v>138</v>
      </c>
      <c r="L257" s="26" t="s">
        <v>28</v>
      </c>
      <c r="M257" s="27">
        <v>1204</v>
      </c>
      <c r="N257" s="30">
        <v>1076701.55</v>
      </c>
      <c r="O257" s="26" t="s">
        <v>29</v>
      </c>
      <c r="P257" s="29"/>
      <c r="Q257" s="6"/>
      <c r="R257" s="29"/>
      <c r="S257" s="10"/>
      <c r="T257" s="8">
        <v>1</v>
      </c>
    </row>
    <row r="258" spans="1:26" ht="15.75" customHeight="1" outlineLevel="2" x14ac:dyDescent="0.35">
      <c r="A258" s="25" t="s">
        <v>495</v>
      </c>
      <c r="B258" s="25" t="s">
        <v>2461</v>
      </c>
      <c r="C258" s="26">
        <v>156001</v>
      </c>
      <c r="D258" s="25" t="s">
        <v>602</v>
      </c>
      <c r="E258" s="25" t="s">
        <v>595</v>
      </c>
      <c r="F258" s="26" t="s">
        <v>27</v>
      </c>
      <c r="G258" s="26" t="s">
        <v>27</v>
      </c>
      <c r="H258" s="26">
        <v>1</v>
      </c>
      <c r="I258" s="26">
        <v>2</v>
      </c>
      <c r="J258" s="26">
        <v>1</v>
      </c>
      <c r="K258" s="26">
        <v>138</v>
      </c>
      <c r="L258" s="26" t="s">
        <v>28</v>
      </c>
      <c r="M258" s="27">
        <v>1210</v>
      </c>
      <c r="N258" s="28">
        <v>473808.36</v>
      </c>
      <c r="O258" s="26" t="s">
        <v>29</v>
      </c>
      <c r="P258" s="29"/>
      <c r="Q258" s="6"/>
      <c r="R258" s="29"/>
      <c r="S258" s="10"/>
      <c r="T258" s="8">
        <v>1</v>
      </c>
    </row>
    <row r="259" spans="1:26" ht="15.75" customHeight="1" outlineLevel="2" x14ac:dyDescent="0.35">
      <c r="A259" s="25" t="s">
        <v>495</v>
      </c>
      <c r="B259" s="25" t="s">
        <v>2461</v>
      </c>
      <c r="C259" s="26">
        <v>156012</v>
      </c>
      <c r="D259" s="25" t="s">
        <v>603</v>
      </c>
      <c r="E259" s="25" t="s">
        <v>604</v>
      </c>
      <c r="F259" s="26" t="s">
        <v>27</v>
      </c>
      <c r="G259" s="26" t="s">
        <v>27</v>
      </c>
      <c r="H259" s="26">
        <v>1</v>
      </c>
      <c r="I259" s="26">
        <v>6</v>
      </c>
      <c r="J259" s="26">
        <v>1</v>
      </c>
      <c r="K259" s="26">
        <v>138</v>
      </c>
      <c r="L259" s="26" t="s">
        <v>28</v>
      </c>
      <c r="M259" s="27">
        <v>1202</v>
      </c>
      <c r="N259" s="28">
        <v>1154735.28</v>
      </c>
      <c r="O259" s="26" t="s">
        <v>29</v>
      </c>
      <c r="P259" s="29"/>
      <c r="Q259" s="6"/>
      <c r="R259" s="29"/>
      <c r="S259" s="10"/>
      <c r="T259" s="8">
        <v>1</v>
      </c>
    </row>
    <row r="260" spans="1:26" ht="15.75" customHeight="1" outlineLevel="2" x14ac:dyDescent="0.35">
      <c r="A260" s="25" t="s">
        <v>495</v>
      </c>
      <c r="B260" s="25" t="s">
        <v>2461</v>
      </c>
      <c r="C260" s="26">
        <v>156019</v>
      </c>
      <c r="D260" s="25" t="s">
        <v>606</v>
      </c>
      <c r="E260" s="25" t="s">
        <v>607</v>
      </c>
      <c r="F260" s="26" t="s">
        <v>27</v>
      </c>
      <c r="G260" s="26" t="s">
        <v>27</v>
      </c>
      <c r="H260" s="26">
        <v>1</v>
      </c>
      <c r="I260" s="26">
        <v>4</v>
      </c>
      <c r="J260" s="26">
        <v>1</v>
      </c>
      <c r="K260" s="26">
        <v>138</v>
      </c>
      <c r="L260" s="26" t="s">
        <v>28</v>
      </c>
      <c r="M260" s="27">
        <v>1208</v>
      </c>
      <c r="N260" s="28">
        <v>660613.19999999995</v>
      </c>
      <c r="O260" s="26" t="s">
        <v>29</v>
      </c>
      <c r="P260" s="29"/>
      <c r="Q260" s="6"/>
      <c r="R260" s="29"/>
      <c r="S260" s="10"/>
      <c r="T260" s="8">
        <v>1</v>
      </c>
    </row>
    <row r="261" spans="1:26" ht="15.75" customHeight="1" outlineLevel="2" x14ac:dyDescent="0.35">
      <c r="A261" s="25" t="s">
        <v>495</v>
      </c>
      <c r="B261" s="25" t="s">
        <v>2461</v>
      </c>
      <c r="C261" s="26">
        <v>156020</v>
      </c>
      <c r="D261" s="25" t="s">
        <v>608</v>
      </c>
      <c r="E261" s="25" t="s">
        <v>601</v>
      </c>
      <c r="F261" s="26" t="s">
        <v>27</v>
      </c>
      <c r="G261" s="26" t="s">
        <v>27</v>
      </c>
      <c r="H261" s="26">
        <v>1</v>
      </c>
      <c r="I261" s="26">
        <v>4</v>
      </c>
      <c r="J261" s="26">
        <v>1</v>
      </c>
      <c r="K261" s="26">
        <v>138</v>
      </c>
      <c r="L261" s="26" t="s">
        <v>28</v>
      </c>
      <c r="M261" s="27">
        <v>1207</v>
      </c>
      <c r="N261" s="28">
        <v>412734.71</v>
      </c>
      <c r="O261" s="26" t="s">
        <v>29</v>
      </c>
      <c r="P261" s="29"/>
      <c r="Q261" s="6"/>
      <c r="R261" s="29"/>
      <c r="S261" s="10"/>
      <c r="T261" s="8">
        <v>1</v>
      </c>
    </row>
    <row r="262" spans="1:26" ht="15.75" customHeight="1" outlineLevel="1" x14ac:dyDescent="0.35">
      <c r="A262" s="25"/>
      <c r="B262" s="53" t="s">
        <v>2462</v>
      </c>
      <c r="C262" s="26"/>
      <c r="D262" s="25"/>
      <c r="E262" s="25"/>
      <c r="F262" s="26"/>
      <c r="G262" s="26"/>
      <c r="H262" s="26">
        <f t="shared" ref="H262:I262" si="14">SUBTOTAL(9,H250:H261)</f>
        <v>12</v>
      </c>
      <c r="I262" s="26">
        <f t="shared" si="14"/>
        <v>73</v>
      </c>
      <c r="J262" s="26"/>
      <c r="K262" s="26"/>
      <c r="L262" s="26"/>
      <c r="M262" s="27"/>
      <c r="N262" s="28">
        <f>SUBTOTAL(9,N250:N261)</f>
        <v>11732781.699999999</v>
      </c>
      <c r="O262" s="26"/>
      <c r="P262" s="29"/>
      <c r="Q262" s="6"/>
      <c r="R262" s="29"/>
      <c r="S262" s="10"/>
      <c r="T262" s="8"/>
    </row>
    <row r="263" spans="1:26" ht="25.5" customHeight="1" x14ac:dyDescent="0.35">
      <c r="A263" s="19"/>
      <c r="B263" s="19"/>
      <c r="C263" s="19"/>
      <c r="D263" s="50"/>
      <c r="E263" s="50"/>
      <c r="F263" s="19"/>
      <c r="G263" s="19"/>
      <c r="H263" s="48"/>
      <c r="I263" s="48"/>
      <c r="J263" s="19"/>
      <c r="K263" s="48"/>
      <c r="L263" s="54"/>
      <c r="M263" s="48"/>
      <c r="N263" s="48"/>
      <c r="O263" s="19"/>
      <c r="P263" s="45"/>
      <c r="Q263" s="51"/>
      <c r="R263" s="26"/>
      <c r="S263" s="55"/>
      <c r="T263" s="44"/>
      <c r="U263" s="54"/>
      <c r="V263" s="50"/>
      <c r="W263" s="19"/>
      <c r="X263" s="19"/>
      <c r="Y263" s="19"/>
      <c r="Z263" s="19"/>
    </row>
    <row r="264" spans="1:26" ht="25.5" customHeight="1" x14ac:dyDescent="0.35">
      <c r="A264" s="19"/>
      <c r="B264" s="56" t="s">
        <v>2377</v>
      </c>
      <c r="C264" s="19"/>
      <c r="D264" s="50"/>
      <c r="E264" s="50"/>
      <c r="F264" s="57"/>
      <c r="G264" s="57"/>
      <c r="H264" s="171" t="s">
        <v>2377</v>
      </c>
      <c r="I264" s="172"/>
      <c r="J264" s="19"/>
      <c r="K264" s="48"/>
      <c r="L264" s="54"/>
      <c r="M264" s="48"/>
      <c r="N264" s="48"/>
      <c r="O264" s="19"/>
      <c r="P264" s="51"/>
      <c r="Q264" s="51"/>
      <c r="R264" s="26"/>
      <c r="S264" s="55"/>
      <c r="T264" s="44"/>
      <c r="U264" s="54"/>
      <c r="V264" s="50"/>
      <c r="W264" s="19"/>
      <c r="X264" s="19"/>
      <c r="Y264" s="19"/>
      <c r="Z264" s="19"/>
    </row>
    <row r="265" spans="1:26" ht="25.5" customHeight="1" x14ac:dyDescent="0.35">
      <c r="A265" s="19"/>
      <c r="B265" s="19"/>
      <c r="C265" s="19"/>
      <c r="D265" s="50"/>
      <c r="E265" s="50"/>
      <c r="F265" s="19"/>
      <c r="G265" s="19"/>
      <c r="H265" s="19"/>
      <c r="I265" s="19"/>
      <c r="J265" s="19"/>
      <c r="K265" s="48"/>
      <c r="L265" s="54"/>
      <c r="M265" s="48"/>
      <c r="N265" s="48"/>
      <c r="O265" s="19"/>
      <c r="P265" s="51"/>
      <c r="Q265" s="51"/>
      <c r="R265" s="26"/>
      <c r="S265" s="55"/>
      <c r="T265" s="44"/>
      <c r="U265" s="54"/>
      <c r="V265" s="50"/>
      <c r="W265" s="19"/>
      <c r="X265" s="19"/>
      <c r="Y265" s="19"/>
      <c r="Z265" s="19"/>
    </row>
    <row r="266" spans="1:26" ht="25.5" customHeight="1" x14ac:dyDescent="0.35">
      <c r="A266" s="19"/>
      <c r="B266" s="19"/>
      <c r="C266" s="19"/>
      <c r="D266" s="50"/>
      <c r="E266" s="50"/>
      <c r="F266" s="19"/>
      <c r="G266" s="19"/>
      <c r="H266" s="48"/>
      <c r="I266" s="48"/>
      <c r="J266" s="19"/>
      <c r="K266" s="48"/>
      <c r="L266" s="54"/>
      <c r="M266" s="48"/>
      <c r="N266" s="48"/>
      <c r="O266" s="19"/>
      <c r="P266" s="51"/>
      <c r="Q266" s="51"/>
      <c r="R266" s="26"/>
      <c r="S266" s="55"/>
      <c r="T266" s="44"/>
      <c r="U266" s="54"/>
      <c r="V266" s="50"/>
      <c r="W266" s="19"/>
      <c r="X266" s="19"/>
      <c r="Y266" s="19"/>
      <c r="Z266" s="19"/>
    </row>
    <row r="267" spans="1:26" ht="25.5" customHeight="1" x14ac:dyDescent="0.35">
      <c r="A267" s="19"/>
      <c r="B267" s="19"/>
      <c r="C267" s="58"/>
      <c r="D267" s="78" t="s">
        <v>2432</v>
      </c>
      <c r="E267" s="50"/>
      <c r="F267" s="19"/>
      <c r="G267" s="19"/>
      <c r="H267" s="48"/>
      <c r="I267" s="48"/>
      <c r="J267" s="19"/>
      <c r="K267" s="48"/>
      <c r="L267" s="54"/>
      <c r="M267" s="173" t="s">
        <v>2433</v>
      </c>
      <c r="N267" s="172"/>
      <c r="O267" s="172"/>
      <c r="P267" s="51"/>
      <c r="Q267" s="51"/>
      <c r="R267" s="26"/>
      <c r="S267" s="55"/>
      <c r="T267" s="44"/>
      <c r="U267" s="54"/>
      <c r="V267" s="50"/>
      <c r="W267" s="19"/>
      <c r="X267" s="19"/>
      <c r="Y267" s="19"/>
      <c r="Z267" s="19"/>
    </row>
    <row r="268" spans="1:26" ht="29.25" customHeight="1" x14ac:dyDescent="0.35">
      <c r="A268" s="19"/>
      <c r="B268" s="19"/>
      <c r="C268" s="59"/>
      <c r="D268" s="56" t="s">
        <v>2434</v>
      </c>
      <c r="E268" s="60"/>
      <c r="F268" s="56"/>
      <c r="G268" s="56"/>
      <c r="H268" s="61"/>
      <c r="I268" s="61"/>
      <c r="J268" s="56"/>
      <c r="K268" s="61"/>
      <c r="L268" s="62"/>
      <c r="M268" s="174" t="s">
        <v>2435</v>
      </c>
      <c r="N268" s="172"/>
      <c r="O268" s="172"/>
      <c r="P268" s="63"/>
      <c r="Q268" s="51"/>
      <c r="R268" s="26"/>
      <c r="S268" s="55"/>
      <c r="T268" s="44"/>
      <c r="U268" s="54"/>
      <c r="V268" s="50"/>
      <c r="W268" s="19"/>
      <c r="X268" s="19"/>
      <c r="Y268" s="19"/>
      <c r="Z268" s="19"/>
    </row>
    <row r="269" spans="1:26" ht="15.75" customHeight="1" outlineLevel="2" x14ac:dyDescent="0.35">
      <c r="A269" s="25" t="s">
        <v>495</v>
      </c>
      <c r="B269" s="25" t="s">
        <v>2411</v>
      </c>
      <c r="C269" s="26">
        <v>104311</v>
      </c>
      <c r="D269" s="25" t="s">
        <v>615</v>
      </c>
      <c r="E269" s="25" t="s">
        <v>614</v>
      </c>
      <c r="F269" s="26" t="s">
        <v>27</v>
      </c>
      <c r="G269" s="26" t="s">
        <v>27</v>
      </c>
      <c r="H269" s="26">
        <v>1</v>
      </c>
      <c r="I269" s="26">
        <v>2</v>
      </c>
      <c r="J269" s="26">
        <v>1</v>
      </c>
      <c r="K269" s="26">
        <v>138</v>
      </c>
      <c r="L269" s="26" t="s">
        <v>28</v>
      </c>
      <c r="M269" s="27">
        <v>1223</v>
      </c>
      <c r="N269" s="28">
        <v>181750.86</v>
      </c>
      <c r="O269" s="26" t="s">
        <v>29</v>
      </c>
      <c r="P269" s="29"/>
      <c r="Q269" s="6"/>
      <c r="R269" s="29"/>
      <c r="S269" s="10"/>
      <c r="T269" s="8">
        <v>1</v>
      </c>
    </row>
    <row r="270" spans="1:26" ht="15.75" customHeight="1" outlineLevel="2" x14ac:dyDescent="0.35">
      <c r="A270" s="25" t="s">
        <v>495</v>
      </c>
      <c r="B270" s="25" t="s">
        <v>2411</v>
      </c>
      <c r="C270" s="26">
        <v>104359</v>
      </c>
      <c r="D270" s="25" t="s">
        <v>619</v>
      </c>
      <c r="E270" s="25" t="s">
        <v>617</v>
      </c>
      <c r="F270" s="26" t="s">
        <v>27</v>
      </c>
      <c r="G270" s="26" t="s">
        <v>27</v>
      </c>
      <c r="H270" s="26">
        <v>1</v>
      </c>
      <c r="I270" s="26">
        <v>3</v>
      </c>
      <c r="J270" s="26">
        <v>1</v>
      </c>
      <c r="K270" s="26">
        <v>138</v>
      </c>
      <c r="L270" s="26" t="s">
        <v>28</v>
      </c>
      <c r="M270" s="27">
        <v>1220</v>
      </c>
      <c r="N270" s="28">
        <v>286571.15999999997</v>
      </c>
      <c r="O270" s="26" t="s">
        <v>29</v>
      </c>
      <c r="P270" s="29"/>
      <c r="Q270" s="6"/>
      <c r="R270" s="29"/>
      <c r="S270" s="10"/>
      <c r="T270" s="8">
        <v>1</v>
      </c>
    </row>
    <row r="271" spans="1:26" ht="15.75" customHeight="1" outlineLevel="2" x14ac:dyDescent="0.35">
      <c r="A271" s="25" t="s">
        <v>495</v>
      </c>
      <c r="B271" s="25" t="s">
        <v>2411</v>
      </c>
      <c r="C271" s="26">
        <v>156513</v>
      </c>
      <c r="D271" s="25" t="s">
        <v>626</v>
      </c>
      <c r="E271" s="25" t="s">
        <v>611</v>
      </c>
      <c r="F271" s="26" t="s">
        <v>27</v>
      </c>
      <c r="G271" s="26" t="s">
        <v>27</v>
      </c>
      <c r="H271" s="26">
        <v>1</v>
      </c>
      <c r="I271" s="26">
        <v>2</v>
      </c>
      <c r="J271" s="26">
        <v>1</v>
      </c>
      <c r="K271" s="26">
        <v>138</v>
      </c>
      <c r="L271" s="26" t="s">
        <v>28</v>
      </c>
      <c r="M271" s="27">
        <v>1217</v>
      </c>
      <c r="N271" s="28">
        <v>199320.9</v>
      </c>
      <c r="O271" s="26" t="s">
        <v>29</v>
      </c>
      <c r="P271" s="29"/>
      <c r="Q271" s="6"/>
      <c r="R271" s="29"/>
      <c r="S271" s="10"/>
      <c r="T271" s="8">
        <v>1</v>
      </c>
    </row>
    <row r="272" spans="1:26" ht="15.75" customHeight="1" outlineLevel="1" x14ac:dyDescent="0.35">
      <c r="A272" s="25"/>
      <c r="B272" s="53" t="s">
        <v>2463</v>
      </c>
      <c r="C272" s="26"/>
      <c r="D272" s="25"/>
      <c r="E272" s="25"/>
      <c r="F272" s="26"/>
      <c r="G272" s="26"/>
      <c r="H272" s="26">
        <f t="shared" ref="H272:I272" si="15">SUBTOTAL(9,H269:H271)</f>
        <v>3</v>
      </c>
      <c r="I272" s="26">
        <f t="shared" si="15"/>
        <v>7</v>
      </c>
      <c r="J272" s="26"/>
      <c r="K272" s="26"/>
      <c r="L272" s="26"/>
      <c r="M272" s="27"/>
      <c r="N272" s="28">
        <f>SUBTOTAL(9,N269:N271)</f>
        <v>667642.91999999993</v>
      </c>
      <c r="O272" s="26"/>
      <c r="P272" s="29"/>
      <c r="Q272" s="6"/>
      <c r="R272" s="29"/>
      <c r="S272" s="10"/>
      <c r="T272" s="8"/>
    </row>
    <row r="273" spans="1:26" ht="25.5" customHeight="1" x14ac:dyDescent="0.35">
      <c r="A273" s="19"/>
      <c r="B273" s="19"/>
      <c r="C273" s="19"/>
      <c r="D273" s="50"/>
      <c r="E273" s="50"/>
      <c r="F273" s="19"/>
      <c r="G273" s="19"/>
      <c r="H273" s="48"/>
      <c r="I273" s="48"/>
      <c r="J273" s="19"/>
      <c r="K273" s="48"/>
      <c r="L273" s="54"/>
      <c r="M273" s="48"/>
      <c r="N273" s="48"/>
      <c r="O273" s="19"/>
      <c r="P273" s="45"/>
      <c r="Q273" s="51"/>
      <c r="R273" s="26"/>
      <c r="S273" s="55"/>
      <c r="T273" s="44"/>
      <c r="U273" s="54"/>
      <c r="V273" s="50"/>
      <c r="W273" s="19"/>
      <c r="X273" s="19"/>
      <c r="Y273" s="19"/>
      <c r="Z273" s="19"/>
    </row>
    <row r="274" spans="1:26" ht="25.5" customHeight="1" x14ac:dyDescent="0.35">
      <c r="A274" s="19"/>
      <c r="B274" s="56" t="s">
        <v>2377</v>
      </c>
      <c r="C274" s="19"/>
      <c r="D274" s="50"/>
      <c r="E274" s="50"/>
      <c r="F274" s="57"/>
      <c r="G274" s="57"/>
      <c r="H274" s="171" t="s">
        <v>2377</v>
      </c>
      <c r="I274" s="172"/>
      <c r="J274" s="19"/>
      <c r="K274" s="48"/>
      <c r="L274" s="54"/>
      <c r="M274" s="48"/>
      <c r="N274" s="48"/>
      <c r="O274" s="19"/>
      <c r="P274" s="51"/>
      <c r="Q274" s="51"/>
      <c r="R274" s="26"/>
      <c r="S274" s="55"/>
      <c r="T274" s="44"/>
      <c r="U274" s="54"/>
      <c r="V274" s="50"/>
      <c r="W274" s="19"/>
      <c r="X274" s="19"/>
      <c r="Y274" s="19"/>
      <c r="Z274" s="19"/>
    </row>
    <row r="275" spans="1:26" ht="25.5" customHeight="1" x14ac:dyDescent="0.35">
      <c r="A275" s="19"/>
      <c r="B275" s="19"/>
      <c r="C275" s="19"/>
      <c r="D275" s="50"/>
      <c r="E275" s="50"/>
      <c r="F275" s="19"/>
      <c r="G275" s="19"/>
      <c r="H275" s="19"/>
      <c r="I275" s="19"/>
      <c r="J275" s="19"/>
      <c r="K275" s="48"/>
      <c r="L275" s="54"/>
      <c r="M275" s="48"/>
      <c r="N275" s="48"/>
      <c r="O275" s="19"/>
      <c r="P275" s="51"/>
      <c r="Q275" s="51"/>
      <c r="R275" s="26"/>
      <c r="S275" s="55"/>
      <c r="T275" s="44"/>
      <c r="U275" s="54"/>
      <c r="V275" s="50"/>
      <c r="W275" s="19"/>
      <c r="X275" s="19"/>
      <c r="Y275" s="19"/>
      <c r="Z275" s="19"/>
    </row>
    <row r="276" spans="1:26" ht="25.5" customHeight="1" x14ac:dyDescent="0.35">
      <c r="A276" s="19"/>
      <c r="B276" s="19"/>
      <c r="C276" s="19"/>
      <c r="D276" s="50"/>
      <c r="E276" s="50"/>
      <c r="F276" s="19"/>
      <c r="G276" s="19"/>
      <c r="H276" s="48"/>
      <c r="I276" s="48"/>
      <c r="J276" s="19"/>
      <c r="K276" s="48"/>
      <c r="L276" s="54"/>
      <c r="M276" s="48"/>
      <c r="N276" s="48"/>
      <c r="O276" s="19"/>
      <c r="P276" s="51"/>
      <c r="Q276" s="51"/>
      <c r="R276" s="26"/>
      <c r="S276" s="55"/>
      <c r="T276" s="44"/>
      <c r="U276" s="54"/>
      <c r="V276" s="50"/>
      <c r="W276" s="19"/>
      <c r="X276" s="19"/>
      <c r="Y276" s="19"/>
      <c r="Z276" s="19"/>
    </row>
    <row r="277" spans="1:26" ht="25.5" customHeight="1" x14ac:dyDescent="0.35">
      <c r="A277" s="19"/>
      <c r="B277" s="19"/>
      <c r="C277" s="58"/>
      <c r="D277" s="78" t="s">
        <v>2432</v>
      </c>
      <c r="E277" s="50"/>
      <c r="F277" s="19"/>
      <c r="G277" s="19"/>
      <c r="H277" s="48"/>
      <c r="I277" s="48"/>
      <c r="J277" s="19"/>
      <c r="K277" s="48"/>
      <c r="L277" s="54"/>
      <c r="M277" s="173" t="s">
        <v>2433</v>
      </c>
      <c r="N277" s="172"/>
      <c r="O277" s="172"/>
      <c r="P277" s="51"/>
      <c r="Q277" s="51"/>
      <c r="R277" s="26"/>
      <c r="S277" s="55"/>
      <c r="T277" s="44"/>
      <c r="U277" s="54"/>
      <c r="V277" s="50"/>
      <c r="W277" s="19"/>
      <c r="X277" s="19"/>
      <c r="Y277" s="19"/>
      <c r="Z277" s="19"/>
    </row>
    <row r="278" spans="1:26" ht="29.25" customHeight="1" x14ac:dyDescent="0.35">
      <c r="A278" s="19"/>
      <c r="B278" s="19"/>
      <c r="C278" s="59"/>
      <c r="D278" s="56" t="s">
        <v>2434</v>
      </c>
      <c r="E278" s="60"/>
      <c r="F278" s="56"/>
      <c r="G278" s="56"/>
      <c r="H278" s="61"/>
      <c r="I278" s="61"/>
      <c r="J278" s="56"/>
      <c r="K278" s="61"/>
      <c r="L278" s="62"/>
      <c r="M278" s="174" t="s">
        <v>2435</v>
      </c>
      <c r="N278" s="172"/>
      <c r="O278" s="172"/>
      <c r="P278" s="63"/>
      <c r="Q278" s="51"/>
      <c r="R278" s="26"/>
      <c r="S278" s="55"/>
      <c r="T278" s="44"/>
      <c r="U278" s="54"/>
      <c r="V278" s="50"/>
      <c r="W278" s="19"/>
      <c r="X278" s="19"/>
      <c r="Y278" s="19"/>
      <c r="Z278" s="19"/>
    </row>
    <row r="279" spans="1:26" ht="15.75" customHeight="1" outlineLevel="2" x14ac:dyDescent="0.35">
      <c r="A279" s="25" t="s">
        <v>634</v>
      </c>
      <c r="B279" s="25" t="s">
        <v>2464</v>
      </c>
      <c r="C279" s="26">
        <v>159536</v>
      </c>
      <c r="D279" s="25" t="s">
        <v>657</v>
      </c>
      <c r="E279" s="25" t="s">
        <v>658</v>
      </c>
      <c r="F279" s="26" t="s">
        <v>215</v>
      </c>
      <c r="G279" s="26" t="s">
        <v>215</v>
      </c>
      <c r="H279" s="26">
        <v>1</v>
      </c>
      <c r="I279" s="26">
        <v>2</v>
      </c>
      <c r="J279" s="26">
        <v>1</v>
      </c>
      <c r="K279" s="26">
        <v>138</v>
      </c>
      <c r="L279" s="26" t="s">
        <v>28</v>
      </c>
      <c r="M279" s="27">
        <v>1243</v>
      </c>
      <c r="N279" s="28">
        <v>204313.15</v>
      </c>
      <c r="O279" s="26" t="s">
        <v>29</v>
      </c>
      <c r="P279" s="29"/>
      <c r="Q279" s="6"/>
      <c r="R279" s="29"/>
      <c r="S279" s="10"/>
      <c r="T279" s="8">
        <v>1</v>
      </c>
    </row>
    <row r="280" spans="1:26" ht="15.75" customHeight="1" outlineLevel="1" x14ac:dyDescent="0.35">
      <c r="A280" s="25"/>
      <c r="B280" s="53" t="s">
        <v>2465</v>
      </c>
      <c r="C280" s="26"/>
      <c r="D280" s="25"/>
      <c r="E280" s="25"/>
      <c r="F280" s="26"/>
      <c r="G280" s="26"/>
      <c r="H280" s="26">
        <f t="shared" ref="H280:I280" si="16">SUBTOTAL(9,H279)</f>
        <v>1</v>
      </c>
      <c r="I280" s="26">
        <f t="shared" si="16"/>
        <v>2</v>
      </c>
      <c r="J280" s="26"/>
      <c r="K280" s="26"/>
      <c r="L280" s="26"/>
      <c r="M280" s="27"/>
      <c r="N280" s="28">
        <f>SUBTOTAL(9,N279)</f>
        <v>204313.15</v>
      </c>
      <c r="O280" s="26"/>
      <c r="P280" s="29"/>
      <c r="Q280" s="6"/>
      <c r="R280" s="29"/>
      <c r="S280" s="10"/>
      <c r="T280" s="8"/>
    </row>
    <row r="281" spans="1:26" ht="25.5" customHeight="1" x14ac:dyDescent="0.35">
      <c r="A281" s="19"/>
      <c r="B281" s="19"/>
      <c r="C281" s="19"/>
      <c r="D281" s="50"/>
      <c r="E281" s="50"/>
      <c r="F281" s="19"/>
      <c r="G281" s="19"/>
      <c r="H281" s="48"/>
      <c r="I281" s="48"/>
      <c r="J281" s="19"/>
      <c r="K281" s="48"/>
      <c r="L281" s="54"/>
      <c r="M281" s="48"/>
      <c r="N281" s="48"/>
      <c r="O281" s="19"/>
      <c r="P281" s="45"/>
      <c r="Q281" s="51"/>
      <c r="R281" s="26"/>
      <c r="S281" s="55"/>
      <c r="T281" s="44"/>
      <c r="U281" s="54"/>
      <c r="V281" s="50"/>
      <c r="W281" s="19"/>
      <c r="X281" s="19"/>
      <c r="Y281" s="19"/>
      <c r="Z281" s="19"/>
    </row>
    <row r="282" spans="1:26" ht="25.5" customHeight="1" x14ac:dyDescent="0.35">
      <c r="A282" s="19"/>
      <c r="B282" s="56" t="s">
        <v>2377</v>
      </c>
      <c r="C282" s="19"/>
      <c r="D282" s="50"/>
      <c r="E282" s="50"/>
      <c r="F282" s="57"/>
      <c r="G282" s="57"/>
      <c r="H282" s="171" t="s">
        <v>2377</v>
      </c>
      <c r="I282" s="172"/>
      <c r="J282" s="19"/>
      <c r="K282" s="48"/>
      <c r="L282" s="54"/>
      <c r="M282" s="48"/>
      <c r="N282" s="48"/>
      <c r="O282" s="19"/>
      <c r="P282" s="51"/>
      <c r="Q282" s="51"/>
      <c r="R282" s="26"/>
      <c r="S282" s="55"/>
      <c r="T282" s="44"/>
      <c r="U282" s="54"/>
      <c r="V282" s="50"/>
      <c r="W282" s="19"/>
      <c r="X282" s="19"/>
      <c r="Y282" s="19"/>
      <c r="Z282" s="19"/>
    </row>
    <row r="283" spans="1:26" ht="25.5" customHeight="1" x14ac:dyDescent="0.35">
      <c r="A283" s="19"/>
      <c r="B283" s="19"/>
      <c r="C283" s="19"/>
      <c r="D283" s="50"/>
      <c r="E283" s="50"/>
      <c r="F283" s="19"/>
      <c r="G283" s="19"/>
      <c r="H283" s="19"/>
      <c r="I283" s="19"/>
      <c r="J283" s="19"/>
      <c r="K283" s="48"/>
      <c r="L283" s="54"/>
      <c r="M283" s="48"/>
      <c r="N283" s="48"/>
      <c r="O283" s="19"/>
      <c r="P283" s="51"/>
      <c r="Q283" s="51"/>
      <c r="R283" s="26"/>
      <c r="S283" s="55"/>
      <c r="T283" s="44"/>
      <c r="U283" s="54"/>
      <c r="V283" s="50"/>
      <c r="W283" s="19"/>
      <c r="X283" s="19"/>
      <c r="Y283" s="19"/>
      <c r="Z283" s="19"/>
    </row>
    <row r="284" spans="1:26" ht="25.5" customHeight="1" x14ac:dyDescent="0.35">
      <c r="A284" s="19"/>
      <c r="B284" s="19"/>
      <c r="C284" s="19"/>
      <c r="D284" s="50"/>
      <c r="E284" s="50"/>
      <c r="F284" s="19"/>
      <c r="G284" s="19"/>
      <c r="H284" s="48"/>
      <c r="I284" s="48"/>
      <c r="J284" s="19"/>
      <c r="K284" s="48"/>
      <c r="L284" s="54"/>
      <c r="M284" s="48"/>
      <c r="N284" s="48"/>
      <c r="O284" s="19"/>
      <c r="P284" s="51"/>
      <c r="Q284" s="51"/>
      <c r="R284" s="26"/>
      <c r="S284" s="55"/>
      <c r="T284" s="44"/>
      <c r="U284" s="54"/>
      <c r="V284" s="50"/>
      <c r="W284" s="19"/>
      <c r="X284" s="19"/>
      <c r="Y284" s="19"/>
      <c r="Z284" s="19"/>
    </row>
    <row r="285" spans="1:26" ht="25.5" customHeight="1" x14ac:dyDescent="0.35">
      <c r="A285" s="19"/>
      <c r="B285" s="19"/>
      <c r="C285" s="58"/>
      <c r="D285" s="78" t="s">
        <v>2432</v>
      </c>
      <c r="E285" s="50"/>
      <c r="F285" s="19"/>
      <c r="G285" s="19"/>
      <c r="H285" s="48"/>
      <c r="I285" s="48"/>
      <c r="J285" s="19"/>
      <c r="K285" s="48"/>
      <c r="L285" s="54"/>
      <c r="M285" s="173" t="s">
        <v>2433</v>
      </c>
      <c r="N285" s="172"/>
      <c r="O285" s="172"/>
      <c r="P285" s="51"/>
      <c r="Q285" s="51"/>
      <c r="R285" s="26"/>
      <c r="S285" s="55"/>
      <c r="T285" s="44"/>
      <c r="U285" s="54"/>
      <c r="V285" s="50"/>
      <c r="W285" s="19"/>
      <c r="X285" s="19"/>
      <c r="Y285" s="19"/>
      <c r="Z285" s="19"/>
    </row>
    <row r="286" spans="1:26" ht="29.25" customHeight="1" x14ac:dyDescent="0.35">
      <c r="A286" s="19"/>
      <c r="B286" s="19"/>
      <c r="C286" s="59"/>
      <c r="D286" s="56" t="s">
        <v>2434</v>
      </c>
      <c r="E286" s="60"/>
      <c r="F286" s="56"/>
      <c r="G286" s="56"/>
      <c r="H286" s="61"/>
      <c r="I286" s="61"/>
      <c r="J286" s="56"/>
      <c r="K286" s="61"/>
      <c r="L286" s="62"/>
      <c r="M286" s="174" t="s">
        <v>2435</v>
      </c>
      <c r="N286" s="172"/>
      <c r="O286" s="172"/>
      <c r="P286" s="63"/>
      <c r="Q286" s="51"/>
      <c r="R286" s="26"/>
      <c r="S286" s="55"/>
      <c r="T286" s="44"/>
      <c r="U286" s="54"/>
      <c r="V286" s="50"/>
      <c r="W286" s="19"/>
      <c r="X286" s="19"/>
      <c r="Y286" s="19"/>
      <c r="Z286" s="19"/>
    </row>
    <row r="287" spans="1:26" ht="15.75" customHeight="1" outlineLevel="2" x14ac:dyDescent="0.35">
      <c r="A287" s="25" t="s">
        <v>682</v>
      </c>
      <c r="B287" s="25" t="s">
        <v>2466</v>
      </c>
      <c r="C287" s="26">
        <v>164505</v>
      </c>
      <c r="D287" s="25" t="s">
        <v>692</v>
      </c>
      <c r="E287" s="25" t="s">
        <v>693</v>
      </c>
      <c r="F287" s="26" t="s">
        <v>555</v>
      </c>
      <c r="G287" s="26" t="s">
        <v>555</v>
      </c>
      <c r="H287" s="26">
        <v>1</v>
      </c>
      <c r="I287" s="26">
        <v>4</v>
      </c>
      <c r="J287" s="26">
        <v>1</v>
      </c>
      <c r="K287" s="26">
        <v>138</v>
      </c>
      <c r="L287" s="26" t="s">
        <v>28</v>
      </c>
      <c r="M287" s="27">
        <v>1269</v>
      </c>
      <c r="N287" s="28">
        <v>80008.2</v>
      </c>
      <c r="O287" s="26" t="s">
        <v>29</v>
      </c>
      <c r="P287" s="29"/>
      <c r="Q287" s="6"/>
      <c r="R287" s="29"/>
      <c r="S287" s="10"/>
      <c r="T287" s="8">
        <v>1</v>
      </c>
    </row>
    <row r="288" spans="1:26" ht="15.75" customHeight="1" outlineLevel="1" x14ac:dyDescent="0.35">
      <c r="A288" s="25"/>
      <c r="B288" s="53" t="s">
        <v>2467</v>
      </c>
      <c r="C288" s="26"/>
      <c r="D288" s="25"/>
      <c r="E288" s="25"/>
      <c r="F288" s="26"/>
      <c r="G288" s="26"/>
      <c r="H288" s="26">
        <f t="shared" ref="H288:I288" si="17">SUBTOTAL(9,H287)</f>
        <v>1</v>
      </c>
      <c r="I288" s="26">
        <f t="shared" si="17"/>
        <v>4</v>
      </c>
      <c r="J288" s="26"/>
      <c r="K288" s="26"/>
      <c r="L288" s="26"/>
      <c r="M288" s="27"/>
      <c r="N288" s="28">
        <f>SUBTOTAL(9,N287)</f>
        <v>80008.2</v>
      </c>
      <c r="O288" s="26"/>
      <c r="P288" s="29"/>
      <c r="Q288" s="6"/>
      <c r="R288" s="29"/>
      <c r="S288" s="10"/>
      <c r="T288" s="8"/>
    </row>
    <row r="289" spans="1:26" ht="25.5" customHeight="1" x14ac:dyDescent="0.35">
      <c r="A289" s="19"/>
      <c r="B289" s="19"/>
      <c r="C289" s="19"/>
      <c r="D289" s="50"/>
      <c r="E289" s="50"/>
      <c r="F289" s="19"/>
      <c r="G289" s="19"/>
      <c r="H289" s="48"/>
      <c r="I289" s="48"/>
      <c r="J289" s="19"/>
      <c r="K289" s="48"/>
      <c r="L289" s="54"/>
      <c r="M289" s="48"/>
      <c r="N289" s="48"/>
      <c r="O289" s="19"/>
      <c r="P289" s="45"/>
      <c r="Q289" s="51"/>
      <c r="R289" s="26"/>
      <c r="S289" s="55"/>
      <c r="T289" s="44"/>
      <c r="U289" s="54"/>
      <c r="V289" s="50"/>
      <c r="W289" s="19"/>
      <c r="X289" s="19"/>
      <c r="Y289" s="19"/>
      <c r="Z289" s="19"/>
    </row>
    <row r="290" spans="1:26" ht="25.5" customHeight="1" x14ac:dyDescent="0.35">
      <c r="A290" s="19"/>
      <c r="B290" s="56" t="s">
        <v>2377</v>
      </c>
      <c r="C290" s="19"/>
      <c r="D290" s="50"/>
      <c r="E290" s="50"/>
      <c r="F290" s="57"/>
      <c r="G290" s="57"/>
      <c r="H290" s="171" t="s">
        <v>2377</v>
      </c>
      <c r="I290" s="172"/>
      <c r="J290" s="19"/>
      <c r="K290" s="48"/>
      <c r="L290" s="54"/>
      <c r="M290" s="48"/>
      <c r="N290" s="48"/>
      <c r="O290" s="19"/>
      <c r="P290" s="51"/>
      <c r="Q290" s="51"/>
      <c r="R290" s="26"/>
      <c r="S290" s="55"/>
      <c r="T290" s="44"/>
      <c r="U290" s="54"/>
      <c r="V290" s="50"/>
      <c r="W290" s="19"/>
      <c r="X290" s="19"/>
      <c r="Y290" s="19"/>
      <c r="Z290" s="19"/>
    </row>
    <row r="291" spans="1:26" ht="25.5" customHeight="1" x14ac:dyDescent="0.35">
      <c r="A291" s="19"/>
      <c r="B291" s="19"/>
      <c r="C291" s="19"/>
      <c r="D291" s="50"/>
      <c r="E291" s="50"/>
      <c r="F291" s="19"/>
      <c r="G291" s="19"/>
      <c r="H291" s="19"/>
      <c r="I291" s="19"/>
      <c r="J291" s="19"/>
      <c r="K291" s="48"/>
      <c r="L291" s="54"/>
      <c r="M291" s="48"/>
      <c r="N291" s="48"/>
      <c r="O291" s="19"/>
      <c r="P291" s="51"/>
      <c r="Q291" s="51"/>
      <c r="R291" s="26"/>
      <c r="S291" s="55"/>
      <c r="T291" s="44"/>
      <c r="U291" s="54"/>
      <c r="V291" s="50"/>
      <c r="W291" s="19"/>
      <c r="X291" s="19"/>
      <c r="Y291" s="19"/>
      <c r="Z291" s="19"/>
    </row>
    <row r="292" spans="1:26" ht="25.5" customHeight="1" x14ac:dyDescent="0.35">
      <c r="A292" s="19"/>
      <c r="B292" s="19"/>
      <c r="C292" s="19"/>
      <c r="D292" s="50"/>
      <c r="E292" s="50"/>
      <c r="F292" s="19"/>
      <c r="G292" s="19"/>
      <c r="H292" s="48"/>
      <c r="I292" s="48"/>
      <c r="J292" s="19"/>
      <c r="K292" s="48"/>
      <c r="L292" s="54"/>
      <c r="M292" s="48"/>
      <c r="N292" s="48"/>
      <c r="O292" s="19"/>
      <c r="P292" s="51"/>
      <c r="Q292" s="51"/>
      <c r="R292" s="26"/>
      <c r="S292" s="55"/>
      <c r="T292" s="44"/>
      <c r="U292" s="54"/>
      <c r="V292" s="50"/>
      <c r="W292" s="19"/>
      <c r="X292" s="19"/>
      <c r="Y292" s="19"/>
      <c r="Z292" s="19"/>
    </row>
    <row r="293" spans="1:26" ht="25.5" customHeight="1" x14ac:dyDescent="0.35">
      <c r="A293" s="19"/>
      <c r="B293" s="19"/>
      <c r="C293" s="58"/>
      <c r="D293" s="78" t="s">
        <v>2432</v>
      </c>
      <c r="E293" s="50"/>
      <c r="F293" s="19"/>
      <c r="G293" s="19"/>
      <c r="H293" s="48"/>
      <c r="I293" s="48"/>
      <c r="J293" s="19"/>
      <c r="K293" s="48"/>
      <c r="L293" s="54"/>
      <c r="M293" s="173" t="s">
        <v>2433</v>
      </c>
      <c r="N293" s="172"/>
      <c r="O293" s="172"/>
      <c r="P293" s="51"/>
      <c r="Q293" s="51"/>
      <c r="R293" s="26"/>
      <c r="S293" s="55"/>
      <c r="T293" s="44"/>
      <c r="U293" s="54"/>
      <c r="V293" s="50"/>
      <c r="W293" s="19"/>
      <c r="X293" s="19"/>
      <c r="Y293" s="19"/>
      <c r="Z293" s="19"/>
    </row>
    <row r="294" spans="1:26" ht="29.25" customHeight="1" x14ac:dyDescent="0.35">
      <c r="A294" s="19"/>
      <c r="B294" s="19"/>
      <c r="C294" s="59"/>
      <c r="D294" s="56" t="s">
        <v>2434</v>
      </c>
      <c r="E294" s="60"/>
      <c r="F294" s="56"/>
      <c r="G294" s="56"/>
      <c r="H294" s="61"/>
      <c r="I294" s="61"/>
      <c r="J294" s="56"/>
      <c r="K294" s="61"/>
      <c r="L294" s="62"/>
      <c r="M294" s="174" t="s">
        <v>2435</v>
      </c>
      <c r="N294" s="172"/>
      <c r="O294" s="172"/>
      <c r="P294" s="63"/>
      <c r="Q294" s="51"/>
      <c r="R294" s="26"/>
      <c r="S294" s="55"/>
      <c r="T294" s="44"/>
      <c r="U294" s="54"/>
      <c r="V294" s="50"/>
      <c r="W294" s="19"/>
      <c r="X294" s="19"/>
      <c r="Y294" s="19"/>
      <c r="Z294" s="19"/>
    </row>
    <row r="295" spans="1:26" ht="15.75" customHeight="1" outlineLevel="2" x14ac:dyDescent="0.35">
      <c r="A295" s="25" t="s">
        <v>682</v>
      </c>
      <c r="B295" s="25" t="s">
        <v>976</v>
      </c>
      <c r="C295" s="26">
        <v>108549</v>
      </c>
      <c r="D295" s="25" t="s">
        <v>701</v>
      </c>
      <c r="E295" s="25" t="s">
        <v>218</v>
      </c>
      <c r="F295" s="26" t="s">
        <v>491</v>
      </c>
      <c r="G295" s="26" t="s">
        <v>491</v>
      </c>
      <c r="H295" s="26">
        <v>1</v>
      </c>
      <c r="I295" s="26">
        <v>2</v>
      </c>
      <c r="J295" s="26">
        <v>1</v>
      </c>
      <c r="K295" s="26">
        <v>138</v>
      </c>
      <c r="L295" s="26" t="s">
        <v>28</v>
      </c>
      <c r="M295" s="27">
        <v>1298</v>
      </c>
      <c r="N295" s="28">
        <v>139411.79</v>
      </c>
      <c r="O295" s="26" t="s">
        <v>29</v>
      </c>
      <c r="P295" s="29"/>
      <c r="Q295" s="6"/>
      <c r="R295" s="29"/>
      <c r="S295" s="10"/>
      <c r="T295" s="8">
        <v>1</v>
      </c>
    </row>
    <row r="296" spans="1:26" ht="15.75" customHeight="1" outlineLevel="2" x14ac:dyDescent="0.35">
      <c r="A296" s="25" t="s">
        <v>682</v>
      </c>
      <c r="B296" s="25" t="s">
        <v>976</v>
      </c>
      <c r="C296" s="26">
        <v>108580</v>
      </c>
      <c r="D296" s="25" t="s">
        <v>706</v>
      </c>
      <c r="E296" s="25" t="s">
        <v>707</v>
      </c>
      <c r="F296" s="26" t="s">
        <v>555</v>
      </c>
      <c r="G296" s="26" t="s">
        <v>555</v>
      </c>
      <c r="H296" s="26">
        <v>1</v>
      </c>
      <c r="I296" s="26">
        <v>3</v>
      </c>
      <c r="J296" s="26">
        <v>1</v>
      </c>
      <c r="K296" s="26">
        <v>138</v>
      </c>
      <c r="L296" s="26" t="s">
        <v>28</v>
      </c>
      <c r="M296" s="27">
        <v>1308</v>
      </c>
      <c r="N296" s="28">
        <v>331718.36</v>
      </c>
      <c r="O296" s="26" t="s">
        <v>29</v>
      </c>
      <c r="P296" s="29"/>
      <c r="Q296" s="6"/>
      <c r="R296" s="29"/>
      <c r="S296" s="10"/>
      <c r="T296" s="8">
        <v>1</v>
      </c>
    </row>
    <row r="297" spans="1:26" ht="15.75" customHeight="1" outlineLevel="2" x14ac:dyDescent="0.35">
      <c r="A297" s="25" t="s">
        <v>682</v>
      </c>
      <c r="B297" s="25" t="s">
        <v>976</v>
      </c>
      <c r="C297" s="26">
        <v>108802</v>
      </c>
      <c r="D297" s="25" t="s">
        <v>713</v>
      </c>
      <c r="E297" s="25" t="s">
        <v>714</v>
      </c>
      <c r="F297" s="26" t="s">
        <v>555</v>
      </c>
      <c r="G297" s="26" t="s">
        <v>555</v>
      </c>
      <c r="H297" s="26">
        <v>1</v>
      </c>
      <c r="I297" s="26">
        <v>3</v>
      </c>
      <c r="J297" s="26">
        <v>1</v>
      </c>
      <c r="K297" s="26">
        <v>138</v>
      </c>
      <c r="L297" s="26" t="s">
        <v>28</v>
      </c>
      <c r="M297" s="27">
        <v>1303</v>
      </c>
      <c r="N297" s="28">
        <v>213636.61</v>
      </c>
      <c r="O297" s="26" t="s">
        <v>29</v>
      </c>
      <c r="P297" s="29"/>
      <c r="Q297" s="6"/>
      <c r="R297" s="29"/>
      <c r="S297" s="10"/>
      <c r="T297" s="8">
        <v>1</v>
      </c>
    </row>
    <row r="298" spans="1:26" ht="15.75" customHeight="1" outlineLevel="2" x14ac:dyDescent="0.35">
      <c r="A298" s="25" t="s">
        <v>682</v>
      </c>
      <c r="B298" s="25" t="s">
        <v>976</v>
      </c>
      <c r="C298" s="26">
        <v>108819</v>
      </c>
      <c r="D298" s="25" t="s">
        <v>715</v>
      </c>
      <c r="E298" s="25" t="s">
        <v>714</v>
      </c>
      <c r="F298" s="26" t="s">
        <v>555</v>
      </c>
      <c r="G298" s="26" t="s">
        <v>555</v>
      </c>
      <c r="H298" s="26">
        <v>1</v>
      </c>
      <c r="I298" s="26">
        <v>3</v>
      </c>
      <c r="J298" s="26">
        <v>1</v>
      </c>
      <c r="K298" s="26">
        <v>138</v>
      </c>
      <c r="L298" s="26" t="s">
        <v>28</v>
      </c>
      <c r="M298" s="27">
        <v>1310</v>
      </c>
      <c r="N298" s="28">
        <v>187812.72</v>
      </c>
      <c r="O298" s="26" t="s">
        <v>29</v>
      </c>
      <c r="P298" s="29"/>
      <c r="Q298" s="6"/>
      <c r="R298" s="29"/>
      <c r="S298" s="10"/>
      <c r="T298" s="8">
        <v>1</v>
      </c>
    </row>
    <row r="299" spans="1:26" ht="15.75" customHeight="1" outlineLevel="2" x14ac:dyDescent="0.35">
      <c r="A299" s="25" t="s">
        <v>682</v>
      </c>
      <c r="B299" s="25" t="s">
        <v>976</v>
      </c>
      <c r="C299" s="26">
        <v>108830</v>
      </c>
      <c r="D299" s="25" t="s">
        <v>716</v>
      </c>
      <c r="E299" s="25" t="s">
        <v>714</v>
      </c>
      <c r="F299" s="26" t="s">
        <v>555</v>
      </c>
      <c r="G299" s="26" t="s">
        <v>555</v>
      </c>
      <c r="H299" s="26">
        <v>1</v>
      </c>
      <c r="I299" s="26">
        <v>2</v>
      </c>
      <c r="J299" s="26">
        <v>1</v>
      </c>
      <c r="K299" s="26">
        <v>138</v>
      </c>
      <c r="L299" s="26" t="s">
        <v>28</v>
      </c>
      <c r="M299" s="27">
        <v>1312</v>
      </c>
      <c r="N299" s="28">
        <v>143866.29999999999</v>
      </c>
      <c r="O299" s="26" t="s">
        <v>29</v>
      </c>
      <c r="P299" s="29"/>
      <c r="Q299" s="6"/>
      <c r="R299" s="29"/>
      <c r="S299" s="10"/>
      <c r="T299" s="8">
        <v>1</v>
      </c>
    </row>
    <row r="300" spans="1:26" ht="15.75" customHeight="1" outlineLevel="2" x14ac:dyDescent="0.35">
      <c r="A300" s="25" t="s">
        <v>682</v>
      </c>
      <c r="B300" s="25" t="s">
        <v>976</v>
      </c>
      <c r="C300" s="26">
        <v>109092</v>
      </c>
      <c r="D300" s="25" t="s">
        <v>729</v>
      </c>
      <c r="E300" s="25" t="s">
        <v>730</v>
      </c>
      <c r="F300" s="26" t="s">
        <v>491</v>
      </c>
      <c r="G300" s="26" t="s">
        <v>491</v>
      </c>
      <c r="H300" s="26">
        <v>1</v>
      </c>
      <c r="I300" s="26">
        <v>10</v>
      </c>
      <c r="J300" s="26">
        <v>1</v>
      </c>
      <c r="K300" s="26">
        <v>138</v>
      </c>
      <c r="L300" s="26" t="s">
        <v>28</v>
      </c>
      <c r="M300" s="27">
        <v>1289</v>
      </c>
      <c r="N300" s="28">
        <v>515315.68</v>
      </c>
      <c r="O300" s="26" t="s">
        <v>29</v>
      </c>
      <c r="P300" s="29"/>
      <c r="Q300" s="6"/>
      <c r="R300" s="29"/>
      <c r="S300" s="10"/>
      <c r="T300" s="8">
        <v>1</v>
      </c>
    </row>
    <row r="301" spans="1:26" ht="15.75" customHeight="1" outlineLevel="2" x14ac:dyDescent="0.35">
      <c r="A301" s="25" t="s">
        <v>682</v>
      </c>
      <c r="B301" s="25" t="s">
        <v>976</v>
      </c>
      <c r="C301" s="26">
        <v>109097</v>
      </c>
      <c r="D301" s="25" t="s">
        <v>668</v>
      </c>
      <c r="E301" s="25" t="s">
        <v>730</v>
      </c>
      <c r="F301" s="26" t="s">
        <v>491</v>
      </c>
      <c r="G301" s="26" t="s">
        <v>491</v>
      </c>
      <c r="H301" s="26">
        <v>1</v>
      </c>
      <c r="I301" s="26">
        <v>12</v>
      </c>
      <c r="J301" s="26">
        <v>1</v>
      </c>
      <c r="K301" s="26">
        <v>138</v>
      </c>
      <c r="L301" s="26" t="s">
        <v>28</v>
      </c>
      <c r="M301" s="27">
        <v>1300</v>
      </c>
      <c r="N301" s="28">
        <v>834971.96</v>
      </c>
      <c r="O301" s="26" t="s">
        <v>29</v>
      </c>
      <c r="P301" s="29"/>
      <c r="Q301" s="6"/>
      <c r="R301" s="29"/>
      <c r="S301" s="10"/>
      <c r="T301" s="8">
        <v>1</v>
      </c>
    </row>
    <row r="302" spans="1:26" ht="15.75" customHeight="1" outlineLevel="2" x14ac:dyDescent="0.35">
      <c r="A302" s="25" t="s">
        <v>682</v>
      </c>
      <c r="B302" s="25" t="s">
        <v>976</v>
      </c>
      <c r="C302" s="26">
        <v>109099</v>
      </c>
      <c r="D302" s="25" t="s">
        <v>732</v>
      </c>
      <c r="E302" s="25" t="s">
        <v>730</v>
      </c>
      <c r="F302" s="26" t="s">
        <v>491</v>
      </c>
      <c r="G302" s="26" t="s">
        <v>491</v>
      </c>
      <c r="H302" s="26">
        <v>1</v>
      </c>
      <c r="I302" s="26">
        <v>11</v>
      </c>
      <c r="J302" s="26">
        <v>1</v>
      </c>
      <c r="K302" s="26">
        <v>138</v>
      </c>
      <c r="L302" s="26" t="s">
        <v>28</v>
      </c>
      <c r="M302" s="27">
        <v>1301</v>
      </c>
      <c r="N302" s="28">
        <v>556061.30000000005</v>
      </c>
      <c r="O302" s="26" t="s">
        <v>29</v>
      </c>
      <c r="P302" s="29"/>
      <c r="Q302" s="6"/>
      <c r="R302" s="29"/>
      <c r="S302" s="10"/>
      <c r="T302" s="8">
        <v>1</v>
      </c>
    </row>
    <row r="303" spans="1:26" ht="15.75" customHeight="1" outlineLevel="2" x14ac:dyDescent="0.35">
      <c r="A303" s="25" t="s">
        <v>682</v>
      </c>
      <c r="B303" s="25" t="s">
        <v>976</v>
      </c>
      <c r="C303" s="26">
        <v>109120</v>
      </c>
      <c r="D303" s="25" t="s">
        <v>734</v>
      </c>
      <c r="E303" s="25" t="s">
        <v>735</v>
      </c>
      <c r="F303" s="26" t="s">
        <v>491</v>
      </c>
      <c r="G303" s="26" t="s">
        <v>491</v>
      </c>
      <c r="H303" s="26">
        <v>1</v>
      </c>
      <c r="I303" s="26">
        <v>4</v>
      </c>
      <c r="J303" s="26">
        <v>1</v>
      </c>
      <c r="K303" s="26">
        <v>138</v>
      </c>
      <c r="L303" s="26" t="s">
        <v>28</v>
      </c>
      <c r="M303" s="27">
        <v>1286</v>
      </c>
      <c r="N303" s="28">
        <v>228870.39</v>
      </c>
      <c r="O303" s="26" t="s">
        <v>29</v>
      </c>
      <c r="P303" s="29"/>
      <c r="Q303" s="6"/>
      <c r="R303" s="29"/>
      <c r="S303" s="10"/>
      <c r="T303" s="8">
        <v>1</v>
      </c>
    </row>
    <row r="304" spans="1:26" ht="15.75" customHeight="1" outlineLevel="2" x14ac:dyDescent="0.35">
      <c r="A304" s="25" t="s">
        <v>682</v>
      </c>
      <c r="B304" s="25" t="s">
        <v>976</v>
      </c>
      <c r="C304" s="26">
        <v>109121</v>
      </c>
      <c r="D304" s="25" t="s">
        <v>736</v>
      </c>
      <c r="E304" s="25" t="s">
        <v>735</v>
      </c>
      <c r="F304" s="26" t="s">
        <v>491</v>
      </c>
      <c r="G304" s="26" t="s">
        <v>491</v>
      </c>
      <c r="H304" s="26">
        <v>1</v>
      </c>
      <c r="I304" s="26">
        <v>5</v>
      </c>
      <c r="J304" s="26">
        <v>1</v>
      </c>
      <c r="K304" s="26">
        <v>138</v>
      </c>
      <c r="L304" s="26" t="s">
        <v>28</v>
      </c>
      <c r="M304" s="27">
        <v>1287</v>
      </c>
      <c r="N304" s="28">
        <v>294194.06</v>
      </c>
      <c r="O304" s="26" t="s">
        <v>29</v>
      </c>
      <c r="P304" s="29"/>
      <c r="Q304" s="6"/>
      <c r="R304" s="29"/>
      <c r="S304" s="10"/>
      <c r="T304" s="8">
        <v>1</v>
      </c>
    </row>
    <row r="305" spans="1:26" ht="15.75" customHeight="1" outlineLevel="2" x14ac:dyDescent="0.35">
      <c r="A305" s="25" t="s">
        <v>682</v>
      </c>
      <c r="B305" s="25" t="s">
        <v>976</v>
      </c>
      <c r="C305" s="26">
        <v>109138</v>
      </c>
      <c r="D305" s="25" t="s">
        <v>740</v>
      </c>
      <c r="E305" s="25" t="s">
        <v>741</v>
      </c>
      <c r="F305" s="26" t="s">
        <v>491</v>
      </c>
      <c r="G305" s="26" t="s">
        <v>491</v>
      </c>
      <c r="H305" s="26">
        <v>1</v>
      </c>
      <c r="I305" s="26">
        <v>4</v>
      </c>
      <c r="J305" s="26">
        <v>1</v>
      </c>
      <c r="K305" s="26">
        <v>138</v>
      </c>
      <c r="L305" s="26" t="s">
        <v>28</v>
      </c>
      <c r="M305" s="27">
        <v>1284</v>
      </c>
      <c r="N305" s="28">
        <v>241645.46</v>
      </c>
      <c r="O305" s="26" t="s">
        <v>29</v>
      </c>
      <c r="P305" s="29"/>
      <c r="Q305" s="6"/>
      <c r="R305" s="29"/>
      <c r="S305" s="10"/>
      <c r="T305" s="8">
        <v>1</v>
      </c>
    </row>
    <row r="306" spans="1:26" ht="15.75" customHeight="1" outlineLevel="2" x14ac:dyDescent="0.35">
      <c r="A306" s="25" t="s">
        <v>682</v>
      </c>
      <c r="B306" s="25" t="s">
        <v>976</v>
      </c>
      <c r="C306" s="26">
        <v>109146</v>
      </c>
      <c r="D306" s="25" t="s">
        <v>743</v>
      </c>
      <c r="E306" s="25" t="s">
        <v>741</v>
      </c>
      <c r="F306" s="26" t="s">
        <v>491</v>
      </c>
      <c r="G306" s="26" t="s">
        <v>491</v>
      </c>
      <c r="H306" s="26">
        <v>1</v>
      </c>
      <c r="I306" s="26">
        <v>2</v>
      </c>
      <c r="J306" s="26">
        <v>1</v>
      </c>
      <c r="K306" s="26">
        <v>138</v>
      </c>
      <c r="L306" s="26" t="s">
        <v>28</v>
      </c>
      <c r="M306" s="27">
        <v>1292</v>
      </c>
      <c r="N306" s="28">
        <v>152536.79</v>
      </c>
      <c r="O306" s="26" t="s">
        <v>29</v>
      </c>
      <c r="P306" s="29"/>
      <c r="Q306" s="6"/>
      <c r="R306" s="29"/>
      <c r="S306" s="10"/>
      <c r="T306" s="8">
        <v>1</v>
      </c>
    </row>
    <row r="307" spans="1:26" ht="15.75" customHeight="1" outlineLevel="2" x14ac:dyDescent="0.35">
      <c r="A307" s="25" t="s">
        <v>682</v>
      </c>
      <c r="B307" s="25" t="s">
        <v>976</v>
      </c>
      <c r="C307" s="26">
        <v>109147</v>
      </c>
      <c r="D307" s="25" t="s">
        <v>744</v>
      </c>
      <c r="E307" s="25" t="s">
        <v>741</v>
      </c>
      <c r="F307" s="26" t="s">
        <v>491</v>
      </c>
      <c r="G307" s="26" t="s">
        <v>491</v>
      </c>
      <c r="H307" s="26">
        <v>1</v>
      </c>
      <c r="I307" s="26">
        <v>4</v>
      </c>
      <c r="J307" s="26">
        <v>1</v>
      </c>
      <c r="K307" s="26">
        <v>138</v>
      </c>
      <c r="L307" s="26" t="s">
        <v>28</v>
      </c>
      <c r="M307" s="27">
        <v>1294</v>
      </c>
      <c r="N307" s="28">
        <v>243594.25</v>
      </c>
      <c r="O307" s="26" t="s">
        <v>29</v>
      </c>
      <c r="P307" s="29"/>
      <c r="Q307" s="6"/>
      <c r="R307" s="29"/>
      <c r="S307" s="10"/>
      <c r="T307" s="8">
        <v>1</v>
      </c>
    </row>
    <row r="308" spans="1:26" ht="15.75" customHeight="1" outlineLevel="2" x14ac:dyDescent="0.35">
      <c r="A308" s="25" t="s">
        <v>682</v>
      </c>
      <c r="B308" s="25" t="s">
        <v>976</v>
      </c>
      <c r="C308" s="26">
        <v>109218</v>
      </c>
      <c r="D308" s="25" t="s">
        <v>745</v>
      </c>
      <c r="E308" s="25" t="s">
        <v>746</v>
      </c>
      <c r="F308" s="26" t="s">
        <v>555</v>
      </c>
      <c r="G308" s="26" t="s">
        <v>555</v>
      </c>
      <c r="H308" s="26">
        <v>1</v>
      </c>
      <c r="I308" s="26">
        <v>4</v>
      </c>
      <c r="J308" s="26">
        <v>1</v>
      </c>
      <c r="K308" s="26">
        <v>138</v>
      </c>
      <c r="L308" s="26" t="s">
        <v>28</v>
      </c>
      <c r="M308" s="27">
        <v>1309</v>
      </c>
      <c r="N308" s="28">
        <v>252026.18</v>
      </c>
      <c r="O308" s="26" t="s">
        <v>29</v>
      </c>
      <c r="P308" s="29"/>
      <c r="Q308" s="6"/>
      <c r="R308" s="29"/>
      <c r="S308" s="10"/>
      <c r="T308" s="8">
        <v>1</v>
      </c>
    </row>
    <row r="309" spans="1:26" ht="15.75" customHeight="1" outlineLevel="2" x14ac:dyDescent="0.35">
      <c r="A309" s="25" t="s">
        <v>682</v>
      </c>
      <c r="B309" s="25" t="s">
        <v>976</v>
      </c>
      <c r="C309" s="26">
        <v>109226</v>
      </c>
      <c r="D309" s="25" t="s">
        <v>747</v>
      </c>
      <c r="E309" s="25" t="s">
        <v>746</v>
      </c>
      <c r="F309" s="26" t="s">
        <v>555</v>
      </c>
      <c r="G309" s="26" t="s">
        <v>555</v>
      </c>
      <c r="H309" s="26">
        <v>1</v>
      </c>
      <c r="I309" s="26">
        <v>2</v>
      </c>
      <c r="J309" s="26">
        <v>1</v>
      </c>
      <c r="K309" s="26">
        <v>138</v>
      </c>
      <c r="L309" s="26" t="s">
        <v>28</v>
      </c>
      <c r="M309" s="27">
        <v>1311</v>
      </c>
      <c r="N309" s="28">
        <v>155957.26999999999</v>
      </c>
      <c r="O309" s="26" t="s">
        <v>29</v>
      </c>
      <c r="P309" s="29"/>
      <c r="Q309" s="6"/>
      <c r="R309" s="29"/>
      <c r="S309" s="10"/>
      <c r="T309" s="8">
        <v>1</v>
      </c>
    </row>
    <row r="310" spans="1:26" ht="15.75" customHeight="1" outlineLevel="2" x14ac:dyDescent="0.35">
      <c r="A310" s="25" t="s">
        <v>682</v>
      </c>
      <c r="B310" s="25" t="s">
        <v>976</v>
      </c>
      <c r="C310" s="26">
        <v>301387</v>
      </c>
      <c r="D310" s="25" t="s">
        <v>749</v>
      </c>
      <c r="E310" s="25" t="s">
        <v>714</v>
      </c>
      <c r="F310" s="26" t="s">
        <v>555</v>
      </c>
      <c r="G310" s="26" t="s">
        <v>555</v>
      </c>
      <c r="H310" s="26">
        <v>1</v>
      </c>
      <c r="I310" s="26">
        <v>3</v>
      </c>
      <c r="J310" s="26">
        <v>1</v>
      </c>
      <c r="K310" s="26">
        <v>138</v>
      </c>
      <c r="L310" s="26" t="s">
        <v>28</v>
      </c>
      <c r="M310" s="27">
        <v>1306</v>
      </c>
      <c r="N310" s="28">
        <v>213066.53</v>
      </c>
      <c r="O310" s="26" t="s">
        <v>29</v>
      </c>
      <c r="P310" s="29"/>
      <c r="Q310" s="6"/>
      <c r="R310" s="29"/>
      <c r="S310" s="10"/>
      <c r="T310" s="8">
        <v>1</v>
      </c>
    </row>
    <row r="311" spans="1:26" ht="15.75" customHeight="1" outlineLevel="2" x14ac:dyDescent="0.35">
      <c r="A311" s="25" t="s">
        <v>682</v>
      </c>
      <c r="B311" s="25" t="s">
        <v>976</v>
      </c>
      <c r="C311" s="26">
        <v>301388</v>
      </c>
      <c r="D311" s="25" t="s">
        <v>750</v>
      </c>
      <c r="E311" s="25" t="s">
        <v>714</v>
      </c>
      <c r="F311" s="26" t="s">
        <v>555</v>
      </c>
      <c r="G311" s="26" t="s">
        <v>555</v>
      </c>
      <c r="H311" s="26">
        <v>1</v>
      </c>
      <c r="I311" s="26">
        <v>4</v>
      </c>
      <c r="J311" s="26">
        <v>1</v>
      </c>
      <c r="K311" s="26">
        <v>138</v>
      </c>
      <c r="L311" s="26" t="s">
        <v>28</v>
      </c>
      <c r="M311" s="27">
        <v>1305</v>
      </c>
      <c r="N311" s="28">
        <v>231264.73</v>
      </c>
      <c r="O311" s="26" t="s">
        <v>29</v>
      </c>
      <c r="P311" s="29"/>
      <c r="Q311" s="6"/>
      <c r="R311" s="29"/>
      <c r="S311" s="10"/>
      <c r="T311" s="8">
        <v>1</v>
      </c>
    </row>
    <row r="312" spans="1:26" ht="15.75" customHeight="1" outlineLevel="2" x14ac:dyDescent="0.35">
      <c r="A312" s="25" t="s">
        <v>682</v>
      </c>
      <c r="B312" s="25" t="s">
        <v>976</v>
      </c>
      <c r="C312" s="26">
        <v>308042</v>
      </c>
      <c r="D312" s="25" t="s">
        <v>751</v>
      </c>
      <c r="E312" s="25" t="s">
        <v>714</v>
      </c>
      <c r="F312" s="26" t="s">
        <v>555</v>
      </c>
      <c r="G312" s="26" t="s">
        <v>555</v>
      </c>
      <c r="H312" s="26">
        <v>1</v>
      </c>
      <c r="I312" s="26">
        <v>2</v>
      </c>
      <c r="J312" s="26">
        <v>1</v>
      </c>
      <c r="K312" s="26">
        <v>138</v>
      </c>
      <c r="L312" s="26" t="s">
        <v>28</v>
      </c>
      <c r="M312" s="27">
        <v>1304</v>
      </c>
      <c r="N312" s="28">
        <v>160892.19</v>
      </c>
      <c r="O312" s="26" t="s">
        <v>29</v>
      </c>
      <c r="P312" s="29"/>
      <c r="Q312" s="6"/>
      <c r="R312" s="29"/>
      <c r="S312" s="10"/>
      <c r="T312" s="8">
        <v>1</v>
      </c>
    </row>
    <row r="313" spans="1:26" ht="15.75" customHeight="1" outlineLevel="2" x14ac:dyDescent="0.35">
      <c r="A313" s="25" t="s">
        <v>682</v>
      </c>
      <c r="B313" s="25" t="s">
        <v>976</v>
      </c>
      <c r="C313" s="26">
        <v>308044</v>
      </c>
      <c r="D313" s="25" t="s">
        <v>752</v>
      </c>
      <c r="E313" s="25" t="s">
        <v>735</v>
      </c>
      <c r="F313" s="26" t="s">
        <v>491</v>
      </c>
      <c r="G313" s="26" t="s">
        <v>491</v>
      </c>
      <c r="H313" s="26">
        <v>1</v>
      </c>
      <c r="I313" s="26">
        <v>3</v>
      </c>
      <c r="J313" s="26">
        <v>1</v>
      </c>
      <c r="K313" s="26">
        <v>138</v>
      </c>
      <c r="L313" s="26" t="s">
        <v>28</v>
      </c>
      <c r="M313" s="27">
        <v>1288</v>
      </c>
      <c r="N313" s="28">
        <v>195687.72</v>
      </c>
      <c r="O313" s="26" t="s">
        <v>29</v>
      </c>
      <c r="P313" s="29"/>
      <c r="Q313" s="6"/>
      <c r="R313" s="29"/>
      <c r="S313" s="10"/>
      <c r="T313" s="8">
        <v>1</v>
      </c>
    </row>
    <row r="314" spans="1:26" ht="15.75" customHeight="1" outlineLevel="1" x14ac:dyDescent="0.35">
      <c r="A314" s="25"/>
      <c r="B314" s="53" t="s">
        <v>2468</v>
      </c>
      <c r="C314" s="26"/>
      <c r="D314" s="25"/>
      <c r="E314" s="25"/>
      <c r="F314" s="26"/>
      <c r="G314" s="26"/>
      <c r="H314" s="26">
        <f t="shared" ref="H314:I314" si="18">SUBTOTAL(9,H295:H313)</f>
        <v>19</v>
      </c>
      <c r="I314" s="26">
        <f t="shared" si="18"/>
        <v>83</v>
      </c>
      <c r="J314" s="26"/>
      <c r="K314" s="26"/>
      <c r="L314" s="26"/>
      <c r="M314" s="27"/>
      <c r="N314" s="28">
        <f>SUBTOTAL(9,N295:N313)</f>
        <v>5292530.29</v>
      </c>
      <c r="O314" s="26"/>
      <c r="P314" s="29"/>
      <c r="Q314" s="6"/>
      <c r="R314" s="29"/>
      <c r="S314" s="10"/>
      <c r="T314" s="8"/>
    </row>
    <row r="315" spans="1:26" ht="25.5" customHeight="1" x14ac:dyDescent="0.35">
      <c r="A315" s="19"/>
      <c r="B315" s="19"/>
      <c r="C315" s="19"/>
      <c r="D315" s="50"/>
      <c r="E315" s="50"/>
      <c r="F315" s="19"/>
      <c r="G315" s="19"/>
      <c r="H315" s="48"/>
      <c r="I315" s="48"/>
      <c r="J315" s="19"/>
      <c r="K315" s="48"/>
      <c r="L315" s="54"/>
      <c r="M315" s="48"/>
      <c r="N315" s="48"/>
      <c r="O315" s="19"/>
      <c r="P315" s="45"/>
      <c r="Q315" s="51"/>
      <c r="R315" s="26"/>
      <c r="S315" s="55"/>
      <c r="T315" s="44"/>
      <c r="U315" s="54"/>
      <c r="V315" s="50"/>
      <c r="W315" s="19"/>
      <c r="X315" s="19"/>
      <c r="Y315" s="19"/>
      <c r="Z315" s="19"/>
    </row>
    <row r="316" spans="1:26" ht="25.5" customHeight="1" x14ac:dyDescent="0.35">
      <c r="A316" s="19"/>
      <c r="B316" s="56" t="s">
        <v>2377</v>
      </c>
      <c r="C316" s="19"/>
      <c r="D316" s="50"/>
      <c r="E316" s="50"/>
      <c r="F316" s="57"/>
      <c r="G316" s="57"/>
      <c r="H316" s="171" t="s">
        <v>2377</v>
      </c>
      <c r="I316" s="172"/>
      <c r="J316" s="19"/>
      <c r="K316" s="48"/>
      <c r="L316" s="54"/>
      <c r="M316" s="48"/>
      <c r="N316" s="48"/>
      <c r="O316" s="19"/>
      <c r="P316" s="51"/>
      <c r="Q316" s="51"/>
      <c r="R316" s="26"/>
      <c r="S316" s="55"/>
      <c r="T316" s="44"/>
      <c r="U316" s="54"/>
      <c r="V316" s="50"/>
      <c r="W316" s="19"/>
      <c r="X316" s="19"/>
      <c r="Y316" s="19"/>
      <c r="Z316" s="19"/>
    </row>
    <row r="317" spans="1:26" ht="25.5" customHeight="1" x14ac:dyDescent="0.35">
      <c r="A317" s="19"/>
      <c r="B317" s="19"/>
      <c r="C317" s="19"/>
      <c r="D317" s="50"/>
      <c r="E317" s="50"/>
      <c r="F317" s="19"/>
      <c r="G317" s="19"/>
      <c r="H317" s="19"/>
      <c r="I317" s="19"/>
      <c r="J317" s="19"/>
      <c r="K317" s="48"/>
      <c r="L317" s="54"/>
      <c r="M317" s="48"/>
      <c r="N317" s="48"/>
      <c r="O317" s="19"/>
      <c r="P317" s="51"/>
      <c r="Q317" s="51"/>
      <c r="R317" s="26"/>
      <c r="S317" s="55"/>
      <c r="T317" s="44"/>
      <c r="U317" s="54"/>
      <c r="V317" s="50"/>
      <c r="W317" s="19"/>
      <c r="X317" s="19"/>
      <c r="Y317" s="19"/>
      <c r="Z317" s="19"/>
    </row>
    <row r="318" spans="1:26" ht="25.5" customHeight="1" x14ac:dyDescent="0.35">
      <c r="A318" s="19"/>
      <c r="B318" s="19"/>
      <c r="C318" s="19"/>
      <c r="D318" s="50"/>
      <c r="E318" s="50"/>
      <c r="F318" s="19"/>
      <c r="G318" s="19"/>
      <c r="H318" s="48"/>
      <c r="I318" s="48"/>
      <c r="J318" s="19"/>
      <c r="K318" s="48"/>
      <c r="L318" s="54"/>
      <c r="M318" s="48"/>
      <c r="N318" s="48"/>
      <c r="O318" s="19"/>
      <c r="P318" s="51"/>
      <c r="Q318" s="51"/>
      <c r="R318" s="26"/>
      <c r="S318" s="55"/>
      <c r="T318" s="44"/>
      <c r="U318" s="54"/>
      <c r="V318" s="50"/>
      <c r="W318" s="19"/>
      <c r="X318" s="19"/>
      <c r="Y318" s="19"/>
      <c r="Z318" s="19"/>
    </row>
    <row r="319" spans="1:26" ht="25.5" customHeight="1" x14ac:dyDescent="0.35">
      <c r="A319" s="19"/>
      <c r="B319" s="19"/>
      <c r="C319" s="58"/>
      <c r="D319" s="78" t="s">
        <v>2432</v>
      </c>
      <c r="E319" s="50"/>
      <c r="F319" s="19"/>
      <c r="G319" s="19"/>
      <c r="H319" s="48"/>
      <c r="I319" s="48"/>
      <c r="J319" s="19"/>
      <c r="K319" s="48"/>
      <c r="L319" s="54"/>
      <c r="M319" s="173" t="s">
        <v>2433</v>
      </c>
      <c r="N319" s="172"/>
      <c r="O319" s="172"/>
      <c r="P319" s="51"/>
      <c r="Q319" s="51"/>
      <c r="R319" s="26"/>
      <c r="S319" s="55"/>
      <c r="T319" s="44"/>
      <c r="U319" s="54"/>
      <c r="V319" s="50"/>
      <c r="W319" s="19"/>
      <c r="X319" s="19"/>
      <c r="Y319" s="19"/>
      <c r="Z319" s="19"/>
    </row>
    <row r="320" spans="1:26" ht="29.25" customHeight="1" x14ac:dyDescent="0.35">
      <c r="A320" s="19"/>
      <c r="B320" s="19"/>
      <c r="C320" s="59"/>
      <c r="D320" s="56" t="s">
        <v>2434</v>
      </c>
      <c r="E320" s="60"/>
      <c r="F320" s="56"/>
      <c r="G320" s="56"/>
      <c r="H320" s="61"/>
      <c r="I320" s="61"/>
      <c r="J320" s="56"/>
      <c r="K320" s="61"/>
      <c r="L320" s="62"/>
      <c r="M320" s="174" t="s">
        <v>2435</v>
      </c>
      <c r="N320" s="172"/>
      <c r="O320" s="172"/>
      <c r="P320" s="63"/>
      <c r="Q320" s="51"/>
      <c r="R320" s="26"/>
      <c r="S320" s="55"/>
      <c r="T320" s="44"/>
      <c r="U320" s="54"/>
      <c r="V320" s="50"/>
      <c r="W320" s="19"/>
      <c r="X320" s="19"/>
      <c r="Y320" s="19"/>
      <c r="Z320" s="19"/>
    </row>
    <row r="321" spans="1:26" ht="15.75" customHeight="1" outlineLevel="2" x14ac:dyDescent="0.35">
      <c r="A321" s="25" t="s">
        <v>754</v>
      </c>
      <c r="B321" s="25" t="s">
        <v>2469</v>
      </c>
      <c r="C321" s="26">
        <v>169005</v>
      </c>
      <c r="D321" s="25" t="s">
        <v>765</v>
      </c>
      <c r="E321" s="25" t="s">
        <v>763</v>
      </c>
      <c r="F321" s="26" t="s">
        <v>27</v>
      </c>
      <c r="G321" s="26" t="s">
        <v>27</v>
      </c>
      <c r="H321" s="26">
        <v>1</v>
      </c>
      <c r="I321" s="26">
        <v>3</v>
      </c>
      <c r="J321" s="26">
        <v>1</v>
      </c>
      <c r="K321" s="26">
        <v>138</v>
      </c>
      <c r="L321" s="26" t="s">
        <v>28</v>
      </c>
      <c r="M321" s="27">
        <v>1320</v>
      </c>
      <c r="N321" s="28">
        <v>205929.74</v>
      </c>
      <c r="O321" s="26" t="s">
        <v>29</v>
      </c>
      <c r="P321" s="29"/>
      <c r="Q321" s="6"/>
      <c r="R321" s="29"/>
      <c r="S321" s="10"/>
      <c r="T321" s="8">
        <v>1</v>
      </c>
    </row>
    <row r="322" spans="1:26" ht="15.75" customHeight="1" outlineLevel="1" x14ac:dyDescent="0.35">
      <c r="A322" s="25"/>
      <c r="B322" s="53" t="s">
        <v>2470</v>
      </c>
      <c r="C322" s="26"/>
      <c r="D322" s="25"/>
      <c r="E322" s="25"/>
      <c r="F322" s="26"/>
      <c r="G322" s="26"/>
      <c r="H322" s="26">
        <f t="shared" ref="H322:I322" si="19">SUBTOTAL(9,H321)</f>
        <v>1</v>
      </c>
      <c r="I322" s="26">
        <f t="shared" si="19"/>
        <v>3</v>
      </c>
      <c r="J322" s="26"/>
      <c r="K322" s="26"/>
      <c r="L322" s="26"/>
      <c r="M322" s="27"/>
      <c r="N322" s="28">
        <f>SUBTOTAL(9,N321)</f>
        <v>205929.74</v>
      </c>
      <c r="O322" s="26"/>
      <c r="P322" s="29"/>
      <c r="Q322" s="6"/>
      <c r="R322" s="29"/>
      <c r="S322" s="10"/>
      <c r="T322" s="8"/>
    </row>
    <row r="323" spans="1:26" ht="25.5" customHeight="1" x14ac:dyDescent="0.35">
      <c r="A323" s="19"/>
      <c r="B323" s="19"/>
      <c r="C323" s="19"/>
      <c r="D323" s="50"/>
      <c r="E323" s="50"/>
      <c r="F323" s="19"/>
      <c r="G323" s="19"/>
      <c r="H323" s="48"/>
      <c r="I323" s="48"/>
      <c r="J323" s="19"/>
      <c r="K323" s="48"/>
      <c r="L323" s="54"/>
      <c r="M323" s="48"/>
      <c r="N323" s="48"/>
      <c r="O323" s="19"/>
      <c r="P323" s="45"/>
      <c r="Q323" s="51"/>
      <c r="R323" s="26"/>
      <c r="S323" s="55"/>
      <c r="T323" s="44"/>
      <c r="U323" s="54"/>
      <c r="V323" s="50"/>
      <c r="W323" s="19"/>
      <c r="X323" s="19"/>
      <c r="Y323" s="19"/>
      <c r="Z323" s="19"/>
    </row>
    <row r="324" spans="1:26" ht="25.5" customHeight="1" x14ac:dyDescent="0.35">
      <c r="A324" s="19"/>
      <c r="B324" s="56" t="s">
        <v>2377</v>
      </c>
      <c r="C324" s="19"/>
      <c r="D324" s="50"/>
      <c r="E324" s="50"/>
      <c r="F324" s="57"/>
      <c r="G324" s="57"/>
      <c r="H324" s="171" t="s">
        <v>2377</v>
      </c>
      <c r="I324" s="172"/>
      <c r="J324" s="19"/>
      <c r="K324" s="48"/>
      <c r="L324" s="54"/>
      <c r="M324" s="48"/>
      <c r="N324" s="48"/>
      <c r="O324" s="19"/>
      <c r="P324" s="51"/>
      <c r="Q324" s="51"/>
      <c r="R324" s="26"/>
      <c r="S324" s="55"/>
      <c r="T324" s="44"/>
      <c r="U324" s="54"/>
      <c r="V324" s="50"/>
      <c r="W324" s="19"/>
      <c r="X324" s="19"/>
      <c r="Y324" s="19"/>
      <c r="Z324" s="19"/>
    </row>
    <row r="325" spans="1:26" ht="25.5" customHeight="1" x14ac:dyDescent="0.35">
      <c r="A325" s="19"/>
      <c r="B325" s="19"/>
      <c r="C325" s="19"/>
      <c r="D325" s="50"/>
      <c r="E325" s="50"/>
      <c r="F325" s="19"/>
      <c r="G325" s="19"/>
      <c r="H325" s="19"/>
      <c r="I325" s="19"/>
      <c r="J325" s="19"/>
      <c r="K325" s="48"/>
      <c r="L325" s="54"/>
      <c r="M325" s="48"/>
      <c r="N325" s="48"/>
      <c r="O325" s="19"/>
      <c r="P325" s="51"/>
      <c r="Q325" s="51"/>
      <c r="R325" s="26"/>
      <c r="S325" s="55"/>
      <c r="T325" s="44"/>
      <c r="U325" s="54"/>
      <c r="V325" s="50"/>
      <c r="W325" s="19"/>
      <c r="X325" s="19"/>
      <c r="Y325" s="19"/>
      <c r="Z325" s="19"/>
    </row>
    <row r="326" spans="1:26" ht="25.5" customHeight="1" x14ac:dyDescent="0.35">
      <c r="A326" s="19"/>
      <c r="B326" s="19"/>
      <c r="C326" s="19"/>
      <c r="D326" s="50"/>
      <c r="E326" s="50"/>
      <c r="F326" s="19"/>
      <c r="G326" s="19"/>
      <c r="H326" s="48"/>
      <c r="I326" s="48"/>
      <c r="J326" s="19"/>
      <c r="K326" s="48"/>
      <c r="L326" s="54"/>
      <c r="M326" s="48"/>
      <c r="N326" s="48"/>
      <c r="O326" s="19"/>
      <c r="P326" s="51"/>
      <c r="Q326" s="51"/>
      <c r="R326" s="26"/>
      <c r="S326" s="55"/>
      <c r="T326" s="44"/>
      <c r="U326" s="54"/>
      <c r="V326" s="50"/>
      <c r="W326" s="19"/>
      <c r="X326" s="19"/>
      <c r="Y326" s="19"/>
      <c r="Z326" s="19"/>
    </row>
    <row r="327" spans="1:26" ht="25.5" customHeight="1" x14ac:dyDescent="0.35">
      <c r="A327" s="19"/>
      <c r="B327" s="19"/>
      <c r="C327" s="58"/>
      <c r="D327" s="78" t="s">
        <v>2432</v>
      </c>
      <c r="E327" s="50"/>
      <c r="F327" s="19"/>
      <c r="G327" s="19"/>
      <c r="H327" s="48"/>
      <c r="I327" s="48"/>
      <c r="J327" s="19"/>
      <c r="K327" s="48"/>
      <c r="L327" s="54"/>
      <c r="M327" s="173" t="s">
        <v>2433</v>
      </c>
      <c r="N327" s="172"/>
      <c r="O327" s="172"/>
      <c r="P327" s="51"/>
      <c r="Q327" s="51"/>
      <c r="R327" s="26"/>
      <c r="S327" s="55"/>
      <c r="T327" s="44"/>
      <c r="U327" s="54"/>
      <c r="V327" s="50"/>
      <c r="W327" s="19"/>
      <c r="X327" s="19"/>
      <c r="Y327" s="19"/>
      <c r="Z327" s="19"/>
    </row>
    <row r="328" spans="1:26" ht="29.25" customHeight="1" x14ac:dyDescent="0.35">
      <c r="A328" s="19"/>
      <c r="B328" s="19"/>
      <c r="C328" s="59"/>
      <c r="D328" s="56" t="s">
        <v>2434</v>
      </c>
      <c r="E328" s="60"/>
      <c r="F328" s="56"/>
      <c r="G328" s="56"/>
      <c r="H328" s="61"/>
      <c r="I328" s="61"/>
      <c r="J328" s="56"/>
      <c r="K328" s="61"/>
      <c r="L328" s="62"/>
      <c r="M328" s="174" t="s">
        <v>2435</v>
      </c>
      <c r="N328" s="172"/>
      <c r="O328" s="172"/>
      <c r="P328" s="63"/>
      <c r="Q328" s="51"/>
      <c r="R328" s="26"/>
      <c r="S328" s="55"/>
      <c r="T328" s="44"/>
      <c r="U328" s="54"/>
      <c r="V328" s="50"/>
      <c r="W328" s="19"/>
      <c r="X328" s="19"/>
      <c r="Y328" s="19"/>
      <c r="Z328" s="19"/>
    </row>
    <row r="329" spans="1:26" ht="15.75" customHeight="1" outlineLevel="2" x14ac:dyDescent="0.35">
      <c r="A329" s="25" t="s">
        <v>754</v>
      </c>
      <c r="B329" s="25" t="s">
        <v>2471</v>
      </c>
      <c r="C329" s="26">
        <v>110086</v>
      </c>
      <c r="D329" s="25" t="s">
        <v>782</v>
      </c>
      <c r="E329" s="25" t="s">
        <v>778</v>
      </c>
      <c r="F329" s="26" t="s">
        <v>27</v>
      </c>
      <c r="G329" s="26" t="s">
        <v>27</v>
      </c>
      <c r="H329" s="26">
        <v>1</v>
      </c>
      <c r="I329" s="26">
        <v>3</v>
      </c>
      <c r="J329" s="26">
        <v>1</v>
      </c>
      <c r="K329" s="26">
        <v>138</v>
      </c>
      <c r="L329" s="26" t="s">
        <v>28</v>
      </c>
      <c r="M329" s="27">
        <v>1356</v>
      </c>
      <c r="N329" s="30">
        <v>292608.44</v>
      </c>
      <c r="O329" s="26" t="s">
        <v>29</v>
      </c>
      <c r="P329" s="29"/>
      <c r="Q329" s="6"/>
      <c r="R329" s="29"/>
      <c r="S329" s="10"/>
      <c r="T329" s="8">
        <v>1</v>
      </c>
    </row>
    <row r="330" spans="1:26" ht="15.75" customHeight="1" outlineLevel="2" x14ac:dyDescent="0.35">
      <c r="A330" s="25" t="s">
        <v>754</v>
      </c>
      <c r="B330" s="25" t="s">
        <v>2471</v>
      </c>
      <c r="C330" s="26">
        <v>110166</v>
      </c>
      <c r="D330" s="25" t="s">
        <v>799</v>
      </c>
      <c r="E330" s="25" t="s">
        <v>795</v>
      </c>
      <c r="F330" s="26" t="s">
        <v>27</v>
      </c>
      <c r="G330" s="26" t="s">
        <v>27</v>
      </c>
      <c r="H330" s="26">
        <v>1</v>
      </c>
      <c r="I330" s="26">
        <v>2</v>
      </c>
      <c r="J330" s="26">
        <v>1</v>
      </c>
      <c r="K330" s="26">
        <v>138</v>
      </c>
      <c r="L330" s="26" t="s">
        <v>28</v>
      </c>
      <c r="M330" s="27">
        <v>1351</v>
      </c>
      <c r="N330" s="30">
        <v>264530.17</v>
      </c>
      <c r="O330" s="26" t="s">
        <v>29</v>
      </c>
      <c r="P330" s="29"/>
      <c r="Q330" s="6"/>
      <c r="R330" s="29"/>
      <c r="S330" s="10"/>
      <c r="T330" s="8">
        <v>1</v>
      </c>
    </row>
    <row r="331" spans="1:26" ht="15.75" customHeight="1" outlineLevel="2" x14ac:dyDescent="0.35">
      <c r="A331" s="25" t="s">
        <v>754</v>
      </c>
      <c r="B331" s="25" t="s">
        <v>2471</v>
      </c>
      <c r="C331" s="26">
        <v>110175</v>
      </c>
      <c r="D331" s="25" t="s">
        <v>800</v>
      </c>
      <c r="E331" s="25" t="s">
        <v>795</v>
      </c>
      <c r="F331" s="26" t="s">
        <v>27</v>
      </c>
      <c r="G331" s="26" t="s">
        <v>27</v>
      </c>
      <c r="H331" s="26">
        <v>1</v>
      </c>
      <c r="I331" s="26">
        <v>2</v>
      </c>
      <c r="J331" s="26">
        <v>1</v>
      </c>
      <c r="K331" s="26">
        <v>138</v>
      </c>
      <c r="L331" s="26" t="s">
        <v>28</v>
      </c>
      <c r="M331" s="27">
        <v>1363</v>
      </c>
      <c r="N331" s="30">
        <v>259843.51</v>
      </c>
      <c r="O331" s="26" t="s">
        <v>29</v>
      </c>
      <c r="P331" s="29"/>
      <c r="Q331" s="6"/>
      <c r="R331" s="29"/>
      <c r="S331" s="10"/>
      <c r="T331" s="8">
        <v>1</v>
      </c>
    </row>
    <row r="332" spans="1:26" ht="15.75" customHeight="1" outlineLevel="2" x14ac:dyDescent="0.35">
      <c r="A332" s="25" t="s">
        <v>754</v>
      </c>
      <c r="B332" s="25" t="s">
        <v>2471</v>
      </c>
      <c r="C332" s="26">
        <v>110191</v>
      </c>
      <c r="D332" s="25" t="s">
        <v>804</v>
      </c>
      <c r="E332" s="25" t="s">
        <v>795</v>
      </c>
      <c r="F332" s="26" t="s">
        <v>27</v>
      </c>
      <c r="G332" s="26" t="s">
        <v>27</v>
      </c>
      <c r="H332" s="26">
        <v>1</v>
      </c>
      <c r="I332" s="26">
        <v>4</v>
      </c>
      <c r="J332" s="26">
        <v>1</v>
      </c>
      <c r="K332" s="26">
        <v>138</v>
      </c>
      <c r="L332" s="26" t="s">
        <v>28</v>
      </c>
      <c r="M332" s="27">
        <v>1378</v>
      </c>
      <c r="N332" s="30">
        <v>373145.16</v>
      </c>
      <c r="O332" s="26" t="s">
        <v>29</v>
      </c>
      <c r="P332" s="29"/>
      <c r="Q332" s="6"/>
      <c r="R332" s="29"/>
      <c r="S332" s="10"/>
      <c r="T332" s="8">
        <v>1</v>
      </c>
    </row>
    <row r="333" spans="1:26" ht="15.75" customHeight="1" outlineLevel="2" x14ac:dyDescent="0.35">
      <c r="A333" s="25" t="s">
        <v>754</v>
      </c>
      <c r="B333" s="25" t="s">
        <v>2471</v>
      </c>
      <c r="C333" s="26">
        <v>110316</v>
      </c>
      <c r="D333" s="25" t="s">
        <v>822</v>
      </c>
      <c r="E333" s="25" t="s">
        <v>666</v>
      </c>
      <c r="F333" s="26" t="s">
        <v>27</v>
      </c>
      <c r="G333" s="26" t="s">
        <v>27</v>
      </c>
      <c r="H333" s="26">
        <v>1</v>
      </c>
      <c r="I333" s="26">
        <v>4</v>
      </c>
      <c r="J333" s="26">
        <v>1</v>
      </c>
      <c r="K333" s="26">
        <v>138</v>
      </c>
      <c r="L333" s="26" t="s">
        <v>28</v>
      </c>
      <c r="M333" s="27">
        <v>1381</v>
      </c>
      <c r="N333" s="30">
        <v>361588.04</v>
      </c>
      <c r="O333" s="26" t="s">
        <v>29</v>
      </c>
      <c r="P333" s="29"/>
      <c r="Q333" s="6"/>
      <c r="R333" s="29"/>
      <c r="S333" s="10"/>
      <c r="T333" s="8">
        <v>1</v>
      </c>
    </row>
    <row r="334" spans="1:26" ht="15.75" customHeight="1" outlineLevel="1" x14ac:dyDescent="0.35">
      <c r="A334" s="25"/>
      <c r="B334" s="53" t="s">
        <v>2472</v>
      </c>
      <c r="C334" s="26"/>
      <c r="D334" s="25"/>
      <c r="E334" s="25"/>
      <c r="F334" s="26"/>
      <c r="G334" s="26"/>
      <c r="H334" s="26">
        <f t="shared" ref="H334:I334" si="20">SUBTOTAL(9,H329:H333)</f>
        <v>5</v>
      </c>
      <c r="I334" s="26">
        <f t="shared" si="20"/>
        <v>15</v>
      </c>
      <c r="J334" s="26"/>
      <c r="K334" s="26"/>
      <c r="L334" s="26"/>
      <c r="M334" s="27"/>
      <c r="N334" s="30">
        <f>SUBTOTAL(9,N329:N333)</f>
        <v>1551715.32</v>
      </c>
      <c r="O334" s="26"/>
      <c r="P334" s="29"/>
      <c r="Q334" s="6"/>
      <c r="R334" s="29"/>
      <c r="S334" s="10"/>
      <c r="T334" s="8"/>
    </row>
    <row r="335" spans="1:26" ht="25.5" customHeight="1" x14ac:dyDescent="0.35">
      <c r="A335" s="19"/>
      <c r="B335" s="19"/>
      <c r="C335" s="19"/>
      <c r="D335" s="50"/>
      <c r="E335" s="50"/>
      <c r="F335" s="19"/>
      <c r="G335" s="19"/>
      <c r="H335" s="48"/>
      <c r="I335" s="48"/>
      <c r="J335" s="19"/>
      <c r="K335" s="48"/>
      <c r="L335" s="54"/>
      <c r="M335" s="48"/>
      <c r="N335" s="48"/>
      <c r="O335" s="19"/>
      <c r="P335" s="45"/>
      <c r="Q335" s="51"/>
      <c r="R335" s="26"/>
      <c r="S335" s="55"/>
      <c r="T335" s="44"/>
      <c r="U335" s="54"/>
      <c r="V335" s="50"/>
      <c r="W335" s="19"/>
      <c r="X335" s="19"/>
      <c r="Y335" s="19"/>
      <c r="Z335" s="19"/>
    </row>
    <row r="336" spans="1:26" ht="25.5" customHeight="1" x14ac:dyDescent="0.35">
      <c r="A336" s="19"/>
      <c r="B336" s="56" t="s">
        <v>2377</v>
      </c>
      <c r="C336" s="19"/>
      <c r="D336" s="50"/>
      <c r="E336" s="50"/>
      <c r="F336" s="57"/>
      <c r="G336" s="57"/>
      <c r="H336" s="171" t="s">
        <v>2377</v>
      </c>
      <c r="I336" s="172"/>
      <c r="J336" s="19"/>
      <c r="K336" s="48"/>
      <c r="L336" s="54"/>
      <c r="M336" s="48"/>
      <c r="N336" s="48"/>
      <c r="O336" s="19"/>
      <c r="P336" s="51"/>
      <c r="Q336" s="51"/>
      <c r="R336" s="26"/>
      <c r="S336" s="55"/>
      <c r="T336" s="44"/>
      <c r="U336" s="54"/>
      <c r="V336" s="50"/>
      <c r="W336" s="19"/>
      <c r="X336" s="19"/>
      <c r="Y336" s="19"/>
      <c r="Z336" s="19"/>
    </row>
    <row r="337" spans="1:26" ht="25.5" customHeight="1" x14ac:dyDescent="0.35">
      <c r="A337" s="19"/>
      <c r="B337" s="19"/>
      <c r="C337" s="19"/>
      <c r="D337" s="50"/>
      <c r="E337" s="50"/>
      <c r="F337" s="19"/>
      <c r="G337" s="19"/>
      <c r="H337" s="19"/>
      <c r="I337" s="19"/>
      <c r="J337" s="19"/>
      <c r="K337" s="48"/>
      <c r="L337" s="54"/>
      <c r="M337" s="48"/>
      <c r="N337" s="48"/>
      <c r="O337" s="19"/>
      <c r="P337" s="51"/>
      <c r="Q337" s="51"/>
      <c r="R337" s="26"/>
      <c r="S337" s="55"/>
      <c r="T337" s="44"/>
      <c r="U337" s="54"/>
      <c r="V337" s="50"/>
      <c r="W337" s="19"/>
      <c r="X337" s="19"/>
      <c r="Y337" s="19"/>
      <c r="Z337" s="19"/>
    </row>
    <row r="338" spans="1:26" ht="25.5" customHeight="1" x14ac:dyDescent="0.35">
      <c r="A338" s="19"/>
      <c r="B338" s="19"/>
      <c r="C338" s="19"/>
      <c r="D338" s="50"/>
      <c r="E338" s="50"/>
      <c r="F338" s="19"/>
      <c r="G338" s="19"/>
      <c r="H338" s="48"/>
      <c r="I338" s="48"/>
      <c r="J338" s="19"/>
      <c r="K338" s="48"/>
      <c r="L338" s="54"/>
      <c r="M338" s="48"/>
      <c r="N338" s="48"/>
      <c r="O338" s="19"/>
      <c r="P338" s="51"/>
      <c r="Q338" s="51"/>
      <c r="R338" s="26"/>
      <c r="S338" s="55"/>
      <c r="T338" s="44"/>
      <c r="U338" s="54"/>
      <c r="V338" s="50"/>
      <c r="W338" s="19"/>
      <c r="X338" s="19"/>
      <c r="Y338" s="19"/>
      <c r="Z338" s="19"/>
    </row>
    <row r="339" spans="1:26" ht="25.5" customHeight="1" x14ac:dyDescent="0.35">
      <c r="A339" s="19"/>
      <c r="B339" s="19"/>
      <c r="C339" s="58"/>
      <c r="D339" s="78" t="s">
        <v>2432</v>
      </c>
      <c r="E339" s="50"/>
      <c r="F339" s="19"/>
      <c r="G339" s="19"/>
      <c r="H339" s="48"/>
      <c r="I339" s="48"/>
      <c r="J339" s="19"/>
      <c r="K339" s="48"/>
      <c r="L339" s="54"/>
      <c r="M339" s="173" t="s">
        <v>2433</v>
      </c>
      <c r="N339" s="172"/>
      <c r="O339" s="172"/>
      <c r="P339" s="51"/>
      <c r="Q339" s="51"/>
      <c r="R339" s="26"/>
      <c r="S339" s="55"/>
      <c r="T339" s="44"/>
      <c r="U339" s="54"/>
      <c r="V339" s="50"/>
      <c r="W339" s="19"/>
      <c r="X339" s="19"/>
      <c r="Y339" s="19"/>
      <c r="Z339" s="19"/>
    </row>
    <row r="340" spans="1:26" ht="29.25" customHeight="1" x14ac:dyDescent="0.35">
      <c r="A340" s="19"/>
      <c r="B340" s="19"/>
      <c r="C340" s="59"/>
      <c r="D340" s="56" t="s">
        <v>2434</v>
      </c>
      <c r="E340" s="60"/>
      <c r="F340" s="56"/>
      <c r="G340" s="56"/>
      <c r="H340" s="61"/>
      <c r="I340" s="61"/>
      <c r="J340" s="56"/>
      <c r="K340" s="61"/>
      <c r="L340" s="62"/>
      <c r="M340" s="174" t="s">
        <v>2435</v>
      </c>
      <c r="N340" s="172"/>
      <c r="O340" s="172"/>
      <c r="P340" s="63"/>
      <c r="Q340" s="51"/>
      <c r="R340" s="26"/>
      <c r="S340" s="55"/>
      <c r="T340" s="44"/>
      <c r="U340" s="54"/>
      <c r="V340" s="50"/>
      <c r="W340" s="19"/>
      <c r="X340" s="19"/>
      <c r="Y340" s="19"/>
      <c r="Z340" s="19"/>
    </row>
    <row r="341" spans="1:26" ht="15.75" customHeight="1" outlineLevel="2" x14ac:dyDescent="0.35">
      <c r="A341" s="25" t="s">
        <v>754</v>
      </c>
      <c r="B341" s="25" t="s">
        <v>2473</v>
      </c>
      <c r="C341" s="26">
        <v>110884</v>
      </c>
      <c r="D341" s="25" t="s">
        <v>938</v>
      </c>
      <c r="E341" s="25" t="s">
        <v>936</v>
      </c>
      <c r="F341" s="26" t="s">
        <v>90</v>
      </c>
      <c r="G341" s="26" t="s">
        <v>90</v>
      </c>
      <c r="H341" s="26">
        <v>1</v>
      </c>
      <c r="I341" s="26">
        <v>1</v>
      </c>
      <c r="J341" s="26">
        <v>1</v>
      </c>
      <c r="K341" s="26">
        <v>138</v>
      </c>
      <c r="L341" s="26" t="s">
        <v>28</v>
      </c>
      <c r="M341" s="27">
        <v>1516</v>
      </c>
      <c r="N341" s="28">
        <v>168715.21</v>
      </c>
      <c r="O341" s="26" t="s">
        <v>29</v>
      </c>
      <c r="P341" s="29"/>
      <c r="Q341" s="6"/>
      <c r="R341" s="29"/>
      <c r="S341" s="10"/>
      <c r="T341" s="8">
        <v>1</v>
      </c>
    </row>
    <row r="342" spans="1:26" ht="15.75" customHeight="1" outlineLevel="2" x14ac:dyDescent="0.35">
      <c r="A342" s="25" t="s">
        <v>754</v>
      </c>
      <c r="B342" s="25" t="s">
        <v>2473</v>
      </c>
      <c r="C342" s="26">
        <v>110892</v>
      </c>
      <c r="D342" s="25" t="s">
        <v>941</v>
      </c>
      <c r="E342" s="25" t="s">
        <v>936</v>
      </c>
      <c r="F342" s="26" t="s">
        <v>90</v>
      </c>
      <c r="G342" s="26" t="s">
        <v>90</v>
      </c>
      <c r="H342" s="26">
        <v>1</v>
      </c>
      <c r="I342" s="26">
        <v>1</v>
      </c>
      <c r="J342" s="26">
        <v>1</v>
      </c>
      <c r="K342" s="26">
        <v>138</v>
      </c>
      <c r="L342" s="26" t="s">
        <v>28</v>
      </c>
      <c r="M342" s="27">
        <v>1539</v>
      </c>
      <c r="N342" s="28">
        <v>196968.33</v>
      </c>
      <c r="O342" s="26" t="s">
        <v>29</v>
      </c>
      <c r="P342" s="29"/>
      <c r="Q342" s="6"/>
      <c r="R342" s="29"/>
      <c r="S342" s="10"/>
      <c r="T342" s="8">
        <v>1</v>
      </c>
    </row>
    <row r="343" spans="1:26" ht="15.75" customHeight="1" outlineLevel="2" x14ac:dyDescent="0.35">
      <c r="A343" s="25" t="s">
        <v>754</v>
      </c>
      <c r="B343" s="25" t="s">
        <v>2473</v>
      </c>
      <c r="C343" s="26">
        <v>110920</v>
      </c>
      <c r="D343" s="25" t="s">
        <v>952</v>
      </c>
      <c r="E343" s="25" t="s">
        <v>953</v>
      </c>
      <c r="F343" s="26" t="s">
        <v>215</v>
      </c>
      <c r="G343" s="26" t="s">
        <v>215</v>
      </c>
      <c r="H343" s="26">
        <v>1</v>
      </c>
      <c r="I343" s="26">
        <v>4</v>
      </c>
      <c r="J343" s="26">
        <v>1</v>
      </c>
      <c r="K343" s="26">
        <v>138</v>
      </c>
      <c r="L343" s="26" t="s">
        <v>28</v>
      </c>
      <c r="M343" s="27">
        <v>1412</v>
      </c>
      <c r="N343" s="28">
        <v>415435.9</v>
      </c>
      <c r="O343" s="26" t="s">
        <v>29</v>
      </c>
      <c r="P343" s="29"/>
      <c r="Q343" s="6"/>
      <c r="R343" s="29"/>
      <c r="S343" s="10"/>
      <c r="T343" s="8">
        <v>1</v>
      </c>
    </row>
    <row r="344" spans="1:26" ht="15.75" customHeight="1" outlineLevel="2" x14ac:dyDescent="0.35">
      <c r="A344" s="25" t="s">
        <v>754</v>
      </c>
      <c r="B344" s="25" t="s">
        <v>2473</v>
      </c>
      <c r="C344" s="26">
        <v>110930</v>
      </c>
      <c r="D344" s="25" t="s">
        <v>954</v>
      </c>
      <c r="E344" s="25" t="s">
        <v>953</v>
      </c>
      <c r="F344" s="26" t="s">
        <v>215</v>
      </c>
      <c r="G344" s="26" t="s">
        <v>215</v>
      </c>
      <c r="H344" s="26">
        <v>1</v>
      </c>
      <c r="I344" s="26">
        <v>4</v>
      </c>
      <c r="J344" s="26">
        <v>1</v>
      </c>
      <c r="K344" s="26">
        <v>138</v>
      </c>
      <c r="L344" s="26" t="s">
        <v>28</v>
      </c>
      <c r="M344" s="27">
        <v>1423</v>
      </c>
      <c r="N344" s="28">
        <v>363584.49</v>
      </c>
      <c r="O344" s="26" t="s">
        <v>29</v>
      </c>
      <c r="P344" s="29"/>
      <c r="Q344" s="6"/>
      <c r="R344" s="29"/>
      <c r="S344" s="10"/>
      <c r="T344" s="8">
        <v>1</v>
      </c>
    </row>
    <row r="345" spans="1:26" ht="15.75" customHeight="1" outlineLevel="2" x14ac:dyDescent="0.35">
      <c r="A345" s="25" t="s">
        <v>754</v>
      </c>
      <c r="B345" s="25" t="s">
        <v>2473</v>
      </c>
      <c r="C345" s="26">
        <v>110933</v>
      </c>
      <c r="D345" s="25" t="s">
        <v>955</v>
      </c>
      <c r="E345" s="25" t="s">
        <v>953</v>
      </c>
      <c r="F345" s="26" t="s">
        <v>215</v>
      </c>
      <c r="G345" s="26" t="s">
        <v>215</v>
      </c>
      <c r="H345" s="26">
        <v>1</v>
      </c>
      <c r="I345" s="26">
        <v>4</v>
      </c>
      <c r="J345" s="26">
        <v>1</v>
      </c>
      <c r="K345" s="26">
        <v>138</v>
      </c>
      <c r="L345" s="26" t="s">
        <v>28</v>
      </c>
      <c r="M345" s="27">
        <v>1427</v>
      </c>
      <c r="N345" s="28">
        <v>395639.45</v>
      </c>
      <c r="O345" s="26" t="s">
        <v>29</v>
      </c>
      <c r="P345" s="29"/>
      <c r="Q345" s="6"/>
      <c r="R345" s="29"/>
      <c r="S345" s="10"/>
      <c r="T345" s="8">
        <v>1</v>
      </c>
    </row>
    <row r="346" spans="1:26" ht="15.75" customHeight="1" outlineLevel="2" x14ac:dyDescent="0.35">
      <c r="A346" s="25" t="s">
        <v>754</v>
      </c>
      <c r="B346" s="25" t="s">
        <v>2473</v>
      </c>
      <c r="C346" s="26">
        <v>110942</v>
      </c>
      <c r="D346" s="25" t="s">
        <v>957</v>
      </c>
      <c r="E346" s="25" t="s">
        <v>953</v>
      </c>
      <c r="F346" s="26" t="s">
        <v>215</v>
      </c>
      <c r="G346" s="26" t="s">
        <v>215</v>
      </c>
      <c r="H346" s="26">
        <v>1</v>
      </c>
      <c r="I346" s="26">
        <v>5</v>
      </c>
      <c r="J346" s="26">
        <v>1</v>
      </c>
      <c r="K346" s="26">
        <v>138</v>
      </c>
      <c r="L346" s="26" t="s">
        <v>28</v>
      </c>
      <c r="M346" s="27">
        <v>1435</v>
      </c>
      <c r="N346" s="28">
        <v>476354.92</v>
      </c>
      <c r="O346" s="26" t="s">
        <v>29</v>
      </c>
      <c r="P346" s="29"/>
      <c r="Q346" s="6"/>
      <c r="R346" s="29"/>
      <c r="S346" s="10"/>
      <c r="T346" s="8">
        <v>1</v>
      </c>
    </row>
    <row r="347" spans="1:26" ht="15.75" customHeight="1" outlineLevel="2" x14ac:dyDescent="0.35">
      <c r="A347" s="25" t="s">
        <v>754</v>
      </c>
      <c r="B347" s="25" t="s">
        <v>2473</v>
      </c>
      <c r="C347" s="26">
        <v>110965</v>
      </c>
      <c r="D347" s="25" t="s">
        <v>959</v>
      </c>
      <c r="E347" s="25" t="s">
        <v>960</v>
      </c>
      <c r="F347" s="26" t="s">
        <v>215</v>
      </c>
      <c r="G347" s="26" t="s">
        <v>215</v>
      </c>
      <c r="H347" s="26">
        <v>1</v>
      </c>
      <c r="I347" s="26">
        <v>3</v>
      </c>
      <c r="J347" s="26">
        <v>1</v>
      </c>
      <c r="K347" s="26">
        <v>138</v>
      </c>
      <c r="L347" s="26" t="s">
        <v>28</v>
      </c>
      <c r="M347" s="27">
        <v>1425</v>
      </c>
      <c r="N347" s="28">
        <v>348234.54</v>
      </c>
      <c r="O347" s="26" t="s">
        <v>29</v>
      </c>
      <c r="P347" s="29"/>
      <c r="Q347" s="6"/>
      <c r="R347" s="29"/>
      <c r="S347" s="10"/>
      <c r="T347" s="8">
        <v>1</v>
      </c>
    </row>
    <row r="348" spans="1:26" ht="15.75" customHeight="1" outlineLevel="2" x14ac:dyDescent="0.35">
      <c r="A348" s="25" t="s">
        <v>754</v>
      </c>
      <c r="B348" s="25" t="s">
        <v>2473</v>
      </c>
      <c r="C348" s="26">
        <v>110966</v>
      </c>
      <c r="D348" s="25" t="s">
        <v>961</v>
      </c>
      <c r="E348" s="25" t="s">
        <v>960</v>
      </c>
      <c r="F348" s="26" t="s">
        <v>215</v>
      </c>
      <c r="G348" s="26" t="s">
        <v>215</v>
      </c>
      <c r="H348" s="26">
        <v>1</v>
      </c>
      <c r="I348" s="26">
        <v>3</v>
      </c>
      <c r="J348" s="26">
        <v>1</v>
      </c>
      <c r="K348" s="26">
        <v>138</v>
      </c>
      <c r="L348" s="26" t="s">
        <v>28</v>
      </c>
      <c r="M348" s="27">
        <v>1429</v>
      </c>
      <c r="N348" s="28">
        <v>342234.44</v>
      </c>
      <c r="O348" s="26" t="s">
        <v>29</v>
      </c>
      <c r="P348" s="29"/>
      <c r="Q348" s="6"/>
      <c r="R348" s="29"/>
      <c r="S348" s="10"/>
      <c r="T348" s="8">
        <v>1</v>
      </c>
    </row>
    <row r="349" spans="1:26" ht="15.75" customHeight="1" outlineLevel="2" x14ac:dyDescent="0.35">
      <c r="A349" s="25" t="s">
        <v>754</v>
      </c>
      <c r="B349" s="25" t="s">
        <v>2473</v>
      </c>
      <c r="C349" s="26">
        <v>111025</v>
      </c>
      <c r="D349" s="25" t="s">
        <v>969</v>
      </c>
      <c r="E349" s="25" t="s">
        <v>968</v>
      </c>
      <c r="F349" s="26" t="s">
        <v>215</v>
      </c>
      <c r="G349" s="26" t="s">
        <v>215</v>
      </c>
      <c r="H349" s="26">
        <v>1</v>
      </c>
      <c r="I349" s="26">
        <v>3</v>
      </c>
      <c r="J349" s="26">
        <v>1</v>
      </c>
      <c r="K349" s="26">
        <v>138</v>
      </c>
      <c r="L349" s="26" t="s">
        <v>28</v>
      </c>
      <c r="M349" s="27">
        <v>1437</v>
      </c>
      <c r="N349" s="28">
        <v>279614.83</v>
      </c>
      <c r="O349" s="26" t="s">
        <v>29</v>
      </c>
      <c r="P349" s="29"/>
      <c r="Q349" s="6"/>
      <c r="R349" s="29"/>
      <c r="S349" s="10"/>
      <c r="T349" s="8">
        <v>1</v>
      </c>
    </row>
    <row r="350" spans="1:26" ht="15.75" customHeight="1" outlineLevel="2" x14ac:dyDescent="0.35">
      <c r="A350" s="25" t="s">
        <v>754</v>
      </c>
      <c r="B350" s="25" t="s">
        <v>2473</v>
      </c>
      <c r="C350" s="26">
        <v>111107</v>
      </c>
      <c r="D350" s="25" t="s">
        <v>984</v>
      </c>
      <c r="E350" s="25" t="s">
        <v>976</v>
      </c>
      <c r="F350" s="26" t="s">
        <v>90</v>
      </c>
      <c r="G350" s="26" t="s">
        <v>90</v>
      </c>
      <c r="H350" s="26">
        <v>1</v>
      </c>
      <c r="I350" s="26">
        <v>2</v>
      </c>
      <c r="J350" s="26">
        <v>1</v>
      </c>
      <c r="K350" s="26">
        <v>138</v>
      </c>
      <c r="L350" s="26" t="s">
        <v>28</v>
      </c>
      <c r="M350" s="27">
        <v>1507</v>
      </c>
      <c r="N350" s="28">
        <v>194424.01</v>
      </c>
      <c r="O350" s="26" t="s">
        <v>29</v>
      </c>
      <c r="P350" s="29"/>
      <c r="Q350" s="6"/>
      <c r="R350" s="29"/>
      <c r="S350" s="10"/>
      <c r="T350" s="8">
        <v>1</v>
      </c>
    </row>
    <row r="351" spans="1:26" ht="15.75" customHeight="1" outlineLevel="2" x14ac:dyDescent="0.35">
      <c r="A351" s="9" t="s">
        <v>754</v>
      </c>
      <c r="B351" s="9" t="s">
        <v>876</v>
      </c>
      <c r="C351" s="31">
        <v>111118</v>
      </c>
      <c r="D351" s="32" t="s">
        <v>988</v>
      </c>
      <c r="E351" s="32" t="s">
        <v>976</v>
      </c>
      <c r="F351" s="29">
        <v>2</v>
      </c>
      <c r="G351" s="33"/>
      <c r="H351" s="33">
        <v>1</v>
      </c>
      <c r="I351" s="47">
        <v>5</v>
      </c>
      <c r="J351" s="29"/>
      <c r="K351" s="10"/>
      <c r="L351" s="10"/>
      <c r="M351" s="11"/>
      <c r="N351" s="34">
        <v>427669.95</v>
      </c>
      <c r="O351" s="26" t="s">
        <v>29</v>
      </c>
      <c r="P351" s="29" t="s">
        <v>163</v>
      </c>
      <c r="Q351" s="6"/>
      <c r="R351" s="29"/>
      <c r="S351" s="10"/>
      <c r="T351" s="8">
        <v>1</v>
      </c>
    </row>
    <row r="352" spans="1:26" ht="15.75" customHeight="1" outlineLevel="2" x14ac:dyDescent="0.35">
      <c r="A352" s="25" t="s">
        <v>754</v>
      </c>
      <c r="B352" s="25" t="s">
        <v>2473</v>
      </c>
      <c r="C352" s="26">
        <v>111155</v>
      </c>
      <c r="D352" s="25" t="s">
        <v>993</v>
      </c>
      <c r="E352" s="25" t="s">
        <v>564</v>
      </c>
      <c r="F352" s="26" t="s">
        <v>215</v>
      </c>
      <c r="G352" s="26" t="s">
        <v>215</v>
      </c>
      <c r="H352" s="26">
        <v>1</v>
      </c>
      <c r="I352" s="26">
        <v>2</v>
      </c>
      <c r="J352" s="26">
        <v>1</v>
      </c>
      <c r="K352" s="26">
        <v>138</v>
      </c>
      <c r="L352" s="26" t="s">
        <v>28</v>
      </c>
      <c r="M352" s="27">
        <v>1443</v>
      </c>
      <c r="N352" s="28">
        <v>231510.01</v>
      </c>
      <c r="O352" s="26" t="s">
        <v>29</v>
      </c>
      <c r="P352" s="29"/>
      <c r="Q352" s="6"/>
      <c r="R352" s="29"/>
      <c r="S352" s="10"/>
      <c r="T352" s="8">
        <v>1</v>
      </c>
    </row>
    <row r="353" spans="1:26" ht="15.75" customHeight="1" outlineLevel="2" x14ac:dyDescent="0.35">
      <c r="A353" s="25" t="s">
        <v>754</v>
      </c>
      <c r="B353" s="25" t="s">
        <v>2473</v>
      </c>
      <c r="C353" s="26">
        <v>111475</v>
      </c>
      <c r="D353" s="25" t="s">
        <v>1050</v>
      </c>
      <c r="E353" s="25" t="s">
        <v>1049</v>
      </c>
      <c r="F353" s="26" t="s">
        <v>90</v>
      </c>
      <c r="G353" s="26" t="s">
        <v>90</v>
      </c>
      <c r="H353" s="26">
        <v>1</v>
      </c>
      <c r="I353" s="26">
        <v>5</v>
      </c>
      <c r="J353" s="26">
        <v>1</v>
      </c>
      <c r="K353" s="26">
        <v>138</v>
      </c>
      <c r="L353" s="26" t="s">
        <v>28</v>
      </c>
      <c r="M353" s="27">
        <v>1562</v>
      </c>
      <c r="N353" s="28">
        <v>386899.49</v>
      </c>
      <c r="O353" s="26" t="s">
        <v>29</v>
      </c>
      <c r="P353" s="29"/>
      <c r="Q353" s="6"/>
      <c r="R353" s="29"/>
      <c r="S353" s="10"/>
      <c r="T353" s="8">
        <v>1</v>
      </c>
    </row>
    <row r="354" spans="1:26" ht="15.75" customHeight="1" outlineLevel="2" x14ac:dyDescent="0.35">
      <c r="A354" s="25" t="s">
        <v>754</v>
      </c>
      <c r="B354" s="25" t="s">
        <v>2473</v>
      </c>
      <c r="C354" s="26">
        <v>170512</v>
      </c>
      <c r="D354" s="25" t="s">
        <v>1017</v>
      </c>
      <c r="E354" s="25" t="s">
        <v>564</v>
      </c>
      <c r="F354" s="26" t="s">
        <v>215</v>
      </c>
      <c r="G354" s="26" t="s">
        <v>215</v>
      </c>
      <c r="H354" s="26">
        <v>1</v>
      </c>
      <c r="I354" s="26">
        <v>2</v>
      </c>
      <c r="J354" s="26">
        <v>1</v>
      </c>
      <c r="K354" s="26">
        <v>138</v>
      </c>
      <c r="L354" s="26" t="s">
        <v>28</v>
      </c>
      <c r="M354" s="27">
        <v>1449</v>
      </c>
      <c r="N354" s="28">
        <v>230019.54</v>
      </c>
      <c r="O354" s="26" t="s">
        <v>29</v>
      </c>
      <c r="P354" s="29"/>
      <c r="Q354" s="6"/>
      <c r="R354" s="29"/>
      <c r="S354" s="10"/>
      <c r="T354" s="8">
        <v>1</v>
      </c>
    </row>
    <row r="355" spans="1:26" ht="15.75" customHeight="1" outlineLevel="2" x14ac:dyDescent="0.35">
      <c r="A355" s="25" t="s">
        <v>754</v>
      </c>
      <c r="B355" s="25" t="s">
        <v>2473</v>
      </c>
      <c r="C355" s="26">
        <v>170533</v>
      </c>
      <c r="D355" s="25" t="s">
        <v>1021</v>
      </c>
      <c r="E355" s="25" t="s">
        <v>1022</v>
      </c>
      <c r="F355" s="26" t="s">
        <v>215</v>
      </c>
      <c r="G355" s="26" t="s">
        <v>215</v>
      </c>
      <c r="H355" s="26">
        <v>1</v>
      </c>
      <c r="I355" s="26">
        <v>8</v>
      </c>
      <c r="J355" s="26">
        <v>1</v>
      </c>
      <c r="K355" s="26">
        <v>138</v>
      </c>
      <c r="L355" s="26" t="s">
        <v>28</v>
      </c>
      <c r="M355" s="27">
        <v>1424</v>
      </c>
      <c r="N355" s="28">
        <v>744618.06</v>
      </c>
      <c r="O355" s="26" t="s">
        <v>29</v>
      </c>
      <c r="P355" s="29"/>
      <c r="Q355" s="6"/>
      <c r="R355" s="29"/>
      <c r="S355" s="10"/>
      <c r="T355" s="8">
        <v>1</v>
      </c>
    </row>
    <row r="356" spans="1:26" ht="15.75" customHeight="1" outlineLevel="2" x14ac:dyDescent="0.35">
      <c r="A356" s="25" t="s">
        <v>754</v>
      </c>
      <c r="B356" s="25" t="s">
        <v>2473</v>
      </c>
      <c r="C356" s="26">
        <v>170556</v>
      </c>
      <c r="D356" s="25" t="s">
        <v>1034</v>
      </c>
      <c r="E356" s="25" t="s">
        <v>878</v>
      </c>
      <c r="F356" s="26" t="s">
        <v>90</v>
      </c>
      <c r="G356" s="26" t="s">
        <v>90</v>
      </c>
      <c r="H356" s="26">
        <v>1</v>
      </c>
      <c r="I356" s="26">
        <v>5</v>
      </c>
      <c r="J356" s="26">
        <v>1</v>
      </c>
      <c r="K356" s="26">
        <v>138</v>
      </c>
      <c r="L356" s="26" t="s">
        <v>28</v>
      </c>
      <c r="M356" s="27">
        <v>1557</v>
      </c>
      <c r="N356" s="28">
        <v>502744.54</v>
      </c>
      <c r="O356" s="26" t="s">
        <v>29</v>
      </c>
      <c r="P356" s="29"/>
      <c r="Q356" s="6"/>
      <c r="R356" s="29"/>
      <c r="S356" s="10"/>
      <c r="T356" s="8">
        <v>1</v>
      </c>
    </row>
    <row r="357" spans="1:26" ht="15.75" customHeight="1" outlineLevel="2" x14ac:dyDescent="0.35">
      <c r="A357" s="25" t="s">
        <v>754</v>
      </c>
      <c r="B357" s="25" t="s">
        <v>2473</v>
      </c>
      <c r="C357" s="26">
        <v>170567</v>
      </c>
      <c r="D357" s="25" t="s">
        <v>1038</v>
      </c>
      <c r="E357" s="25" t="s">
        <v>978</v>
      </c>
      <c r="F357" s="26" t="s">
        <v>90</v>
      </c>
      <c r="G357" s="26" t="s">
        <v>90</v>
      </c>
      <c r="H357" s="26">
        <v>1</v>
      </c>
      <c r="I357" s="26">
        <v>3</v>
      </c>
      <c r="J357" s="26">
        <v>1</v>
      </c>
      <c r="K357" s="26">
        <v>138</v>
      </c>
      <c r="L357" s="26" t="s">
        <v>28</v>
      </c>
      <c r="M357" s="27">
        <v>1531</v>
      </c>
      <c r="N357" s="28">
        <v>595235.36</v>
      </c>
      <c r="O357" s="26" t="s">
        <v>29</v>
      </c>
      <c r="P357" s="29"/>
      <c r="Q357" s="6"/>
      <c r="R357" s="29"/>
      <c r="S357" s="10"/>
      <c r="T357" s="8">
        <v>1</v>
      </c>
    </row>
    <row r="358" spans="1:26" ht="15.75" customHeight="1" outlineLevel="2" x14ac:dyDescent="0.35">
      <c r="A358" s="9" t="s">
        <v>754</v>
      </c>
      <c r="B358" s="25" t="s">
        <v>2473</v>
      </c>
      <c r="C358" s="31">
        <v>301743</v>
      </c>
      <c r="D358" s="32" t="s">
        <v>1042</v>
      </c>
      <c r="E358" s="32" t="s">
        <v>976</v>
      </c>
      <c r="F358" s="26" t="s">
        <v>90</v>
      </c>
      <c r="G358" s="33"/>
      <c r="H358" s="33">
        <v>1</v>
      </c>
      <c r="I358" s="47">
        <v>5</v>
      </c>
      <c r="J358" s="29"/>
      <c r="K358" s="10"/>
      <c r="L358" s="10"/>
      <c r="M358" s="11"/>
      <c r="N358" s="34">
        <v>438813.56</v>
      </c>
      <c r="O358" s="26" t="s">
        <v>29</v>
      </c>
      <c r="P358" s="29" t="s">
        <v>163</v>
      </c>
      <c r="Q358" s="6"/>
      <c r="R358" s="29"/>
      <c r="S358" s="10"/>
      <c r="T358" s="8">
        <v>1</v>
      </c>
    </row>
    <row r="359" spans="1:26" ht="15.75" customHeight="1" outlineLevel="1" x14ac:dyDescent="0.35">
      <c r="A359" s="9"/>
      <c r="B359" s="65" t="s">
        <v>2474</v>
      </c>
      <c r="C359" s="31"/>
      <c r="D359" s="32"/>
      <c r="E359" s="32"/>
      <c r="F359" s="29"/>
      <c r="G359" s="33"/>
      <c r="H359" s="33">
        <f t="shared" ref="H359:I359" si="21">SUBTOTAL(9,H341:H358)</f>
        <v>18</v>
      </c>
      <c r="I359" s="47">
        <f t="shared" si="21"/>
        <v>65</v>
      </c>
      <c r="J359" s="29"/>
      <c r="K359" s="10"/>
      <c r="L359" s="10"/>
      <c r="M359" s="11"/>
      <c r="N359" s="34">
        <f>SUBTOTAL(9,N341:N358)</f>
        <v>6738716.6299999999</v>
      </c>
      <c r="O359" s="26"/>
      <c r="P359" s="29"/>
      <c r="Q359" s="6"/>
      <c r="R359" s="29"/>
      <c r="S359" s="10"/>
      <c r="T359" s="8"/>
    </row>
    <row r="360" spans="1:26" ht="25.5" customHeight="1" x14ac:dyDescent="0.35">
      <c r="A360" s="19"/>
      <c r="B360" s="19"/>
      <c r="C360" s="19"/>
      <c r="D360" s="50"/>
      <c r="E360" s="50"/>
      <c r="F360" s="19"/>
      <c r="G360" s="19"/>
      <c r="H360" s="48"/>
      <c r="I360" s="48"/>
      <c r="J360" s="19"/>
      <c r="K360" s="48"/>
      <c r="L360" s="54"/>
      <c r="M360" s="48"/>
      <c r="N360" s="48"/>
      <c r="O360" s="19"/>
      <c r="P360" s="45"/>
      <c r="Q360" s="51"/>
      <c r="R360" s="26"/>
      <c r="S360" s="55"/>
      <c r="T360" s="44"/>
      <c r="U360" s="54"/>
      <c r="V360" s="50"/>
      <c r="W360" s="19"/>
      <c r="X360" s="19"/>
      <c r="Y360" s="19"/>
      <c r="Z360" s="19"/>
    </row>
    <row r="361" spans="1:26" ht="25.5" customHeight="1" x14ac:dyDescent="0.35">
      <c r="A361" s="19"/>
      <c r="B361" s="56" t="s">
        <v>2377</v>
      </c>
      <c r="C361" s="19"/>
      <c r="D361" s="50"/>
      <c r="E361" s="50"/>
      <c r="F361" s="57"/>
      <c r="G361" s="57"/>
      <c r="H361" s="171" t="s">
        <v>2377</v>
      </c>
      <c r="I361" s="172"/>
      <c r="J361" s="19"/>
      <c r="K361" s="48"/>
      <c r="L361" s="54"/>
      <c r="M361" s="48"/>
      <c r="N361" s="48"/>
      <c r="O361" s="19"/>
      <c r="P361" s="51"/>
      <c r="Q361" s="51"/>
      <c r="R361" s="26"/>
      <c r="S361" s="55"/>
      <c r="T361" s="44"/>
      <c r="U361" s="54"/>
      <c r="V361" s="50"/>
      <c r="W361" s="19"/>
      <c r="X361" s="19"/>
      <c r="Y361" s="19"/>
      <c r="Z361" s="19"/>
    </row>
    <row r="362" spans="1:26" ht="25.5" customHeight="1" x14ac:dyDescent="0.35">
      <c r="A362" s="19"/>
      <c r="B362" s="19"/>
      <c r="C362" s="19"/>
      <c r="D362" s="50"/>
      <c r="E362" s="50"/>
      <c r="F362" s="19"/>
      <c r="G362" s="19"/>
      <c r="H362" s="19"/>
      <c r="I362" s="19"/>
      <c r="J362" s="19"/>
      <c r="K362" s="48"/>
      <c r="L362" s="54"/>
      <c r="M362" s="48"/>
      <c r="N362" s="48"/>
      <c r="O362" s="19"/>
      <c r="P362" s="51"/>
      <c r="Q362" s="51"/>
      <c r="R362" s="26"/>
      <c r="S362" s="55"/>
      <c r="T362" s="44"/>
      <c r="U362" s="54"/>
      <c r="V362" s="50"/>
      <c r="W362" s="19"/>
      <c r="X362" s="19"/>
      <c r="Y362" s="19"/>
      <c r="Z362" s="19"/>
    </row>
    <row r="363" spans="1:26" ht="25.5" customHeight="1" x14ac:dyDescent="0.35">
      <c r="A363" s="19"/>
      <c r="B363" s="19"/>
      <c r="C363" s="19"/>
      <c r="D363" s="50"/>
      <c r="E363" s="50"/>
      <c r="F363" s="19"/>
      <c r="G363" s="19"/>
      <c r="H363" s="48"/>
      <c r="I363" s="48"/>
      <c r="J363" s="19"/>
      <c r="K363" s="48"/>
      <c r="L363" s="54"/>
      <c r="M363" s="48"/>
      <c r="N363" s="48"/>
      <c r="O363" s="19"/>
      <c r="P363" s="51"/>
      <c r="Q363" s="51"/>
      <c r="R363" s="26"/>
      <c r="S363" s="55"/>
      <c r="T363" s="44"/>
      <c r="U363" s="54"/>
      <c r="V363" s="50"/>
      <c r="W363" s="19"/>
      <c r="X363" s="19"/>
      <c r="Y363" s="19"/>
      <c r="Z363" s="19"/>
    </row>
    <row r="364" spans="1:26" ht="25.5" customHeight="1" x14ac:dyDescent="0.35">
      <c r="A364" s="19"/>
      <c r="B364" s="19"/>
      <c r="C364" s="58"/>
      <c r="D364" s="78" t="s">
        <v>2432</v>
      </c>
      <c r="E364" s="50"/>
      <c r="F364" s="19"/>
      <c r="G364" s="19"/>
      <c r="H364" s="48"/>
      <c r="I364" s="48"/>
      <c r="J364" s="19"/>
      <c r="K364" s="48"/>
      <c r="L364" s="54"/>
      <c r="M364" s="173" t="s">
        <v>2433</v>
      </c>
      <c r="N364" s="172"/>
      <c r="O364" s="172"/>
      <c r="P364" s="51"/>
      <c r="Q364" s="51"/>
      <c r="R364" s="26"/>
      <c r="S364" s="55"/>
      <c r="T364" s="44"/>
      <c r="U364" s="54"/>
      <c r="V364" s="50"/>
      <c r="W364" s="19"/>
      <c r="X364" s="19"/>
      <c r="Y364" s="19"/>
      <c r="Z364" s="19"/>
    </row>
    <row r="365" spans="1:26" ht="29.25" customHeight="1" x14ac:dyDescent="0.35">
      <c r="A365" s="19"/>
      <c r="B365" s="19"/>
      <c r="C365" s="59"/>
      <c r="D365" s="56" t="s">
        <v>2434</v>
      </c>
      <c r="E365" s="60"/>
      <c r="F365" s="56"/>
      <c r="G365" s="56"/>
      <c r="H365" s="61"/>
      <c r="I365" s="61"/>
      <c r="J365" s="56"/>
      <c r="K365" s="61"/>
      <c r="L365" s="62"/>
      <c r="M365" s="174" t="s">
        <v>2435</v>
      </c>
      <c r="N365" s="172"/>
      <c r="O365" s="172"/>
      <c r="P365" s="63"/>
      <c r="Q365" s="51"/>
      <c r="R365" s="26"/>
      <c r="S365" s="55"/>
      <c r="T365" s="44"/>
      <c r="U365" s="54"/>
      <c r="V365" s="50"/>
      <c r="W365" s="19"/>
      <c r="X365" s="19"/>
      <c r="Y365" s="19"/>
      <c r="Z365" s="19"/>
    </row>
    <row r="366" spans="1:26" ht="15.75" customHeight="1" outlineLevel="2" x14ac:dyDescent="0.35">
      <c r="A366" s="9" t="s">
        <v>754</v>
      </c>
      <c r="B366" s="9" t="s">
        <v>1047</v>
      </c>
      <c r="C366" s="31">
        <v>111474</v>
      </c>
      <c r="D366" s="32" t="s">
        <v>1048</v>
      </c>
      <c r="E366" s="32" t="s">
        <v>1049</v>
      </c>
      <c r="F366" s="29">
        <v>2</v>
      </c>
      <c r="G366" s="33"/>
      <c r="H366" s="33">
        <v>1</v>
      </c>
      <c r="I366" s="47">
        <v>7</v>
      </c>
      <c r="J366" s="29"/>
      <c r="K366" s="10"/>
      <c r="L366" s="10"/>
      <c r="M366" s="11"/>
      <c r="N366" s="34">
        <v>377032.32</v>
      </c>
      <c r="O366" s="26" t="s">
        <v>29</v>
      </c>
      <c r="P366" s="29" t="s">
        <v>163</v>
      </c>
      <c r="Q366" s="6"/>
      <c r="R366" s="29"/>
      <c r="S366" s="10"/>
      <c r="T366" s="8">
        <v>1</v>
      </c>
    </row>
    <row r="367" spans="1:26" ht="15.75" customHeight="1" outlineLevel="2" x14ac:dyDescent="0.35">
      <c r="A367" s="9" t="s">
        <v>754</v>
      </c>
      <c r="B367" s="9" t="s">
        <v>1047</v>
      </c>
      <c r="C367" s="31">
        <v>111490</v>
      </c>
      <c r="D367" s="32" t="s">
        <v>1052</v>
      </c>
      <c r="E367" s="32" t="s">
        <v>1049</v>
      </c>
      <c r="F367" s="29">
        <v>2</v>
      </c>
      <c r="G367" s="33"/>
      <c r="H367" s="33">
        <v>1</v>
      </c>
      <c r="I367" s="47">
        <v>8</v>
      </c>
      <c r="J367" s="29"/>
      <c r="K367" s="10"/>
      <c r="L367" s="10"/>
      <c r="M367" s="11"/>
      <c r="N367" s="34">
        <v>457672.08</v>
      </c>
      <c r="O367" s="26" t="s">
        <v>29</v>
      </c>
      <c r="P367" s="29" t="s">
        <v>163</v>
      </c>
      <c r="Q367" s="6"/>
      <c r="R367" s="29"/>
      <c r="S367" s="10"/>
      <c r="T367" s="8">
        <v>1</v>
      </c>
    </row>
    <row r="368" spans="1:26" ht="15.75" customHeight="1" outlineLevel="2" x14ac:dyDescent="0.35">
      <c r="A368" s="9" t="s">
        <v>754</v>
      </c>
      <c r="B368" s="9" t="s">
        <v>1047</v>
      </c>
      <c r="C368" s="31">
        <v>111493</v>
      </c>
      <c r="D368" s="32" t="s">
        <v>1053</v>
      </c>
      <c r="E368" s="32" t="s">
        <v>1049</v>
      </c>
      <c r="F368" s="29">
        <v>2</v>
      </c>
      <c r="G368" s="33"/>
      <c r="H368" s="33">
        <v>1</v>
      </c>
      <c r="I368" s="47">
        <v>7</v>
      </c>
      <c r="J368" s="29"/>
      <c r="K368" s="10"/>
      <c r="L368" s="10"/>
      <c r="M368" s="11"/>
      <c r="N368" s="34">
        <v>458845.5</v>
      </c>
      <c r="O368" s="26" t="s">
        <v>29</v>
      </c>
      <c r="P368" s="29" t="s">
        <v>163</v>
      </c>
      <c r="Q368" s="6"/>
      <c r="R368" s="29"/>
      <c r="S368" s="10"/>
      <c r="T368" s="8">
        <v>1</v>
      </c>
    </row>
    <row r="369" spans="1:26" ht="15.75" customHeight="1" outlineLevel="2" x14ac:dyDescent="0.35">
      <c r="A369" s="9" t="s">
        <v>754</v>
      </c>
      <c r="B369" s="9" t="s">
        <v>1047</v>
      </c>
      <c r="C369" s="31">
        <v>111496</v>
      </c>
      <c r="D369" s="32" t="s">
        <v>747</v>
      </c>
      <c r="E369" s="32" t="s">
        <v>1049</v>
      </c>
      <c r="F369" s="29">
        <v>2</v>
      </c>
      <c r="G369" s="33"/>
      <c r="H369" s="33">
        <v>1</v>
      </c>
      <c r="I369" s="47">
        <v>6</v>
      </c>
      <c r="J369" s="29"/>
      <c r="K369" s="10"/>
      <c r="L369" s="10"/>
      <c r="M369" s="11"/>
      <c r="N369" s="34">
        <v>577862.51</v>
      </c>
      <c r="O369" s="26" t="s">
        <v>29</v>
      </c>
      <c r="P369" s="29" t="s">
        <v>163</v>
      </c>
      <c r="Q369" s="6"/>
      <c r="R369" s="29"/>
      <c r="S369" s="10"/>
      <c r="T369" s="8">
        <v>1</v>
      </c>
    </row>
    <row r="370" spans="1:26" ht="15.75" customHeight="1" outlineLevel="2" x14ac:dyDescent="0.35">
      <c r="A370" s="9" t="s">
        <v>754</v>
      </c>
      <c r="B370" s="9" t="s">
        <v>1047</v>
      </c>
      <c r="C370" s="31">
        <v>171503</v>
      </c>
      <c r="D370" s="32" t="s">
        <v>1061</v>
      </c>
      <c r="E370" s="32" t="s">
        <v>1049</v>
      </c>
      <c r="F370" s="29">
        <v>2</v>
      </c>
      <c r="G370" s="33"/>
      <c r="H370" s="33">
        <v>1</v>
      </c>
      <c r="I370" s="47">
        <v>16</v>
      </c>
      <c r="J370" s="29"/>
      <c r="K370" s="10"/>
      <c r="L370" s="10"/>
      <c r="M370" s="11"/>
      <c r="N370" s="34">
        <v>779958.37</v>
      </c>
      <c r="O370" s="26" t="s">
        <v>29</v>
      </c>
      <c r="P370" s="29" t="s">
        <v>163</v>
      </c>
      <c r="Q370" s="6"/>
      <c r="R370" s="29"/>
      <c r="S370" s="10"/>
      <c r="T370" s="8">
        <v>1</v>
      </c>
    </row>
    <row r="371" spans="1:26" ht="15.75" customHeight="1" outlineLevel="2" x14ac:dyDescent="0.35">
      <c r="A371" s="9" t="s">
        <v>754</v>
      </c>
      <c r="B371" s="9" t="s">
        <v>1047</v>
      </c>
      <c r="C371" s="31">
        <v>171505</v>
      </c>
      <c r="D371" s="32" t="s">
        <v>1062</v>
      </c>
      <c r="E371" s="32" t="s">
        <v>1049</v>
      </c>
      <c r="F371" s="29">
        <v>2</v>
      </c>
      <c r="G371" s="33"/>
      <c r="H371" s="33">
        <v>1</v>
      </c>
      <c r="I371" s="47">
        <v>4</v>
      </c>
      <c r="J371" s="29"/>
      <c r="K371" s="10"/>
      <c r="L371" s="10"/>
      <c r="M371" s="11"/>
      <c r="N371" s="34">
        <v>295333.32</v>
      </c>
      <c r="O371" s="26" t="s">
        <v>29</v>
      </c>
      <c r="P371" s="29" t="s">
        <v>163</v>
      </c>
      <c r="Q371" s="6"/>
      <c r="R371" s="29"/>
      <c r="S371" s="10"/>
      <c r="T371" s="8">
        <v>1</v>
      </c>
    </row>
    <row r="372" spans="1:26" ht="15.75" customHeight="1" outlineLevel="1" x14ac:dyDescent="0.35">
      <c r="A372" s="9"/>
      <c r="B372" s="65" t="s">
        <v>2475</v>
      </c>
      <c r="C372" s="31"/>
      <c r="D372" s="32"/>
      <c r="E372" s="32"/>
      <c r="F372" s="29"/>
      <c r="G372" s="33"/>
      <c r="H372" s="33">
        <f t="shared" ref="H372:I372" si="22">SUBTOTAL(9,H366:H371)</f>
        <v>6</v>
      </c>
      <c r="I372" s="47">
        <f t="shared" si="22"/>
        <v>48</v>
      </c>
      <c r="J372" s="29"/>
      <c r="K372" s="10"/>
      <c r="L372" s="10"/>
      <c r="M372" s="11"/>
      <c r="N372" s="34">
        <f>SUBTOTAL(9,N366:N371)</f>
        <v>2946704.0999999996</v>
      </c>
      <c r="O372" s="26"/>
      <c r="P372" s="29"/>
      <c r="Q372" s="6"/>
      <c r="R372" s="29"/>
      <c r="S372" s="10"/>
      <c r="T372" s="8"/>
    </row>
    <row r="373" spans="1:26" ht="25.5" customHeight="1" x14ac:dyDescent="0.35">
      <c r="A373" s="19"/>
      <c r="B373" s="19"/>
      <c r="C373" s="19"/>
      <c r="D373" s="50"/>
      <c r="E373" s="50"/>
      <c r="F373" s="19"/>
      <c r="G373" s="19"/>
      <c r="H373" s="48"/>
      <c r="I373" s="48"/>
      <c r="J373" s="19"/>
      <c r="K373" s="48"/>
      <c r="L373" s="54"/>
      <c r="M373" s="48"/>
      <c r="N373" s="48"/>
      <c r="O373" s="19"/>
      <c r="P373" s="45"/>
      <c r="Q373" s="51"/>
      <c r="R373" s="26"/>
      <c r="S373" s="55"/>
      <c r="T373" s="44"/>
      <c r="U373" s="54"/>
      <c r="V373" s="50"/>
      <c r="W373" s="19"/>
      <c r="X373" s="19"/>
      <c r="Y373" s="19"/>
      <c r="Z373" s="19"/>
    </row>
    <row r="374" spans="1:26" ht="25.5" customHeight="1" x14ac:dyDescent="0.35">
      <c r="A374" s="19"/>
      <c r="B374" s="56" t="s">
        <v>2377</v>
      </c>
      <c r="C374" s="19"/>
      <c r="D374" s="50"/>
      <c r="E374" s="50"/>
      <c r="F374" s="57"/>
      <c r="G374" s="57"/>
      <c r="H374" s="171" t="s">
        <v>2377</v>
      </c>
      <c r="I374" s="172"/>
      <c r="J374" s="19"/>
      <c r="K374" s="48"/>
      <c r="L374" s="54"/>
      <c r="M374" s="48"/>
      <c r="N374" s="48"/>
      <c r="O374" s="19"/>
      <c r="P374" s="51"/>
      <c r="Q374" s="51"/>
      <c r="R374" s="26"/>
      <c r="S374" s="55"/>
      <c r="T374" s="44"/>
      <c r="U374" s="54"/>
      <c r="V374" s="50"/>
      <c r="W374" s="19"/>
      <c r="X374" s="19"/>
      <c r="Y374" s="19"/>
      <c r="Z374" s="19"/>
    </row>
    <row r="375" spans="1:26" ht="25.5" customHeight="1" x14ac:dyDescent="0.35">
      <c r="A375" s="19"/>
      <c r="B375" s="19"/>
      <c r="C375" s="19"/>
      <c r="D375" s="50"/>
      <c r="E375" s="50"/>
      <c r="F375" s="19"/>
      <c r="G375" s="19"/>
      <c r="H375" s="19"/>
      <c r="I375" s="19"/>
      <c r="J375" s="19"/>
      <c r="K375" s="48"/>
      <c r="L375" s="54"/>
      <c r="M375" s="48"/>
      <c r="N375" s="48"/>
      <c r="O375" s="19"/>
      <c r="P375" s="51"/>
      <c r="Q375" s="51"/>
      <c r="R375" s="26"/>
      <c r="S375" s="55"/>
      <c r="T375" s="44"/>
      <c r="U375" s="54"/>
      <c r="V375" s="50"/>
      <c r="W375" s="19"/>
      <c r="X375" s="19"/>
      <c r="Y375" s="19"/>
      <c r="Z375" s="19"/>
    </row>
    <row r="376" spans="1:26" ht="25.5" customHeight="1" x14ac:dyDescent="0.35">
      <c r="A376" s="19"/>
      <c r="B376" s="19"/>
      <c r="C376" s="19"/>
      <c r="D376" s="50"/>
      <c r="E376" s="50"/>
      <c r="F376" s="19"/>
      <c r="G376" s="19"/>
      <c r="H376" s="48"/>
      <c r="I376" s="48"/>
      <c r="J376" s="19"/>
      <c r="K376" s="48"/>
      <c r="L376" s="54"/>
      <c r="M376" s="48"/>
      <c r="N376" s="48"/>
      <c r="O376" s="19"/>
      <c r="P376" s="51"/>
      <c r="Q376" s="51"/>
      <c r="R376" s="26"/>
      <c r="S376" s="55"/>
      <c r="T376" s="44"/>
      <c r="U376" s="54"/>
      <c r="V376" s="50"/>
      <c r="W376" s="19"/>
      <c r="X376" s="19"/>
      <c r="Y376" s="19"/>
      <c r="Z376" s="19"/>
    </row>
    <row r="377" spans="1:26" ht="25.5" customHeight="1" x14ac:dyDescent="0.35">
      <c r="A377" s="19"/>
      <c r="B377" s="19"/>
      <c r="C377" s="58"/>
      <c r="D377" s="78" t="s">
        <v>2432</v>
      </c>
      <c r="E377" s="50"/>
      <c r="F377" s="19"/>
      <c r="G377" s="19"/>
      <c r="H377" s="48"/>
      <c r="I377" s="48"/>
      <c r="J377" s="19"/>
      <c r="K377" s="48"/>
      <c r="L377" s="54"/>
      <c r="M377" s="173" t="s">
        <v>2433</v>
      </c>
      <c r="N377" s="172"/>
      <c r="O377" s="172"/>
      <c r="P377" s="51"/>
      <c r="Q377" s="51"/>
      <c r="R377" s="26"/>
      <c r="S377" s="55"/>
      <c r="T377" s="44"/>
      <c r="U377" s="54"/>
      <c r="V377" s="50"/>
      <c r="W377" s="19"/>
      <c r="X377" s="19"/>
      <c r="Y377" s="19"/>
      <c r="Z377" s="19"/>
    </row>
    <row r="378" spans="1:26" ht="29.25" customHeight="1" x14ac:dyDescent="0.35">
      <c r="A378" s="19"/>
      <c r="B378" s="19"/>
      <c r="C378" s="59"/>
      <c r="D378" s="56" t="s">
        <v>2434</v>
      </c>
      <c r="E378" s="60"/>
      <c r="F378" s="56"/>
      <c r="G378" s="56"/>
      <c r="H378" s="61"/>
      <c r="I378" s="61"/>
      <c r="J378" s="56"/>
      <c r="K378" s="61"/>
      <c r="L378" s="62"/>
      <c r="M378" s="174" t="s">
        <v>2435</v>
      </c>
      <c r="N378" s="172"/>
      <c r="O378" s="172"/>
      <c r="P378" s="63"/>
      <c r="Q378" s="51"/>
      <c r="R378" s="26"/>
      <c r="S378" s="55"/>
      <c r="T378" s="44"/>
      <c r="U378" s="54"/>
      <c r="V378" s="50"/>
      <c r="W378" s="19"/>
      <c r="X378" s="19"/>
      <c r="Y378" s="19"/>
      <c r="Z378" s="19"/>
    </row>
    <row r="379" spans="1:26" ht="15.75" customHeight="1" outlineLevel="2" x14ac:dyDescent="0.35">
      <c r="A379" s="25" t="s">
        <v>1063</v>
      </c>
      <c r="B379" s="25" t="s">
        <v>2476</v>
      </c>
      <c r="C379" s="26">
        <v>124270</v>
      </c>
      <c r="D379" s="25" t="s">
        <v>1083</v>
      </c>
      <c r="E379" s="25" t="s">
        <v>1084</v>
      </c>
      <c r="F379" s="26" t="s">
        <v>491</v>
      </c>
      <c r="G379" s="26" t="s">
        <v>491</v>
      </c>
      <c r="H379" s="26">
        <v>1</v>
      </c>
      <c r="I379" s="26">
        <v>2</v>
      </c>
      <c r="J379" s="26">
        <v>1</v>
      </c>
      <c r="K379" s="26">
        <v>138</v>
      </c>
      <c r="L379" s="26" t="s">
        <v>28</v>
      </c>
      <c r="M379" s="27">
        <v>1626</v>
      </c>
      <c r="N379" s="28">
        <v>223966.18</v>
      </c>
      <c r="O379" s="26" t="s">
        <v>29</v>
      </c>
      <c r="P379" s="29"/>
      <c r="Q379" s="6"/>
      <c r="R379" s="29"/>
      <c r="S379" s="10"/>
      <c r="T379" s="8">
        <v>1</v>
      </c>
    </row>
    <row r="380" spans="1:26" ht="15.75" customHeight="1" outlineLevel="2" x14ac:dyDescent="0.35">
      <c r="A380" s="25" t="s">
        <v>1063</v>
      </c>
      <c r="B380" s="25" t="s">
        <v>2476</v>
      </c>
      <c r="C380" s="26">
        <v>124320</v>
      </c>
      <c r="D380" s="25" t="s">
        <v>1087</v>
      </c>
      <c r="E380" s="25" t="s">
        <v>1086</v>
      </c>
      <c r="F380" s="26" t="s">
        <v>491</v>
      </c>
      <c r="G380" s="26" t="s">
        <v>491</v>
      </c>
      <c r="H380" s="26">
        <v>1</v>
      </c>
      <c r="I380" s="26">
        <v>2</v>
      </c>
      <c r="J380" s="26">
        <v>1</v>
      </c>
      <c r="K380" s="26">
        <v>138</v>
      </c>
      <c r="L380" s="26" t="s">
        <v>28</v>
      </c>
      <c r="M380" s="27">
        <v>1635</v>
      </c>
      <c r="N380" s="28">
        <v>261310.12</v>
      </c>
      <c r="O380" s="26" t="s">
        <v>29</v>
      </c>
      <c r="P380" s="29"/>
      <c r="Q380" s="6"/>
      <c r="R380" s="29"/>
      <c r="S380" s="10"/>
      <c r="T380" s="8">
        <v>1</v>
      </c>
    </row>
    <row r="381" spans="1:26" ht="15.75" customHeight="1" outlineLevel="2" x14ac:dyDescent="0.35">
      <c r="A381" s="25" t="s">
        <v>1063</v>
      </c>
      <c r="B381" s="25" t="s">
        <v>2476</v>
      </c>
      <c r="C381" s="26">
        <v>124323</v>
      </c>
      <c r="D381" s="25" t="s">
        <v>1088</v>
      </c>
      <c r="E381" s="25" t="s">
        <v>1089</v>
      </c>
      <c r="F381" s="26" t="s">
        <v>90</v>
      </c>
      <c r="G381" s="26" t="s">
        <v>90</v>
      </c>
      <c r="H381" s="26">
        <v>1</v>
      </c>
      <c r="I381" s="26">
        <v>2</v>
      </c>
      <c r="J381" s="26">
        <v>1</v>
      </c>
      <c r="K381" s="26">
        <v>138</v>
      </c>
      <c r="L381" s="26" t="s">
        <v>28</v>
      </c>
      <c r="M381" s="27">
        <v>1597</v>
      </c>
      <c r="N381" s="28">
        <v>243966.18</v>
      </c>
      <c r="O381" s="26" t="s">
        <v>29</v>
      </c>
      <c r="P381" s="29"/>
      <c r="Q381" s="6"/>
      <c r="R381" s="29"/>
      <c r="S381" s="10"/>
      <c r="T381" s="8">
        <v>1</v>
      </c>
    </row>
    <row r="382" spans="1:26" ht="15.75" customHeight="1" outlineLevel="2" x14ac:dyDescent="0.35">
      <c r="A382" s="25" t="s">
        <v>1063</v>
      </c>
      <c r="B382" s="25" t="s">
        <v>2476</v>
      </c>
      <c r="C382" s="26">
        <v>124331</v>
      </c>
      <c r="D382" s="25" t="s">
        <v>1090</v>
      </c>
      <c r="E382" s="25" t="s">
        <v>1089</v>
      </c>
      <c r="F382" s="26" t="s">
        <v>90</v>
      </c>
      <c r="G382" s="26" t="s">
        <v>90</v>
      </c>
      <c r="H382" s="26">
        <v>1</v>
      </c>
      <c r="I382" s="26">
        <v>2</v>
      </c>
      <c r="J382" s="26">
        <v>1</v>
      </c>
      <c r="K382" s="26">
        <v>138</v>
      </c>
      <c r="L382" s="26" t="s">
        <v>28</v>
      </c>
      <c r="M382" s="27">
        <v>1604</v>
      </c>
      <c r="N382" s="28">
        <v>220880.44</v>
      </c>
      <c r="O382" s="26" t="s">
        <v>29</v>
      </c>
      <c r="P382" s="29"/>
      <c r="Q382" s="6"/>
      <c r="R382" s="29"/>
      <c r="S382" s="10"/>
      <c r="T382" s="8">
        <v>1</v>
      </c>
    </row>
    <row r="383" spans="1:26" ht="15.75" customHeight="1" outlineLevel="2" x14ac:dyDescent="0.35">
      <c r="A383" s="25" t="s">
        <v>1063</v>
      </c>
      <c r="B383" s="25" t="s">
        <v>2476</v>
      </c>
      <c r="C383" s="26">
        <v>124354</v>
      </c>
      <c r="D383" s="25" t="s">
        <v>1091</v>
      </c>
      <c r="E383" s="25" t="s">
        <v>1092</v>
      </c>
      <c r="F383" s="26" t="s">
        <v>491</v>
      </c>
      <c r="G383" s="26" t="s">
        <v>491</v>
      </c>
      <c r="H383" s="26">
        <v>1</v>
      </c>
      <c r="I383" s="26">
        <v>2</v>
      </c>
      <c r="J383" s="26">
        <v>1</v>
      </c>
      <c r="K383" s="26">
        <v>138</v>
      </c>
      <c r="L383" s="26" t="s">
        <v>28</v>
      </c>
      <c r="M383" s="27">
        <v>1628</v>
      </c>
      <c r="N383" s="28">
        <v>233966.18</v>
      </c>
      <c r="O383" s="26" t="s">
        <v>29</v>
      </c>
      <c r="P383" s="29"/>
      <c r="Q383" s="6"/>
      <c r="R383" s="29"/>
      <c r="S383" s="10"/>
      <c r="T383" s="8">
        <v>1</v>
      </c>
    </row>
    <row r="384" spans="1:26" ht="15.75" customHeight="1" outlineLevel="2" x14ac:dyDescent="0.35">
      <c r="A384" s="25" t="s">
        <v>1063</v>
      </c>
      <c r="B384" s="25" t="s">
        <v>2476</v>
      </c>
      <c r="C384" s="26">
        <v>124365</v>
      </c>
      <c r="D384" s="25" t="s">
        <v>1093</v>
      </c>
      <c r="E384" s="25" t="s">
        <v>1094</v>
      </c>
      <c r="F384" s="26" t="s">
        <v>90</v>
      </c>
      <c r="G384" s="26" t="s">
        <v>90</v>
      </c>
      <c r="H384" s="26">
        <v>1</v>
      </c>
      <c r="I384" s="26">
        <v>2</v>
      </c>
      <c r="J384" s="26">
        <v>1</v>
      </c>
      <c r="K384" s="26">
        <v>138</v>
      </c>
      <c r="L384" s="26" t="s">
        <v>28</v>
      </c>
      <c r="M384" s="27">
        <v>1599</v>
      </c>
      <c r="N384" s="28">
        <v>223966.18</v>
      </c>
      <c r="O384" s="26" t="s">
        <v>29</v>
      </c>
      <c r="P384" s="29"/>
      <c r="Q384" s="6"/>
      <c r="R384" s="29"/>
      <c r="S384" s="10"/>
      <c r="T384" s="8">
        <v>1</v>
      </c>
    </row>
    <row r="385" spans="1:20" ht="15.75" customHeight="1" outlineLevel="2" x14ac:dyDescent="0.35">
      <c r="A385" s="25" t="s">
        <v>1063</v>
      </c>
      <c r="B385" s="25" t="s">
        <v>2476</v>
      </c>
      <c r="C385" s="26">
        <v>124430</v>
      </c>
      <c r="D385" s="25" t="s">
        <v>1097</v>
      </c>
      <c r="E385" s="25" t="s">
        <v>1098</v>
      </c>
      <c r="F385" s="26" t="s">
        <v>491</v>
      </c>
      <c r="G385" s="26" t="s">
        <v>491</v>
      </c>
      <c r="H385" s="26">
        <v>1</v>
      </c>
      <c r="I385" s="26">
        <v>2</v>
      </c>
      <c r="J385" s="26">
        <v>1</v>
      </c>
      <c r="K385" s="26">
        <v>138</v>
      </c>
      <c r="L385" s="26" t="s">
        <v>28</v>
      </c>
      <c r="M385" s="27">
        <v>1613</v>
      </c>
      <c r="N385" s="28">
        <v>263892.18</v>
      </c>
      <c r="O385" s="26" t="s">
        <v>29</v>
      </c>
      <c r="P385" s="29"/>
      <c r="Q385" s="6"/>
      <c r="R385" s="29"/>
      <c r="S385" s="10"/>
      <c r="T385" s="8">
        <v>1</v>
      </c>
    </row>
    <row r="386" spans="1:20" ht="15.75" customHeight="1" outlineLevel="2" x14ac:dyDescent="0.35">
      <c r="A386" s="25" t="s">
        <v>1063</v>
      </c>
      <c r="B386" s="25" t="s">
        <v>2476</v>
      </c>
      <c r="C386" s="26">
        <v>124481</v>
      </c>
      <c r="D386" s="25" t="s">
        <v>1099</v>
      </c>
      <c r="E386" s="25" t="s">
        <v>1100</v>
      </c>
      <c r="F386" s="26" t="s">
        <v>90</v>
      </c>
      <c r="G386" s="26" t="s">
        <v>90</v>
      </c>
      <c r="H386" s="26">
        <v>1</v>
      </c>
      <c r="I386" s="26">
        <v>2</v>
      </c>
      <c r="J386" s="26">
        <v>1</v>
      </c>
      <c r="K386" s="26">
        <v>138</v>
      </c>
      <c r="L386" s="26" t="s">
        <v>28</v>
      </c>
      <c r="M386" s="27">
        <v>1606</v>
      </c>
      <c r="N386" s="28">
        <v>223966.18</v>
      </c>
      <c r="O386" s="26" t="s">
        <v>29</v>
      </c>
      <c r="P386" s="29"/>
      <c r="Q386" s="6"/>
      <c r="R386" s="29"/>
      <c r="S386" s="10"/>
      <c r="T386" s="8">
        <v>1</v>
      </c>
    </row>
    <row r="387" spans="1:20" ht="15.75" customHeight="1" outlineLevel="2" x14ac:dyDescent="0.35">
      <c r="A387" s="25" t="s">
        <v>1063</v>
      </c>
      <c r="B387" s="25" t="s">
        <v>2476</v>
      </c>
      <c r="C387" s="26">
        <v>124489</v>
      </c>
      <c r="D387" s="25" t="s">
        <v>1101</v>
      </c>
      <c r="E387" s="25" t="s">
        <v>1100</v>
      </c>
      <c r="F387" s="26" t="s">
        <v>90</v>
      </c>
      <c r="G387" s="26" t="s">
        <v>90</v>
      </c>
      <c r="H387" s="26">
        <v>1</v>
      </c>
      <c r="I387" s="26">
        <v>2</v>
      </c>
      <c r="J387" s="26">
        <v>1</v>
      </c>
      <c r="K387" s="26">
        <v>138</v>
      </c>
      <c r="L387" s="26" t="s">
        <v>28</v>
      </c>
      <c r="M387" s="27">
        <v>1608</v>
      </c>
      <c r="N387" s="28">
        <v>223966.18</v>
      </c>
      <c r="O387" s="26" t="s">
        <v>29</v>
      </c>
      <c r="P387" s="29"/>
      <c r="Q387" s="6"/>
      <c r="R387" s="29"/>
      <c r="S387" s="10"/>
      <c r="T387" s="8">
        <v>1</v>
      </c>
    </row>
    <row r="388" spans="1:20" ht="15.75" customHeight="1" outlineLevel="2" x14ac:dyDescent="0.35">
      <c r="A388" s="25" t="s">
        <v>1063</v>
      </c>
      <c r="B388" s="25" t="s">
        <v>2476</v>
      </c>
      <c r="C388" s="26">
        <v>124490</v>
      </c>
      <c r="D388" s="25" t="s">
        <v>1102</v>
      </c>
      <c r="E388" s="25" t="s">
        <v>1100</v>
      </c>
      <c r="F388" s="26" t="s">
        <v>90</v>
      </c>
      <c r="G388" s="26" t="s">
        <v>90</v>
      </c>
      <c r="H388" s="26">
        <v>1</v>
      </c>
      <c r="I388" s="26">
        <v>2</v>
      </c>
      <c r="J388" s="26">
        <v>1</v>
      </c>
      <c r="K388" s="26">
        <v>138</v>
      </c>
      <c r="L388" s="26" t="s">
        <v>28</v>
      </c>
      <c r="M388" s="27">
        <v>1609</v>
      </c>
      <c r="N388" s="28">
        <v>223966.18</v>
      </c>
      <c r="O388" s="26" t="s">
        <v>29</v>
      </c>
      <c r="P388" s="29"/>
      <c r="Q388" s="6"/>
      <c r="R388" s="29"/>
      <c r="S388" s="10"/>
      <c r="T388" s="8">
        <v>1</v>
      </c>
    </row>
    <row r="389" spans="1:20" ht="15.75" customHeight="1" outlineLevel="2" x14ac:dyDescent="0.35">
      <c r="A389" s="25" t="s">
        <v>1063</v>
      </c>
      <c r="B389" s="25" t="s">
        <v>2476</v>
      </c>
      <c r="C389" s="26">
        <v>124517</v>
      </c>
      <c r="D389" s="25" t="s">
        <v>1103</v>
      </c>
      <c r="E389" s="25" t="s">
        <v>1104</v>
      </c>
      <c r="F389" s="26" t="s">
        <v>90</v>
      </c>
      <c r="G389" s="26" t="s">
        <v>90</v>
      </c>
      <c r="H389" s="26">
        <v>1</v>
      </c>
      <c r="I389" s="26">
        <v>2</v>
      </c>
      <c r="J389" s="26">
        <v>1</v>
      </c>
      <c r="K389" s="26">
        <v>138</v>
      </c>
      <c r="L389" s="26" t="s">
        <v>28</v>
      </c>
      <c r="M389" s="27">
        <v>1607</v>
      </c>
      <c r="N389" s="28">
        <v>243966.18</v>
      </c>
      <c r="O389" s="26" t="s">
        <v>29</v>
      </c>
      <c r="P389" s="29"/>
      <c r="Q389" s="6"/>
      <c r="R389" s="29"/>
      <c r="S389" s="10"/>
      <c r="T389" s="8">
        <v>1</v>
      </c>
    </row>
    <row r="390" spans="1:20" ht="15.75" customHeight="1" outlineLevel="2" x14ac:dyDescent="0.35">
      <c r="A390" s="25" t="s">
        <v>1063</v>
      </c>
      <c r="B390" s="25" t="s">
        <v>2476</v>
      </c>
      <c r="C390" s="26">
        <v>124549</v>
      </c>
      <c r="D390" s="25" t="s">
        <v>1105</v>
      </c>
      <c r="E390" s="25" t="s">
        <v>1106</v>
      </c>
      <c r="F390" s="26" t="s">
        <v>215</v>
      </c>
      <c r="G390" s="26" t="s">
        <v>215</v>
      </c>
      <c r="H390" s="26">
        <v>1</v>
      </c>
      <c r="I390" s="26">
        <v>2</v>
      </c>
      <c r="J390" s="26">
        <v>1</v>
      </c>
      <c r="K390" s="26">
        <v>138</v>
      </c>
      <c r="L390" s="26" t="s">
        <v>28</v>
      </c>
      <c r="M390" s="27">
        <v>1589</v>
      </c>
      <c r="N390" s="28">
        <v>223966.18</v>
      </c>
      <c r="O390" s="26" t="s">
        <v>29</v>
      </c>
      <c r="P390" s="29"/>
      <c r="Q390" s="6"/>
      <c r="R390" s="29"/>
      <c r="S390" s="10"/>
      <c r="T390" s="8">
        <v>1</v>
      </c>
    </row>
    <row r="391" spans="1:20" ht="15.75" customHeight="1" outlineLevel="2" x14ac:dyDescent="0.35">
      <c r="A391" s="25" t="s">
        <v>1063</v>
      </c>
      <c r="B391" s="25" t="s">
        <v>2476</v>
      </c>
      <c r="C391" s="26">
        <v>124643</v>
      </c>
      <c r="D391" s="25" t="s">
        <v>1107</v>
      </c>
      <c r="E391" s="25" t="s">
        <v>1108</v>
      </c>
      <c r="F391" s="26" t="s">
        <v>215</v>
      </c>
      <c r="G391" s="26" t="s">
        <v>215</v>
      </c>
      <c r="H391" s="26">
        <v>1</v>
      </c>
      <c r="I391" s="26">
        <v>2</v>
      </c>
      <c r="J391" s="26">
        <v>1</v>
      </c>
      <c r="K391" s="26">
        <v>138</v>
      </c>
      <c r="L391" s="26" t="s">
        <v>28</v>
      </c>
      <c r="M391" s="27">
        <v>1590</v>
      </c>
      <c r="N391" s="28">
        <v>228966.18</v>
      </c>
      <c r="O391" s="26" t="s">
        <v>29</v>
      </c>
      <c r="P391" s="29"/>
      <c r="Q391" s="6"/>
      <c r="R391" s="29"/>
      <c r="S391" s="10"/>
      <c r="T391" s="8">
        <v>1</v>
      </c>
    </row>
    <row r="392" spans="1:20" ht="15.75" customHeight="1" outlineLevel="2" x14ac:dyDescent="0.35">
      <c r="A392" s="25" t="s">
        <v>1063</v>
      </c>
      <c r="B392" s="25" t="s">
        <v>2476</v>
      </c>
      <c r="C392" s="26">
        <v>124652</v>
      </c>
      <c r="D392" s="25" t="s">
        <v>1109</v>
      </c>
      <c r="E392" s="25" t="s">
        <v>1108</v>
      </c>
      <c r="F392" s="26" t="s">
        <v>215</v>
      </c>
      <c r="G392" s="26" t="s">
        <v>215</v>
      </c>
      <c r="H392" s="26">
        <v>1</v>
      </c>
      <c r="I392" s="26">
        <v>2</v>
      </c>
      <c r="J392" s="26">
        <v>1</v>
      </c>
      <c r="K392" s="26">
        <v>138</v>
      </c>
      <c r="L392" s="26" t="s">
        <v>28</v>
      </c>
      <c r="M392" s="27">
        <v>1593</v>
      </c>
      <c r="N392" s="28">
        <v>228966.18</v>
      </c>
      <c r="O392" s="26" t="s">
        <v>29</v>
      </c>
      <c r="P392" s="29"/>
      <c r="Q392" s="6"/>
      <c r="R392" s="29"/>
      <c r="S392" s="10"/>
      <c r="T392" s="8">
        <v>1</v>
      </c>
    </row>
    <row r="393" spans="1:20" ht="15.75" customHeight="1" outlineLevel="2" x14ac:dyDescent="0.35">
      <c r="A393" s="25" t="s">
        <v>1063</v>
      </c>
      <c r="B393" s="25" t="s">
        <v>2476</v>
      </c>
      <c r="C393" s="26">
        <v>124661</v>
      </c>
      <c r="D393" s="25" t="s">
        <v>1110</v>
      </c>
      <c r="E393" s="25" t="s">
        <v>1108</v>
      </c>
      <c r="F393" s="26" t="s">
        <v>215</v>
      </c>
      <c r="G393" s="26" t="s">
        <v>215</v>
      </c>
      <c r="H393" s="26">
        <v>1</v>
      </c>
      <c r="I393" s="26">
        <v>2</v>
      </c>
      <c r="J393" s="26">
        <v>1</v>
      </c>
      <c r="K393" s="26">
        <v>138</v>
      </c>
      <c r="L393" s="26" t="s">
        <v>28</v>
      </c>
      <c r="M393" s="27">
        <v>1591</v>
      </c>
      <c r="N393" s="28">
        <v>228966.18</v>
      </c>
      <c r="O393" s="26" t="s">
        <v>29</v>
      </c>
      <c r="P393" s="29"/>
      <c r="Q393" s="6"/>
      <c r="R393" s="29"/>
      <c r="S393" s="10"/>
      <c r="T393" s="8">
        <v>1</v>
      </c>
    </row>
    <row r="394" spans="1:20" ht="15.75" customHeight="1" outlineLevel="2" x14ac:dyDescent="0.35">
      <c r="A394" s="25" t="s">
        <v>1063</v>
      </c>
      <c r="B394" s="25" t="s">
        <v>2476</v>
      </c>
      <c r="C394" s="26">
        <v>124663</v>
      </c>
      <c r="D394" s="25" t="s">
        <v>1111</v>
      </c>
      <c r="E394" s="25" t="s">
        <v>1108</v>
      </c>
      <c r="F394" s="26" t="s">
        <v>215</v>
      </c>
      <c r="G394" s="26" t="s">
        <v>215</v>
      </c>
      <c r="H394" s="26">
        <v>1</v>
      </c>
      <c r="I394" s="26">
        <v>2</v>
      </c>
      <c r="J394" s="26">
        <v>1</v>
      </c>
      <c r="K394" s="26">
        <v>138</v>
      </c>
      <c r="L394" s="26" t="s">
        <v>28</v>
      </c>
      <c r="M394" s="27">
        <v>1592</v>
      </c>
      <c r="N394" s="28">
        <v>228966.18</v>
      </c>
      <c r="O394" s="26" t="s">
        <v>29</v>
      </c>
      <c r="P394" s="29"/>
      <c r="Q394" s="6"/>
      <c r="R394" s="29"/>
      <c r="S394" s="10"/>
      <c r="T394" s="8">
        <v>1</v>
      </c>
    </row>
    <row r="395" spans="1:20" ht="15.75" customHeight="1" outlineLevel="2" x14ac:dyDescent="0.35">
      <c r="A395" s="25" t="s">
        <v>1063</v>
      </c>
      <c r="B395" s="25" t="s">
        <v>2476</v>
      </c>
      <c r="C395" s="26">
        <v>124674</v>
      </c>
      <c r="D395" s="25" t="s">
        <v>1112</v>
      </c>
      <c r="E395" s="25" t="s">
        <v>1113</v>
      </c>
      <c r="F395" s="26" t="s">
        <v>90</v>
      </c>
      <c r="G395" s="26" t="s">
        <v>90</v>
      </c>
      <c r="H395" s="26">
        <v>1</v>
      </c>
      <c r="I395" s="26">
        <v>2</v>
      </c>
      <c r="J395" s="26">
        <v>1</v>
      </c>
      <c r="K395" s="26">
        <v>138</v>
      </c>
      <c r="L395" s="26" t="s">
        <v>28</v>
      </c>
      <c r="M395" s="27">
        <v>1594</v>
      </c>
      <c r="N395" s="28">
        <v>233966.18</v>
      </c>
      <c r="O395" s="26" t="s">
        <v>29</v>
      </c>
      <c r="P395" s="29"/>
      <c r="Q395" s="6"/>
      <c r="R395" s="29"/>
      <c r="S395" s="10"/>
      <c r="T395" s="8">
        <v>1</v>
      </c>
    </row>
    <row r="396" spans="1:20" ht="15.75" customHeight="1" outlineLevel="2" x14ac:dyDescent="0.35">
      <c r="A396" s="25" t="s">
        <v>1063</v>
      </c>
      <c r="B396" s="25" t="s">
        <v>2476</v>
      </c>
      <c r="C396" s="26">
        <v>124681</v>
      </c>
      <c r="D396" s="25" t="s">
        <v>1114</v>
      </c>
      <c r="E396" s="25" t="s">
        <v>1113</v>
      </c>
      <c r="F396" s="26" t="s">
        <v>90</v>
      </c>
      <c r="G396" s="26" t="s">
        <v>90</v>
      </c>
      <c r="H396" s="26">
        <v>1</v>
      </c>
      <c r="I396" s="26">
        <v>2</v>
      </c>
      <c r="J396" s="26">
        <v>1</v>
      </c>
      <c r="K396" s="26">
        <v>138</v>
      </c>
      <c r="L396" s="26" t="s">
        <v>28</v>
      </c>
      <c r="M396" s="27">
        <v>1601</v>
      </c>
      <c r="N396" s="28">
        <v>233966.18</v>
      </c>
      <c r="O396" s="26" t="s">
        <v>29</v>
      </c>
      <c r="P396" s="29"/>
      <c r="Q396" s="6"/>
      <c r="R396" s="29"/>
      <c r="S396" s="10"/>
      <c r="T396" s="8">
        <v>1</v>
      </c>
    </row>
    <row r="397" spans="1:20" ht="15.75" customHeight="1" outlineLevel="2" x14ac:dyDescent="0.35">
      <c r="A397" s="25" t="s">
        <v>1063</v>
      </c>
      <c r="B397" s="25" t="s">
        <v>2476</v>
      </c>
      <c r="C397" s="26">
        <v>124684</v>
      </c>
      <c r="D397" s="25" t="s">
        <v>1115</v>
      </c>
      <c r="E397" s="25" t="s">
        <v>1113</v>
      </c>
      <c r="F397" s="26" t="s">
        <v>90</v>
      </c>
      <c r="G397" s="26" t="s">
        <v>90</v>
      </c>
      <c r="H397" s="26">
        <v>1</v>
      </c>
      <c r="I397" s="26">
        <v>2</v>
      </c>
      <c r="J397" s="26">
        <v>1</v>
      </c>
      <c r="K397" s="26">
        <v>138</v>
      </c>
      <c r="L397" s="26" t="s">
        <v>28</v>
      </c>
      <c r="M397" s="27">
        <v>1602</v>
      </c>
      <c r="N397" s="28">
        <v>223966.18</v>
      </c>
      <c r="O397" s="26" t="s">
        <v>29</v>
      </c>
      <c r="P397" s="29"/>
      <c r="Q397" s="6"/>
      <c r="R397" s="29"/>
      <c r="S397" s="10"/>
      <c r="T397" s="8">
        <v>1</v>
      </c>
    </row>
    <row r="398" spans="1:20" ht="15.75" customHeight="1" outlineLevel="2" x14ac:dyDescent="0.35">
      <c r="A398" s="25" t="s">
        <v>1063</v>
      </c>
      <c r="B398" s="25" t="s">
        <v>2476</v>
      </c>
      <c r="C398" s="26">
        <v>124703</v>
      </c>
      <c r="D398" s="25" t="s">
        <v>1116</v>
      </c>
      <c r="E398" s="25" t="s">
        <v>1113</v>
      </c>
      <c r="F398" s="26" t="s">
        <v>90</v>
      </c>
      <c r="G398" s="26" t="s">
        <v>90</v>
      </c>
      <c r="H398" s="26">
        <v>1</v>
      </c>
      <c r="I398" s="26">
        <v>2</v>
      </c>
      <c r="J398" s="26">
        <v>1</v>
      </c>
      <c r="K398" s="26">
        <v>138</v>
      </c>
      <c r="L398" s="26" t="s">
        <v>28</v>
      </c>
      <c r="M398" s="27">
        <v>1610</v>
      </c>
      <c r="N398" s="28">
        <v>223966.18</v>
      </c>
      <c r="O398" s="26" t="s">
        <v>29</v>
      </c>
      <c r="P398" s="29"/>
      <c r="Q398" s="6"/>
      <c r="R398" s="29"/>
      <c r="S398" s="10"/>
      <c r="T398" s="8">
        <v>1</v>
      </c>
    </row>
    <row r="399" spans="1:20" ht="15.75" customHeight="1" outlineLevel="2" x14ac:dyDescent="0.35">
      <c r="A399" s="25" t="s">
        <v>1063</v>
      </c>
      <c r="B399" s="25" t="s">
        <v>2476</v>
      </c>
      <c r="C399" s="26">
        <v>124714</v>
      </c>
      <c r="D399" s="25" t="s">
        <v>1117</v>
      </c>
      <c r="E399" s="25" t="s">
        <v>1118</v>
      </c>
      <c r="F399" s="26" t="s">
        <v>491</v>
      </c>
      <c r="G399" s="26" t="s">
        <v>491</v>
      </c>
      <c r="H399" s="26">
        <v>1</v>
      </c>
      <c r="I399" s="26">
        <v>2</v>
      </c>
      <c r="J399" s="26">
        <v>1</v>
      </c>
      <c r="K399" s="26">
        <v>138</v>
      </c>
      <c r="L399" s="26" t="s">
        <v>28</v>
      </c>
      <c r="M399" s="27">
        <v>1616</v>
      </c>
      <c r="N399" s="28">
        <v>243966.18</v>
      </c>
      <c r="O399" s="26" t="s">
        <v>29</v>
      </c>
      <c r="P399" s="29"/>
      <c r="Q399" s="6"/>
      <c r="R399" s="29"/>
      <c r="S399" s="10"/>
      <c r="T399" s="8">
        <v>1</v>
      </c>
    </row>
    <row r="400" spans="1:20" ht="15.75" customHeight="1" outlineLevel="2" x14ac:dyDescent="0.35">
      <c r="A400" s="25" t="s">
        <v>1063</v>
      </c>
      <c r="B400" s="25" t="s">
        <v>2476</v>
      </c>
      <c r="C400" s="26">
        <v>124715</v>
      </c>
      <c r="D400" s="25" t="s">
        <v>1119</v>
      </c>
      <c r="E400" s="25" t="s">
        <v>1118</v>
      </c>
      <c r="F400" s="26" t="s">
        <v>491</v>
      </c>
      <c r="G400" s="26" t="s">
        <v>491</v>
      </c>
      <c r="H400" s="26">
        <v>1</v>
      </c>
      <c r="I400" s="26">
        <v>2</v>
      </c>
      <c r="J400" s="26">
        <v>1</v>
      </c>
      <c r="K400" s="26">
        <v>138</v>
      </c>
      <c r="L400" s="26" t="s">
        <v>28</v>
      </c>
      <c r="M400" s="27">
        <v>1617</v>
      </c>
      <c r="N400" s="28">
        <v>243966.18</v>
      </c>
      <c r="O400" s="26" t="s">
        <v>29</v>
      </c>
      <c r="P400" s="29"/>
      <c r="Q400" s="6"/>
      <c r="R400" s="29"/>
      <c r="S400" s="10"/>
      <c r="T400" s="8">
        <v>1</v>
      </c>
    </row>
    <row r="401" spans="1:20" ht="15.75" customHeight="1" outlineLevel="2" x14ac:dyDescent="0.35">
      <c r="A401" s="25" t="s">
        <v>1063</v>
      </c>
      <c r="B401" s="25" t="s">
        <v>2476</v>
      </c>
      <c r="C401" s="26">
        <v>124732</v>
      </c>
      <c r="D401" s="25" t="s">
        <v>1122</v>
      </c>
      <c r="E401" s="25" t="s">
        <v>1118</v>
      </c>
      <c r="F401" s="26" t="s">
        <v>491</v>
      </c>
      <c r="G401" s="26" t="s">
        <v>491</v>
      </c>
      <c r="H401" s="26">
        <v>1</v>
      </c>
      <c r="I401" s="26">
        <v>2</v>
      </c>
      <c r="J401" s="26">
        <v>1</v>
      </c>
      <c r="K401" s="26">
        <v>138</v>
      </c>
      <c r="L401" s="26" t="s">
        <v>28</v>
      </c>
      <c r="M401" s="27">
        <v>1629</v>
      </c>
      <c r="N401" s="28">
        <v>243966.18</v>
      </c>
      <c r="O401" s="26" t="s">
        <v>29</v>
      </c>
      <c r="P401" s="29"/>
      <c r="Q401" s="6"/>
      <c r="R401" s="29"/>
      <c r="S401" s="10"/>
      <c r="T401" s="8">
        <v>1</v>
      </c>
    </row>
    <row r="402" spans="1:20" ht="15.75" customHeight="1" outlineLevel="2" x14ac:dyDescent="0.35">
      <c r="A402" s="25" t="s">
        <v>1063</v>
      </c>
      <c r="B402" s="25" t="s">
        <v>2476</v>
      </c>
      <c r="C402" s="26">
        <v>124735</v>
      </c>
      <c r="D402" s="25" t="s">
        <v>747</v>
      </c>
      <c r="E402" s="25" t="s">
        <v>1118</v>
      </c>
      <c r="F402" s="26" t="s">
        <v>491</v>
      </c>
      <c r="G402" s="26" t="s">
        <v>491</v>
      </c>
      <c r="H402" s="26">
        <v>1</v>
      </c>
      <c r="I402" s="26">
        <v>2</v>
      </c>
      <c r="J402" s="26">
        <v>1</v>
      </c>
      <c r="K402" s="26">
        <v>138</v>
      </c>
      <c r="L402" s="26" t="s">
        <v>28</v>
      </c>
      <c r="M402" s="27">
        <v>1632</v>
      </c>
      <c r="N402" s="28">
        <v>243966.18</v>
      </c>
      <c r="O402" s="26" t="s">
        <v>29</v>
      </c>
      <c r="P402" s="29"/>
      <c r="Q402" s="6"/>
      <c r="R402" s="29"/>
      <c r="S402" s="10"/>
      <c r="T402" s="8">
        <v>1</v>
      </c>
    </row>
    <row r="403" spans="1:20" ht="15.75" customHeight="1" outlineLevel="2" x14ac:dyDescent="0.35">
      <c r="A403" s="25" t="s">
        <v>1063</v>
      </c>
      <c r="B403" s="25" t="s">
        <v>2476</v>
      </c>
      <c r="C403" s="26">
        <v>124769</v>
      </c>
      <c r="D403" s="25" t="s">
        <v>1123</v>
      </c>
      <c r="E403" s="25" t="s">
        <v>1124</v>
      </c>
      <c r="F403" s="26" t="s">
        <v>90</v>
      </c>
      <c r="G403" s="26" t="s">
        <v>90</v>
      </c>
      <c r="H403" s="26">
        <v>1</v>
      </c>
      <c r="I403" s="26">
        <v>2</v>
      </c>
      <c r="J403" s="26">
        <v>1</v>
      </c>
      <c r="K403" s="26">
        <v>138</v>
      </c>
      <c r="L403" s="26" t="s">
        <v>28</v>
      </c>
      <c r="M403" s="27">
        <v>1598</v>
      </c>
      <c r="N403" s="28">
        <v>233966.18</v>
      </c>
      <c r="O403" s="26" t="s">
        <v>29</v>
      </c>
      <c r="P403" s="29"/>
      <c r="Q403" s="6"/>
      <c r="R403" s="29"/>
      <c r="S403" s="10"/>
      <c r="T403" s="8">
        <v>1</v>
      </c>
    </row>
    <row r="404" spans="1:20" ht="15.75" customHeight="1" outlineLevel="2" x14ac:dyDescent="0.35">
      <c r="A404" s="25" t="s">
        <v>1063</v>
      </c>
      <c r="B404" s="25" t="s">
        <v>2476</v>
      </c>
      <c r="C404" s="26">
        <v>124793</v>
      </c>
      <c r="D404" s="25" t="s">
        <v>1085</v>
      </c>
      <c r="E404" s="25" t="s">
        <v>1124</v>
      </c>
      <c r="F404" s="26" t="s">
        <v>90</v>
      </c>
      <c r="G404" s="26" t="s">
        <v>90</v>
      </c>
      <c r="H404" s="26">
        <v>1</v>
      </c>
      <c r="I404" s="26">
        <v>2</v>
      </c>
      <c r="J404" s="26">
        <v>1</v>
      </c>
      <c r="K404" s="26">
        <v>138</v>
      </c>
      <c r="L404" s="26" t="s">
        <v>28</v>
      </c>
      <c r="M404" s="27">
        <v>1600</v>
      </c>
      <c r="N404" s="28">
        <v>233966.18</v>
      </c>
      <c r="O404" s="26" t="s">
        <v>29</v>
      </c>
      <c r="P404" s="29"/>
      <c r="Q404" s="6"/>
      <c r="R404" s="29"/>
      <c r="S404" s="10"/>
      <c r="T404" s="8">
        <v>1</v>
      </c>
    </row>
    <row r="405" spans="1:20" ht="15.75" customHeight="1" outlineLevel="2" x14ac:dyDescent="0.35">
      <c r="A405" s="25" t="s">
        <v>1063</v>
      </c>
      <c r="B405" s="25" t="s">
        <v>2476</v>
      </c>
      <c r="C405" s="26">
        <v>124807</v>
      </c>
      <c r="D405" s="25" t="s">
        <v>1126</v>
      </c>
      <c r="E405" s="25" t="s">
        <v>1124</v>
      </c>
      <c r="F405" s="26" t="s">
        <v>90</v>
      </c>
      <c r="G405" s="26" t="s">
        <v>90</v>
      </c>
      <c r="H405" s="26">
        <v>1</v>
      </c>
      <c r="I405" s="26">
        <v>2</v>
      </c>
      <c r="J405" s="26">
        <v>1</v>
      </c>
      <c r="K405" s="26">
        <v>138</v>
      </c>
      <c r="L405" s="26" t="s">
        <v>28</v>
      </c>
      <c r="M405" s="27">
        <v>1611</v>
      </c>
      <c r="N405" s="28">
        <v>233966.18</v>
      </c>
      <c r="O405" s="26" t="s">
        <v>29</v>
      </c>
      <c r="P405" s="29"/>
      <c r="Q405" s="6"/>
      <c r="R405" s="29"/>
      <c r="S405" s="10"/>
      <c r="T405" s="8">
        <v>1</v>
      </c>
    </row>
    <row r="406" spans="1:20" ht="15.75" customHeight="1" outlineLevel="2" x14ac:dyDescent="0.35">
      <c r="A406" s="25" t="s">
        <v>1063</v>
      </c>
      <c r="B406" s="25" t="s">
        <v>2476</v>
      </c>
      <c r="C406" s="26">
        <v>124816</v>
      </c>
      <c r="D406" s="25" t="s">
        <v>1127</v>
      </c>
      <c r="E406" s="25" t="s">
        <v>1128</v>
      </c>
      <c r="F406" s="26" t="s">
        <v>491</v>
      </c>
      <c r="G406" s="26" t="s">
        <v>491</v>
      </c>
      <c r="H406" s="26">
        <v>1</v>
      </c>
      <c r="I406" s="26">
        <v>2</v>
      </c>
      <c r="J406" s="26">
        <v>1</v>
      </c>
      <c r="K406" s="26">
        <v>138</v>
      </c>
      <c r="L406" s="26" t="s">
        <v>28</v>
      </c>
      <c r="M406" s="27">
        <v>1614</v>
      </c>
      <c r="N406" s="28">
        <v>243966.18</v>
      </c>
      <c r="O406" s="26" t="s">
        <v>29</v>
      </c>
      <c r="P406" s="29"/>
      <c r="Q406" s="6"/>
      <c r="R406" s="29"/>
      <c r="S406" s="10"/>
      <c r="T406" s="8">
        <v>1</v>
      </c>
    </row>
    <row r="407" spans="1:20" ht="15.75" customHeight="1" outlineLevel="2" x14ac:dyDescent="0.35">
      <c r="A407" s="25" t="s">
        <v>1063</v>
      </c>
      <c r="B407" s="25" t="s">
        <v>2476</v>
      </c>
      <c r="C407" s="26">
        <v>124826</v>
      </c>
      <c r="D407" s="25" t="s">
        <v>1129</v>
      </c>
      <c r="E407" s="25" t="s">
        <v>1128</v>
      </c>
      <c r="F407" s="26" t="s">
        <v>491</v>
      </c>
      <c r="G407" s="26" t="s">
        <v>491</v>
      </c>
      <c r="H407" s="26">
        <v>1</v>
      </c>
      <c r="I407" s="26">
        <v>2</v>
      </c>
      <c r="J407" s="26">
        <v>1</v>
      </c>
      <c r="K407" s="26">
        <v>138</v>
      </c>
      <c r="L407" s="26" t="s">
        <v>28</v>
      </c>
      <c r="M407" s="27">
        <v>1624</v>
      </c>
      <c r="N407" s="28">
        <v>243966.18</v>
      </c>
      <c r="O407" s="26" t="s">
        <v>29</v>
      </c>
      <c r="P407" s="29"/>
      <c r="Q407" s="6"/>
      <c r="R407" s="29"/>
      <c r="S407" s="10"/>
      <c r="T407" s="8">
        <v>1</v>
      </c>
    </row>
    <row r="408" spans="1:20" ht="15.75" customHeight="1" outlineLevel="2" x14ac:dyDescent="0.35">
      <c r="A408" s="25" t="s">
        <v>1063</v>
      </c>
      <c r="B408" s="25" t="s">
        <v>2476</v>
      </c>
      <c r="C408" s="26">
        <v>124834</v>
      </c>
      <c r="D408" s="25" t="s">
        <v>1130</v>
      </c>
      <c r="E408" s="25" t="s">
        <v>1131</v>
      </c>
      <c r="F408" s="26" t="s">
        <v>491</v>
      </c>
      <c r="G408" s="26" t="s">
        <v>491</v>
      </c>
      <c r="H408" s="26">
        <v>1</v>
      </c>
      <c r="I408" s="26">
        <v>2</v>
      </c>
      <c r="J408" s="26">
        <v>1</v>
      </c>
      <c r="K408" s="26">
        <v>138</v>
      </c>
      <c r="L408" s="26" t="s">
        <v>28</v>
      </c>
      <c r="M408" s="27">
        <v>1612</v>
      </c>
      <c r="N408" s="28">
        <v>243966.18</v>
      </c>
      <c r="O408" s="26" t="s">
        <v>29</v>
      </c>
      <c r="P408" s="29"/>
      <c r="Q408" s="6"/>
      <c r="R408" s="29"/>
      <c r="S408" s="10"/>
      <c r="T408" s="8">
        <v>1</v>
      </c>
    </row>
    <row r="409" spans="1:20" ht="15.75" customHeight="1" outlineLevel="2" x14ac:dyDescent="0.35">
      <c r="A409" s="25" t="s">
        <v>1063</v>
      </c>
      <c r="B409" s="25" t="s">
        <v>2476</v>
      </c>
      <c r="C409" s="26">
        <v>124845</v>
      </c>
      <c r="D409" s="25" t="s">
        <v>1132</v>
      </c>
      <c r="E409" s="25" t="s">
        <v>1131</v>
      </c>
      <c r="F409" s="26" t="s">
        <v>491</v>
      </c>
      <c r="G409" s="26" t="s">
        <v>491</v>
      </c>
      <c r="H409" s="26">
        <v>1</v>
      </c>
      <c r="I409" s="26">
        <v>2</v>
      </c>
      <c r="J409" s="26">
        <v>1</v>
      </c>
      <c r="K409" s="26">
        <v>138</v>
      </c>
      <c r="L409" s="26" t="s">
        <v>28</v>
      </c>
      <c r="M409" s="27">
        <v>1634</v>
      </c>
      <c r="N409" s="28">
        <v>243966.18</v>
      </c>
      <c r="O409" s="26" t="s">
        <v>29</v>
      </c>
      <c r="P409" s="29"/>
      <c r="Q409" s="6"/>
      <c r="R409" s="29"/>
      <c r="S409" s="10"/>
      <c r="T409" s="8">
        <v>1</v>
      </c>
    </row>
    <row r="410" spans="1:20" ht="15.75" customHeight="1" outlineLevel="2" x14ac:dyDescent="0.35">
      <c r="A410" s="25" t="s">
        <v>1063</v>
      </c>
      <c r="B410" s="25" t="s">
        <v>2476</v>
      </c>
      <c r="C410" s="26">
        <v>195501</v>
      </c>
      <c r="D410" s="25" t="s">
        <v>1133</v>
      </c>
      <c r="E410" s="25" t="s">
        <v>1086</v>
      </c>
      <c r="F410" s="26" t="s">
        <v>491</v>
      </c>
      <c r="G410" s="26" t="s">
        <v>491</v>
      </c>
      <c r="H410" s="26">
        <v>1</v>
      </c>
      <c r="I410" s="26">
        <v>2</v>
      </c>
      <c r="J410" s="26">
        <v>1</v>
      </c>
      <c r="K410" s="26">
        <v>138</v>
      </c>
      <c r="L410" s="26" t="s">
        <v>28</v>
      </c>
      <c r="M410" s="27">
        <v>1625</v>
      </c>
      <c r="N410" s="28">
        <v>233966.18</v>
      </c>
      <c r="O410" s="26" t="s">
        <v>29</v>
      </c>
      <c r="P410" s="29"/>
      <c r="Q410" s="6"/>
      <c r="R410" s="29"/>
      <c r="S410" s="10"/>
      <c r="T410" s="8">
        <v>1</v>
      </c>
    </row>
    <row r="411" spans="1:20" ht="15.75" customHeight="1" outlineLevel="2" x14ac:dyDescent="0.35">
      <c r="A411" s="25" t="s">
        <v>1063</v>
      </c>
      <c r="B411" s="25" t="s">
        <v>2476</v>
      </c>
      <c r="C411" s="26">
        <v>195510</v>
      </c>
      <c r="D411" s="25" t="s">
        <v>1134</v>
      </c>
      <c r="E411" s="25" t="s">
        <v>1084</v>
      </c>
      <c r="F411" s="26" t="s">
        <v>491</v>
      </c>
      <c r="G411" s="26" t="s">
        <v>491</v>
      </c>
      <c r="H411" s="26">
        <v>1</v>
      </c>
      <c r="I411" s="26">
        <v>2</v>
      </c>
      <c r="J411" s="26">
        <v>1</v>
      </c>
      <c r="K411" s="26">
        <v>138</v>
      </c>
      <c r="L411" s="26" t="s">
        <v>28</v>
      </c>
      <c r="M411" s="27">
        <v>1623</v>
      </c>
      <c r="N411" s="28">
        <v>223966.18</v>
      </c>
      <c r="O411" s="26" t="s">
        <v>29</v>
      </c>
      <c r="P411" s="29"/>
      <c r="Q411" s="6"/>
      <c r="R411" s="29"/>
      <c r="S411" s="10"/>
      <c r="T411" s="8">
        <v>1</v>
      </c>
    </row>
    <row r="412" spans="1:20" ht="15.75" customHeight="1" outlineLevel="2" x14ac:dyDescent="0.35">
      <c r="A412" s="25" t="s">
        <v>1063</v>
      </c>
      <c r="B412" s="25" t="s">
        <v>2476</v>
      </c>
      <c r="C412" s="26">
        <v>195517</v>
      </c>
      <c r="D412" s="25" t="s">
        <v>1135</v>
      </c>
      <c r="E412" s="25" t="s">
        <v>1128</v>
      </c>
      <c r="F412" s="26" t="s">
        <v>491</v>
      </c>
      <c r="G412" s="26" t="s">
        <v>491</v>
      </c>
      <c r="H412" s="26">
        <v>1</v>
      </c>
      <c r="I412" s="26">
        <v>2</v>
      </c>
      <c r="J412" s="26">
        <v>1</v>
      </c>
      <c r="K412" s="26">
        <v>138</v>
      </c>
      <c r="L412" s="26" t="s">
        <v>28</v>
      </c>
      <c r="M412" s="27">
        <v>1627</v>
      </c>
      <c r="N412" s="28">
        <v>243966.18</v>
      </c>
      <c r="O412" s="26" t="s">
        <v>29</v>
      </c>
      <c r="P412" s="29"/>
      <c r="Q412" s="6"/>
      <c r="R412" s="29"/>
      <c r="S412" s="10"/>
      <c r="T412" s="8">
        <v>1</v>
      </c>
    </row>
    <row r="413" spans="1:20" ht="15.75" customHeight="1" outlineLevel="2" x14ac:dyDescent="0.35">
      <c r="A413" s="25" t="s">
        <v>1063</v>
      </c>
      <c r="B413" s="25" t="s">
        <v>2476</v>
      </c>
      <c r="C413" s="26">
        <v>195525</v>
      </c>
      <c r="D413" s="25" t="s">
        <v>239</v>
      </c>
      <c r="E413" s="25" t="s">
        <v>1098</v>
      </c>
      <c r="F413" s="26" t="s">
        <v>491</v>
      </c>
      <c r="G413" s="26" t="s">
        <v>491</v>
      </c>
      <c r="H413" s="26">
        <v>1</v>
      </c>
      <c r="I413" s="26">
        <v>2</v>
      </c>
      <c r="J413" s="26">
        <v>1</v>
      </c>
      <c r="K413" s="26">
        <v>138</v>
      </c>
      <c r="L413" s="26" t="s">
        <v>28</v>
      </c>
      <c r="M413" s="27">
        <v>1630</v>
      </c>
      <c r="N413" s="28">
        <v>223966.18</v>
      </c>
      <c r="O413" s="26" t="s">
        <v>29</v>
      </c>
      <c r="P413" s="29"/>
      <c r="Q413" s="6"/>
      <c r="R413" s="29"/>
      <c r="S413" s="10"/>
      <c r="T413" s="8">
        <v>1</v>
      </c>
    </row>
    <row r="414" spans="1:20" ht="15.75" customHeight="1" outlineLevel="2" x14ac:dyDescent="0.35">
      <c r="A414" s="25" t="s">
        <v>1063</v>
      </c>
      <c r="B414" s="25" t="s">
        <v>2476</v>
      </c>
      <c r="C414" s="26">
        <v>195532</v>
      </c>
      <c r="D414" s="25" t="s">
        <v>1136</v>
      </c>
      <c r="E414" s="25" t="s">
        <v>1118</v>
      </c>
      <c r="F414" s="26" t="s">
        <v>491</v>
      </c>
      <c r="G414" s="26" t="s">
        <v>491</v>
      </c>
      <c r="H414" s="26">
        <v>1</v>
      </c>
      <c r="I414" s="26">
        <v>2</v>
      </c>
      <c r="J414" s="26">
        <v>1</v>
      </c>
      <c r="K414" s="26">
        <v>138</v>
      </c>
      <c r="L414" s="26" t="s">
        <v>28</v>
      </c>
      <c r="M414" s="27">
        <v>1621</v>
      </c>
      <c r="N414" s="28">
        <v>243966.18</v>
      </c>
      <c r="O414" s="26" t="s">
        <v>29</v>
      </c>
      <c r="P414" s="29"/>
      <c r="Q414" s="6"/>
      <c r="R414" s="29"/>
      <c r="S414" s="10"/>
      <c r="T414" s="8">
        <v>1</v>
      </c>
    </row>
    <row r="415" spans="1:20" ht="15.75" customHeight="1" outlineLevel="2" x14ac:dyDescent="0.35">
      <c r="A415" s="25" t="s">
        <v>1063</v>
      </c>
      <c r="B415" s="25" t="s">
        <v>2476</v>
      </c>
      <c r="C415" s="26">
        <v>195533</v>
      </c>
      <c r="D415" s="25" t="s">
        <v>1137</v>
      </c>
      <c r="E415" s="25" t="s">
        <v>1128</v>
      </c>
      <c r="F415" s="26" t="s">
        <v>491</v>
      </c>
      <c r="G415" s="26" t="s">
        <v>491</v>
      </c>
      <c r="H415" s="26">
        <v>1</v>
      </c>
      <c r="I415" s="26">
        <v>2</v>
      </c>
      <c r="J415" s="26">
        <v>1</v>
      </c>
      <c r="K415" s="26">
        <v>138</v>
      </c>
      <c r="L415" s="26" t="s">
        <v>28</v>
      </c>
      <c r="M415" s="27">
        <v>1618</v>
      </c>
      <c r="N415" s="28">
        <v>243966.18</v>
      </c>
      <c r="O415" s="26" t="s">
        <v>29</v>
      </c>
      <c r="P415" s="29"/>
      <c r="Q415" s="6"/>
      <c r="R415" s="29"/>
      <c r="S415" s="10"/>
      <c r="T415" s="8">
        <v>1</v>
      </c>
    </row>
    <row r="416" spans="1:20" ht="15.75" customHeight="1" outlineLevel="2" x14ac:dyDescent="0.35">
      <c r="A416" s="25" t="s">
        <v>1063</v>
      </c>
      <c r="B416" s="25" t="s">
        <v>2476</v>
      </c>
      <c r="C416" s="26">
        <v>303735</v>
      </c>
      <c r="D416" s="25" t="s">
        <v>1140</v>
      </c>
      <c r="E416" s="25" t="s">
        <v>1118</v>
      </c>
      <c r="F416" s="26" t="s">
        <v>491</v>
      </c>
      <c r="G416" s="26" t="s">
        <v>491</v>
      </c>
      <c r="H416" s="26">
        <v>1</v>
      </c>
      <c r="I416" s="26">
        <v>2</v>
      </c>
      <c r="J416" s="26">
        <v>1</v>
      </c>
      <c r="K416" s="26">
        <v>138</v>
      </c>
      <c r="L416" s="26" t="s">
        <v>28</v>
      </c>
      <c r="M416" s="27">
        <v>1631</v>
      </c>
      <c r="N416" s="28">
        <v>243966.18</v>
      </c>
      <c r="O416" s="26" t="s">
        <v>29</v>
      </c>
      <c r="P416" s="29"/>
      <c r="Q416" s="6"/>
      <c r="R416" s="29"/>
      <c r="S416" s="10"/>
      <c r="T416" s="8">
        <v>1</v>
      </c>
    </row>
    <row r="417" spans="1:26" ht="15.75" customHeight="1" outlineLevel="1" x14ac:dyDescent="0.35">
      <c r="A417" s="25"/>
      <c r="B417" s="53" t="s">
        <v>2477</v>
      </c>
      <c r="C417" s="26"/>
      <c r="D417" s="25"/>
      <c r="E417" s="25"/>
      <c r="F417" s="26"/>
      <c r="G417" s="26"/>
      <c r="H417" s="26">
        <f t="shared" ref="H417:I417" si="23">SUBTOTAL(9,H379:H416)</f>
        <v>38</v>
      </c>
      <c r="I417" s="26">
        <f t="shared" si="23"/>
        <v>76</v>
      </c>
      <c r="J417" s="26"/>
      <c r="K417" s="26"/>
      <c r="L417" s="26"/>
      <c r="M417" s="27"/>
      <c r="N417" s="28">
        <f>SUBTOTAL(9,N379:N416)</f>
        <v>8954899.0399999954</v>
      </c>
      <c r="O417" s="26"/>
      <c r="P417" s="29"/>
      <c r="Q417" s="6"/>
      <c r="R417" s="29"/>
      <c r="S417" s="10"/>
      <c r="T417" s="8"/>
    </row>
    <row r="418" spans="1:26" ht="25.5" customHeight="1" x14ac:dyDescent="0.35">
      <c r="A418" s="19"/>
      <c r="B418" s="19"/>
      <c r="C418" s="19"/>
      <c r="D418" s="50"/>
      <c r="E418" s="50"/>
      <c r="F418" s="19"/>
      <c r="G418" s="19"/>
      <c r="H418" s="48"/>
      <c r="I418" s="48"/>
      <c r="J418" s="19"/>
      <c r="K418" s="48"/>
      <c r="L418" s="54"/>
      <c r="M418" s="48"/>
      <c r="N418" s="48"/>
      <c r="O418" s="19"/>
      <c r="P418" s="45"/>
      <c r="Q418" s="51"/>
      <c r="R418" s="26"/>
      <c r="S418" s="55"/>
      <c r="T418" s="44"/>
      <c r="U418" s="54"/>
      <c r="V418" s="50"/>
      <c r="W418" s="19"/>
      <c r="X418" s="19"/>
      <c r="Y418" s="19"/>
      <c r="Z418" s="19"/>
    </row>
    <row r="419" spans="1:26" ht="25.5" customHeight="1" x14ac:dyDescent="0.35">
      <c r="A419" s="19"/>
      <c r="B419" s="56" t="s">
        <v>2377</v>
      </c>
      <c r="C419" s="19"/>
      <c r="D419" s="50"/>
      <c r="E419" s="50"/>
      <c r="F419" s="57"/>
      <c r="G419" s="57"/>
      <c r="H419" s="171" t="s">
        <v>2377</v>
      </c>
      <c r="I419" s="172"/>
      <c r="J419" s="19"/>
      <c r="K419" s="48"/>
      <c r="L419" s="54"/>
      <c r="M419" s="48"/>
      <c r="N419" s="48"/>
      <c r="O419" s="19"/>
      <c r="P419" s="51"/>
      <c r="Q419" s="51"/>
      <c r="R419" s="26"/>
      <c r="S419" s="55"/>
      <c r="T419" s="44"/>
      <c r="U419" s="54"/>
      <c r="V419" s="50"/>
      <c r="W419" s="19"/>
      <c r="X419" s="19"/>
      <c r="Y419" s="19"/>
      <c r="Z419" s="19"/>
    </row>
    <row r="420" spans="1:26" ht="25.5" customHeight="1" x14ac:dyDescent="0.35">
      <c r="A420" s="19"/>
      <c r="B420" s="19"/>
      <c r="C420" s="19"/>
      <c r="D420" s="50"/>
      <c r="E420" s="50"/>
      <c r="F420" s="19"/>
      <c r="G420" s="19"/>
      <c r="H420" s="19"/>
      <c r="I420" s="19"/>
      <c r="J420" s="19"/>
      <c r="K420" s="48"/>
      <c r="L420" s="54"/>
      <c r="M420" s="48"/>
      <c r="N420" s="48"/>
      <c r="O420" s="19"/>
      <c r="P420" s="51"/>
      <c r="Q420" s="51"/>
      <c r="R420" s="26"/>
      <c r="S420" s="55"/>
      <c r="T420" s="44"/>
      <c r="U420" s="54"/>
      <c r="V420" s="50"/>
      <c r="W420" s="19"/>
      <c r="X420" s="19"/>
      <c r="Y420" s="19"/>
      <c r="Z420" s="19"/>
    </row>
    <row r="421" spans="1:26" ht="25.5" customHeight="1" x14ac:dyDescent="0.35">
      <c r="A421" s="19"/>
      <c r="B421" s="19"/>
      <c r="C421" s="19"/>
      <c r="D421" s="50"/>
      <c r="E421" s="50"/>
      <c r="F421" s="19"/>
      <c r="G421" s="19"/>
      <c r="H421" s="48"/>
      <c r="I421" s="48"/>
      <c r="J421" s="19"/>
      <c r="K421" s="48"/>
      <c r="L421" s="54"/>
      <c r="M421" s="48"/>
      <c r="N421" s="48"/>
      <c r="O421" s="19"/>
      <c r="P421" s="51"/>
      <c r="Q421" s="51"/>
      <c r="R421" s="26"/>
      <c r="S421" s="55"/>
      <c r="T421" s="44"/>
      <c r="U421" s="54"/>
      <c r="V421" s="50"/>
      <c r="W421" s="19"/>
      <c r="X421" s="19"/>
      <c r="Y421" s="19"/>
      <c r="Z421" s="19"/>
    </row>
    <row r="422" spans="1:26" ht="25.5" customHeight="1" x14ac:dyDescent="0.35">
      <c r="A422" s="19"/>
      <c r="B422" s="19"/>
      <c r="C422" s="58"/>
      <c r="D422" s="78" t="s">
        <v>2432</v>
      </c>
      <c r="E422" s="50"/>
      <c r="F422" s="19"/>
      <c r="G422" s="19"/>
      <c r="H422" s="48"/>
      <c r="I422" s="48"/>
      <c r="J422" s="19"/>
      <c r="K422" s="48"/>
      <c r="L422" s="54"/>
      <c r="M422" s="173" t="s">
        <v>2433</v>
      </c>
      <c r="N422" s="172"/>
      <c r="O422" s="172"/>
      <c r="P422" s="51"/>
      <c r="Q422" s="51"/>
      <c r="R422" s="26"/>
      <c r="S422" s="55"/>
      <c r="T422" s="44"/>
      <c r="U422" s="54"/>
      <c r="V422" s="50"/>
      <c r="W422" s="19"/>
      <c r="X422" s="19"/>
      <c r="Y422" s="19"/>
      <c r="Z422" s="19"/>
    </row>
    <row r="423" spans="1:26" ht="29.25" customHeight="1" x14ac:dyDescent="0.35">
      <c r="A423" s="19"/>
      <c r="B423" s="19"/>
      <c r="C423" s="59"/>
      <c r="D423" s="56" t="s">
        <v>2434</v>
      </c>
      <c r="E423" s="60"/>
      <c r="F423" s="56"/>
      <c r="G423" s="56"/>
      <c r="H423" s="61"/>
      <c r="I423" s="61"/>
      <c r="J423" s="56"/>
      <c r="K423" s="61"/>
      <c r="L423" s="62"/>
      <c r="M423" s="174" t="s">
        <v>2435</v>
      </c>
      <c r="N423" s="172"/>
      <c r="O423" s="172"/>
      <c r="P423" s="63"/>
      <c r="Q423" s="51"/>
      <c r="R423" s="26"/>
      <c r="S423" s="55"/>
      <c r="T423" s="44"/>
      <c r="U423" s="54"/>
      <c r="V423" s="50"/>
      <c r="W423" s="19"/>
      <c r="X423" s="19"/>
      <c r="Y423" s="19"/>
      <c r="Z423" s="19"/>
    </row>
    <row r="424" spans="1:26" ht="15.75" customHeight="1" outlineLevel="2" x14ac:dyDescent="0.35">
      <c r="A424" s="25" t="s">
        <v>1063</v>
      </c>
      <c r="B424" s="25" t="s">
        <v>2478</v>
      </c>
      <c r="C424" s="26">
        <v>125359</v>
      </c>
      <c r="D424" s="25" t="s">
        <v>1174</v>
      </c>
      <c r="E424" s="25" t="s">
        <v>575</v>
      </c>
      <c r="F424" s="26" t="s">
        <v>90</v>
      </c>
      <c r="G424" s="26" t="s">
        <v>90</v>
      </c>
      <c r="H424" s="26">
        <v>1</v>
      </c>
      <c r="I424" s="26">
        <v>2</v>
      </c>
      <c r="J424" s="26">
        <v>1</v>
      </c>
      <c r="K424" s="26">
        <v>138</v>
      </c>
      <c r="L424" s="26" t="s">
        <v>28</v>
      </c>
      <c r="M424" s="27">
        <v>1658</v>
      </c>
      <c r="N424" s="28">
        <v>160500.21</v>
      </c>
      <c r="O424" s="26" t="s">
        <v>29</v>
      </c>
      <c r="P424" s="29"/>
      <c r="Q424" s="6"/>
      <c r="R424" s="29"/>
      <c r="S424" s="10"/>
      <c r="T424" s="8">
        <v>1</v>
      </c>
    </row>
    <row r="425" spans="1:26" ht="15.75" customHeight="1" outlineLevel="2" x14ac:dyDescent="0.35">
      <c r="A425" s="25" t="s">
        <v>1063</v>
      </c>
      <c r="B425" s="25" t="s">
        <v>2478</v>
      </c>
      <c r="C425" s="26">
        <v>126144</v>
      </c>
      <c r="D425" s="25" t="s">
        <v>1069</v>
      </c>
      <c r="E425" s="25" t="s">
        <v>1066</v>
      </c>
      <c r="F425" s="26" t="s">
        <v>215</v>
      </c>
      <c r="G425" s="26" t="s">
        <v>215</v>
      </c>
      <c r="H425" s="26">
        <v>1</v>
      </c>
      <c r="I425" s="26">
        <v>6</v>
      </c>
      <c r="J425" s="26">
        <v>1</v>
      </c>
      <c r="K425" s="26">
        <v>138</v>
      </c>
      <c r="L425" s="26" t="s">
        <v>28</v>
      </c>
      <c r="M425" s="27">
        <v>1574</v>
      </c>
      <c r="N425" s="30">
        <v>515884.75</v>
      </c>
      <c r="O425" s="26" t="s">
        <v>29</v>
      </c>
      <c r="P425" s="29"/>
      <c r="Q425" s="6"/>
      <c r="R425" s="29"/>
      <c r="S425" s="10"/>
      <c r="T425" s="8">
        <v>1</v>
      </c>
    </row>
    <row r="426" spans="1:26" ht="15.75" customHeight="1" outlineLevel="2" x14ac:dyDescent="0.35">
      <c r="A426" s="25" t="s">
        <v>1063</v>
      </c>
      <c r="B426" s="25" t="s">
        <v>2478</v>
      </c>
      <c r="C426" s="26">
        <v>199005</v>
      </c>
      <c r="D426" s="25" t="s">
        <v>1081</v>
      </c>
      <c r="E426" s="25" t="s">
        <v>1066</v>
      </c>
      <c r="F426" s="26" t="s">
        <v>215</v>
      </c>
      <c r="G426" s="26" t="s">
        <v>215</v>
      </c>
      <c r="H426" s="26">
        <v>1</v>
      </c>
      <c r="I426" s="26">
        <v>9</v>
      </c>
      <c r="J426" s="26">
        <v>1</v>
      </c>
      <c r="K426" s="26">
        <v>138</v>
      </c>
      <c r="L426" s="26" t="s">
        <v>28</v>
      </c>
      <c r="M426" s="27">
        <v>1572</v>
      </c>
      <c r="N426" s="30">
        <v>740248.18</v>
      </c>
      <c r="O426" s="26" t="s">
        <v>29</v>
      </c>
      <c r="P426" s="29"/>
      <c r="Q426" s="6"/>
      <c r="R426" s="29"/>
      <c r="S426" s="10"/>
      <c r="T426" s="8">
        <v>1</v>
      </c>
    </row>
    <row r="427" spans="1:26" ht="15.75" customHeight="1" outlineLevel="1" x14ac:dyDescent="0.35">
      <c r="A427" s="25"/>
      <c r="B427" s="53" t="s">
        <v>2479</v>
      </c>
      <c r="C427" s="26"/>
      <c r="D427" s="25"/>
      <c r="E427" s="25"/>
      <c r="F427" s="26"/>
      <c r="G427" s="26"/>
      <c r="H427" s="26">
        <f t="shared" ref="H427:I427" si="24">SUBTOTAL(9,H424:H426)</f>
        <v>3</v>
      </c>
      <c r="I427" s="26">
        <f t="shared" si="24"/>
        <v>17</v>
      </c>
      <c r="J427" s="26"/>
      <c r="K427" s="26"/>
      <c r="L427" s="26"/>
      <c r="M427" s="27"/>
      <c r="N427" s="30">
        <f>SUBTOTAL(9,N424:N426)</f>
        <v>1416633.1400000001</v>
      </c>
      <c r="O427" s="26"/>
      <c r="P427" s="29"/>
      <c r="Q427" s="6"/>
      <c r="R427" s="29"/>
      <c r="S427" s="10"/>
      <c r="T427" s="8"/>
    </row>
    <row r="428" spans="1:26" ht="25.5" customHeight="1" x14ac:dyDescent="0.35">
      <c r="A428" s="19"/>
      <c r="B428" s="19"/>
      <c r="C428" s="19"/>
      <c r="D428" s="50"/>
      <c r="E428" s="50"/>
      <c r="F428" s="19"/>
      <c r="G428" s="19"/>
      <c r="H428" s="48"/>
      <c r="I428" s="48"/>
      <c r="J428" s="19"/>
      <c r="K428" s="48"/>
      <c r="L428" s="54"/>
      <c r="M428" s="48"/>
      <c r="N428" s="48"/>
      <c r="O428" s="19"/>
      <c r="P428" s="45"/>
      <c r="Q428" s="51"/>
      <c r="R428" s="26"/>
      <c r="S428" s="55"/>
      <c r="T428" s="44"/>
      <c r="U428" s="54"/>
      <c r="V428" s="50"/>
      <c r="W428" s="19"/>
      <c r="X428" s="19"/>
      <c r="Y428" s="19"/>
      <c r="Z428" s="19"/>
    </row>
    <row r="429" spans="1:26" ht="25.5" customHeight="1" x14ac:dyDescent="0.35">
      <c r="A429" s="19"/>
      <c r="B429" s="56" t="s">
        <v>2377</v>
      </c>
      <c r="C429" s="19"/>
      <c r="D429" s="50"/>
      <c r="E429" s="50"/>
      <c r="F429" s="57"/>
      <c r="G429" s="57"/>
      <c r="H429" s="171" t="s">
        <v>2377</v>
      </c>
      <c r="I429" s="172"/>
      <c r="J429" s="19"/>
      <c r="K429" s="48"/>
      <c r="L429" s="54"/>
      <c r="M429" s="48"/>
      <c r="N429" s="48"/>
      <c r="O429" s="19"/>
      <c r="P429" s="51"/>
      <c r="Q429" s="51"/>
      <c r="R429" s="26"/>
      <c r="S429" s="55"/>
      <c r="T429" s="44"/>
      <c r="U429" s="54"/>
      <c r="V429" s="50"/>
      <c r="W429" s="19"/>
      <c r="X429" s="19"/>
      <c r="Y429" s="19"/>
      <c r="Z429" s="19"/>
    </row>
    <row r="430" spans="1:26" ht="25.5" customHeight="1" x14ac:dyDescent="0.35">
      <c r="A430" s="19"/>
      <c r="B430" s="19"/>
      <c r="C430" s="19"/>
      <c r="D430" s="50"/>
      <c r="E430" s="50"/>
      <c r="F430" s="19"/>
      <c r="G430" s="19"/>
      <c r="H430" s="19"/>
      <c r="I430" s="19"/>
      <c r="J430" s="19"/>
      <c r="K430" s="48"/>
      <c r="L430" s="54"/>
      <c r="M430" s="48"/>
      <c r="N430" s="48"/>
      <c r="O430" s="19"/>
      <c r="P430" s="51"/>
      <c r="Q430" s="51"/>
      <c r="R430" s="26"/>
      <c r="S430" s="55"/>
      <c r="T430" s="44"/>
      <c r="U430" s="54"/>
      <c r="V430" s="50"/>
      <c r="W430" s="19"/>
      <c r="X430" s="19"/>
      <c r="Y430" s="19"/>
      <c r="Z430" s="19"/>
    </row>
    <row r="431" spans="1:26" ht="25.5" customHeight="1" x14ac:dyDescent="0.35">
      <c r="A431" s="19"/>
      <c r="B431" s="19"/>
      <c r="C431" s="19"/>
      <c r="D431" s="50"/>
      <c r="E431" s="50"/>
      <c r="F431" s="19"/>
      <c r="G431" s="19"/>
      <c r="H431" s="48"/>
      <c r="I431" s="48"/>
      <c r="J431" s="19"/>
      <c r="K431" s="48"/>
      <c r="L431" s="54"/>
      <c r="M431" s="48"/>
      <c r="N431" s="48"/>
      <c r="O431" s="19"/>
      <c r="P431" s="51"/>
      <c r="Q431" s="51"/>
      <c r="R431" s="26"/>
      <c r="S431" s="55"/>
      <c r="T431" s="44"/>
      <c r="U431" s="54"/>
      <c r="V431" s="50"/>
      <c r="W431" s="19"/>
      <c r="X431" s="19"/>
      <c r="Y431" s="19"/>
      <c r="Z431" s="19"/>
    </row>
    <row r="432" spans="1:26" ht="25.5" customHeight="1" x14ac:dyDescent="0.35">
      <c r="A432" s="19"/>
      <c r="B432" s="19"/>
      <c r="C432" s="58"/>
      <c r="D432" s="78" t="s">
        <v>2432</v>
      </c>
      <c r="E432" s="50"/>
      <c r="F432" s="19"/>
      <c r="G432" s="19"/>
      <c r="H432" s="48"/>
      <c r="I432" s="48"/>
      <c r="J432" s="19"/>
      <c r="K432" s="48"/>
      <c r="L432" s="54"/>
      <c r="M432" s="173" t="s">
        <v>2433</v>
      </c>
      <c r="N432" s="172"/>
      <c r="O432" s="172"/>
      <c r="P432" s="51"/>
      <c r="Q432" s="51"/>
      <c r="R432" s="26"/>
      <c r="S432" s="55"/>
      <c r="T432" s="44"/>
      <c r="U432" s="54"/>
      <c r="V432" s="50"/>
      <c r="W432" s="19"/>
      <c r="X432" s="19"/>
      <c r="Y432" s="19"/>
      <c r="Z432" s="19"/>
    </row>
    <row r="433" spans="1:26" ht="29.25" customHeight="1" x14ac:dyDescent="0.35">
      <c r="A433" s="19"/>
      <c r="B433" s="19"/>
      <c r="C433" s="59"/>
      <c r="D433" s="56" t="s">
        <v>2434</v>
      </c>
      <c r="E433" s="60"/>
      <c r="F433" s="56"/>
      <c r="G433" s="56"/>
      <c r="H433" s="61"/>
      <c r="I433" s="61"/>
      <c r="J433" s="56"/>
      <c r="K433" s="61"/>
      <c r="L433" s="62"/>
      <c r="M433" s="174" t="s">
        <v>2435</v>
      </c>
      <c r="N433" s="172"/>
      <c r="O433" s="172"/>
      <c r="P433" s="63"/>
      <c r="Q433" s="51"/>
      <c r="R433" s="26"/>
      <c r="S433" s="55"/>
      <c r="T433" s="44"/>
      <c r="U433" s="54"/>
      <c r="V433" s="50"/>
      <c r="W433" s="19"/>
      <c r="X433" s="19"/>
      <c r="Y433" s="19"/>
      <c r="Z433" s="19"/>
    </row>
    <row r="434" spans="1:26" ht="15.75" customHeight="1" outlineLevel="2" x14ac:dyDescent="0.35">
      <c r="A434" s="25" t="s">
        <v>1063</v>
      </c>
      <c r="B434" s="25" t="s">
        <v>2480</v>
      </c>
      <c r="C434" s="26">
        <v>125536</v>
      </c>
      <c r="D434" s="25" t="s">
        <v>1191</v>
      </c>
      <c r="E434" s="25" t="s">
        <v>1192</v>
      </c>
      <c r="F434" s="26" t="s">
        <v>215</v>
      </c>
      <c r="G434" s="26" t="s">
        <v>215</v>
      </c>
      <c r="H434" s="26">
        <v>1</v>
      </c>
      <c r="I434" s="26">
        <v>2</v>
      </c>
      <c r="J434" s="26">
        <v>1</v>
      </c>
      <c r="K434" s="26">
        <v>138</v>
      </c>
      <c r="L434" s="26" t="s">
        <v>28</v>
      </c>
      <c r="M434" s="27">
        <v>1687</v>
      </c>
      <c r="N434" s="30">
        <v>385756.45</v>
      </c>
      <c r="O434" s="26" t="s">
        <v>29</v>
      </c>
      <c r="P434" s="29"/>
      <c r="Q434" s="6"/>
      <c r="R434" s="29"/>
      <c r="S434" s="10"/>
      <c r="T434" s="8">
        <v>1</v>
      </c>
    </row>
    <row r="435" spans="1:26" ht="15.75" customHeight="1" outlineLevel="2" x14ac:dyDescent="0.35">
      <c r="A435" s="25" t="s">
        <v>1063</v>
      </c>
      <c r="B435" s="25" t="s">
        <v>2480</v>
      </c>
      <c r="C435" s="26">
        <v>125552</v>
      </c>
      <c r="D435" s="25" t="s">
        <v>1193</v>
      </c>
      <c r="E435" s="25" t="s">
        <v>1194</v>
      </c>
      <c r="F435" s="26" t="s">
        <v>215</v>
      </c>
      <c r="G435" s="26" t="s">
        <v>215</v>
      </c>
      <c r="H435" s="26">
        <v>1</v>
      </c>
      <c r="I435" s="26">
        <v>3</v>
      </c>
      <c r="J435" s="26">
        <v>1</v>
      </c>
      <c r="K435" s="26">
        <v>138</v>
      </c>
      <c r="L435" s="26" t="s">
        <v>28</v>
      </c>
      <c r="M435" s="27">
        <v>1672</v>
      </c>
      <c r="N435" s="30">
        <v>239668.95</v>
      </c>
      <c r="O435" s="26" t="s">
        <v>29</v>
      </c>
      <c r="P435" s="29"/>
      <c r="Q435" s="6"/>
      <c r="R435" s="29"/>
      <c r="S435" s="10"/>
      <c r="T435" s="8">
        <v>1</v>
      </c>
    </row>
    <row r="436" spans="1:26" ht="15.75" customHeight="1" outlineLevel="2" x14ac:dyDescent="0.35">
      <c r="A436" s="25" t="s">
        <v>1063</v>
      </c>
      <c r="B436" s="25" t="s">
        <v>2480</v>
      </c>
      <c r="C436" s="26">
        <v>125597</v>
      </c>
      <c r="D436" s="25" t="s">
        <v>1200</v>
      </c>
      <c r="E436" s="25" t="s">
        <v>1199</v>
      </c>
      <c r="F436" s="26" t="s">
        <v>215</v>
      </c>
      <c r="G436" s="26" t="s">
        <v>215</v>
      </c>
      <c r="H436" s="26">
        <v>1</v>
      </c>
      <c r="I436" s="26">
        <v>2</v>
      </c>
      <c r="J436" s="26">
        <v>1</v>
      </c>
      <c r="K436" s="26">
        <v>138</v>
      </c>
      <c r="L436" s="26" t="s">
        <v>28</v>
      </c>
      <c r="M436" s="27">
        <v>1671</v>
      </c>
      <c r="N436" s="30">
        <v>160729.35</v>
      </c>
      <c r="O436" s="26" t="s">
        <v>29</v>
      </c>
      <c r="P436" s="29"/>
      <c r="Q436" s="6"/>
      <c r="R436" s="29"/>
      <c r="S436" s="10"/>
      <c r="T436" s="8">
        <v>1</v>
      </c>
    </row>
    <row r="437" spans="1:26" ht="15.75" customHeight="1" outlineLevel="2" x14ac:dyDescent="0.35">
      <c r="A437" s="25" t="s">
        <v>1063</v>
      </c>
      <c r="B437" s="25" t="s">
        <v>2480</v>
      </c>
      <c r="C437" s="26">
        <v>125604</v>
      </c>
      <c r="D437" s="25" t="s">
        <v>1201</v>
      </c>
      <c r="E437" s="25" t="s">
        <v>1199</v>
      </c>
      <c r="F437" s="26" t="s">
        <v>215</v>
      </c>
      <c r="G437" s="26" t="s">
        <v>215</v>
      </c>
      <c r="H437" s="26">
        <v>1</v>
      </c>
      <c r="I437" s="26">
        <v>4</v>
      </c>
      <c r="J437" s="26">
        <v>1</v>
      </c>
      <c r="K437" s="26">
        <v>138</v>
      </c>
      <c r="L437" s="26" t="s">
        <v>28</v>
      </c>
      <c r="M437" s="27">
        <v>1676</v>
      </c>
      <c r="N437" s="30">
        <v>336448.94</v>
      </c>
      <c r="O437" s="26" t="s">
        <v>29</v>
      </c>
      <c r="P437" s="29"/>
      <c r="Q437" s="6"/>
      <c r="R437" s="29"/>
      <c r="S437" s="10"/>
      <c r="T437" s="8">
        <v>1</v>
      </c>
    </row>
    <row r="438" spans="1:26" ht="15.75" customHeight="1" outlineLevel="2" x14ac:dyDescent="0.35">
      <c r="A438" s="25" t="s">
        <v>1063</v>
      </c>
      <c r="B438" s="25" t="s">
        <v>2480</v>
      </c>
      <c r="C438" s="26">
        <v>125620</v>
      </c>
      <c r="D438" s="25" t="s">
        <v>1204</v>
      </c>
      <c r="E438" s="25" t="s">
        <v>1203</v>
      </c>
      <c r="F438" s="26" t="s">
        <v>90</v>
      </c>
      <c r="G438" s="26" t="s">
        <v>90</v>
      </c>
      <c r="H438" s="26">
        <v>1</v>
      </c>
      <c r="I438" s="26">
        <v>4</v>
      </c>
      <c r="J438" s="26">
        <v>1</v>
      </c>
      <c r="K438" s="26">
        <v>138</v>
      </c>
      <c r="L438" s="26" t="s">
        <v>28</v>
      </c>
      <c r="M438" s="27">
        <v>1694</v>
      </c>
      <c r="N438" s="30">
        <v>313968.32</v>
      </c>
      <c r="O438" s="26" t="s">
        <v>29</v>
      </c>
      <c r="P438" s="29"/>
      <c r="Q438" s="6"/>
      <c r="R438" s="29"/>
      <c r="S438" s="10"/>
      <c r="T438" s="8">
        <v>1</v>
      </c>
    </row>
    <row r="439" spans="1:26" ht="15.75" customHeight="1" outlineLevel="2" x14ac:dyDescent="0.35">
      <c r="A439" s="25" t="s">
        <v>1063</v>
      </c>
      <c r="B439" s="25" t="s">
        <v>2480</v>
      </c>
      <c r="C439" s="26">
        <v>125643</v>
      </c>
      <c r="D439" s="25" t="s">
        <v>1205</v>
      </c>
      <c r="E439" s="25" t="s">
        <v>1206</v>
      </c>
      <c r="F439" s="26" t="s">
        <v>90</v>
      </c>
      <c r="G439" s="26" t="s">
        <v>90</v>
      </c>
      <c r="H439" s="26">
        <v>1</v>
      </c>
      <c r="I439" s="26">
        <v>3</v>
      </c>
      <c r="J439" s="26">
        <v>1</v>
      </c>
      <c r="K439" s="26">
        <v>138</v>
      </c>
      <c r="L439" s="26" t="s">
        <v>28</v>
      </c>
      <c r="M439" s="27">
        <v>1692</v>
      </c>
      <c r="N439" s="30">
        <v>272383.69</v>
      </c>
      <c r="O439" s="26" t="s">
        <v>29</v>
      </c>
      <c r="P439" s="29"/>
      <c r="Q439" s="6"/>
      <c r="R439" s="29"/>
      <c r="S439" s="10"/>
      <c r="T439" s="8">
        <v>1</v>
      </c>
    </row>
    <row r="440" spans="1:26" ht="15.75" customHeight="1" outlineLevel="2" x14ac:dyDescent="0.35">
      <c r="A440" s="25" t="s">
        <v>1063</v>
      </c>
      <c r="B440" s="25" t="s">
        <v>2480</v>
      </c>
      <c r="C440" s="26">
        <v>125653</v>
      </c>
      <c r="D440" s="25" t="s">
        <v>1207</v>
      </c>
      <c r="E440" s="25" t="s">
        <v>1206</v>
      </c>
      <c r="F440" s="26" t="s">
        <v>90</v>
      </c>
      <c r="G440" s="26" t="s">
        <v>90</v>
      </c>
      <c r="H440" s="26">
        <v>1</v>
      </c>
      <c r="I440" s="26">
        <v>2</v>
      </c>
      <c r="J440" s="26">
        <v>1</v>
      </c>
      <c r="K440" s="26">
        <v>138</v>
      </c>
      <c r="L440" s="26" t="s">
        <v>28</v>
      </c>
      <c r="M440" s="27">
        <v>1697</v>
      </c>
      <c r="N440" s="30">
        <v>162327.35</v>
      </c>
      <c r="O440" s="26" t="s">
        <v>29</v>
      </c>
      <c r="P440" s="29"/>
      <c r="Q440" s="6"/>
      <c r="R440" s="29"/>
      <c r="S440" s="10"/>
      <c r="T440" s="8">
        <v>1</v>
      </c>
    </row>
    <row r="441" spans="1:26" ht="15.75" customHeight="1" outlineLevel="2" x14ac:dyDescent="0.35">
      <c r="A441" s="25" t="s">
        <v>1063</v>
      </c>
      <c r="B441" s="25" t="s">
        <v>2480</v>
      </c>
      <c r="C441" s="26">
        <v>125682</v>
      </c>
      <c r="D441" s="25" t="s">
        <v>1208</v>
      </c>
      <c r="E441" s="25" t="s">
        <v>1209</v>
      </c>
      <c r="F441" s="26" t="s">
        <v>215</v>
      </c>
      <c r="G441" s="26" t="s">
        <v>215</v>
      </c>
      <c r="H441" s="26">
        <v>1</v>
      </c>
      <c r="I441" s="26">
        <v>3</v>
      </c>
      <c r="J441" s="26">
        <v>1</v>
      </c>
      <c r="K441" s="26">
        <v>138</v>
      </c>
      <c r="L441" s="26" t="s">
        <v>28</v>
      </c>
      <c r="M441" s="27">
        <v>1686</v>
      </c>
      <c r="N441" s="30">
        <v>239258.89</v>
      </c>
      <c r="O441" s="26" t="s">
        <v>29</v>
      </c>
      <c r="P441" s="29"/>
      <c r="Q441" s="6"/>
      <c r="R441" s="29"/>
      <c r="S441" s="10"/>
      <c r="T441" s="8">
        <v>1</v>
      </c>
    </row>
    <row r="442" spans="1:26" ht="15.75" customHeight="1" outlineLevel="2" x14ac:dyDescent="0.35">
      <c r="A442" s="25" t="s">
        <v>1063</v>
      </c>
      <c r="B442" s="25" t="s">
        <v>2480</v>
      </c>
      <c r="C442" s="26">
        <v>125699</v>
      </c>
      <c r="D442" s="25" t="s">
        <v>1210</v>
      </c>
      <c r="E442" s="25" t="s">
        <v>1211</v>
      </c>
      <c r="F442" s="26" t="s">
        <v>215</v>
      </c>
      <c r="G442" s="26" t="s">
        <v>215</v>
      </c>
      <c r="H442" s="26">
        <v>1</v>
      </c>
      <c r="I442" s="26">
        <v>3</v>
      </c>
      <c r="J442" s="26">
        <v>1</v>
      </c>
      <c r="K442" s="26">
        <v>138</v>
      </c>
      <c r="L442" s="26" t="s">
        <v>28</v>
      </c>
      <c r="M442" s="27">
        <v>1677</v>
      </c>
      <c r="N442" s="30">
        <v>249361.67</v>
      </c>
      <c r="O442" s="26" t="s">
        <v>29</v>
      </c>
      <c r="P442" s="29"/>
      <c r="Q442" s="6"/>
      <c r="R442" s="29"/>
      <c r="S442" s="10"/>
      <c r="T442" s="8">
        <v>1</v>
      </c>
    </row>
    <row r="443" spans="1:26" ht="15.75" customHeight="1" outlineLevel="2" x14ac:dyDescent="0.35">
      <c r="A443" s="25" t="s">
        <v>1063</v>
      </c>
      <c r="B443" s="25" t="s">
        <v>2480</v>
      </c>
      <c r="C443" s="26">
        <v>125708</v>
      </c>
      <c r="D443" s="25" t="s">
        <v>1212</v>
      </c>
      <c r="E443" s="25" t="s">
        <v>1211</v>
      </c>
      <c r="F443" s="26" t="s">
        <v>215</v>
      </c>
      <c r="G443" s="26" t="s">
        <v>215</v>
      </c>
      <c r="H443" s="26">
        <v>1</v>
      </c>
      <c r="I443" s="26">
        <v>5</v>
      </c>
      <c r="J443" s="26">
        <v>1</v>
      </c>
      <c r="K443" s="26">
        <v>138</v>
      </c>
      <c r="L443" s="26" t="s">
        <v>28</v>
      </c>
      <c r="M443" s="27">
        <v>1688</v>
      </c>
      <c r="N443" s="30">
        <v>445775.63</v>
      </c>
      <c r="O443" s="26" t="s">
        <v>29</v>
      </c>
      <c r="P443" s="29"/>
      <c r="Q443" s="6"/>
      <c r="R443" s="29"/>
      <c r="S443" s="10"/>
      <c r="T443" s="8">
        <v>1</v>
      </c>
    </row>
    <row r="444" spans="1:26" ht="15.75" customHeight="1" outlineLevel="2" x14ac:dyDescent="0.35">
      <c r="A444" s="25" t="s">
        <v>1063</v>
      </c>
      <c r="B444" s="25" t="s">
        <v>2480</v>
      </c>
      <c r="C444" s="26">
        <v>125770</v>
      </c>
      <c r="D444" s="25" t="s">
        <v>1216</v>
      </c>
      <c r="E444" s="25" t="s">
        <v>1217</v>
      </c>
      <c r="F444" s="26" t="s">
        <v>215</v>
      </c>
      <c r="G444" s="26" t="s">
        <v>215</v>
      </c>
      <c r="H444" s="26">
        <v>1</v>
      </c>
      <c r="I444" s="26">
        <v>2</v>
      </c>
      <c r="J444" s="26">
        <v>1</v>
      </c>
      <c r="K444" s="26">
        <v>138</v>
      </c>
      <c r="L444" s="26" t="s">
        <v>28</v>
      </c>
      <c r="M444" s="27">
        <v>1678</v>
      </c>
      <c r="N444" s="30">
        <v>160075.71</v>
      </c>
      <c r="O444" s="26" t="s">
        <v>29</v>
      </c>
      <c r="P444" s="29"/>
      <c r="Q444" s="6"/>
      <c r="R444" s="29"/>
      <c r="S444" s="10"/>
      <c r="T444" s="8">
        <v>1</v>
      </c>
    </row>
    <row r="445" spans="1:26" ht="15.75" customHeight="1" outlineLevel="2" x14ac:dyDescent="0.35">
      <c r="A445" s="25" t="s">
        <v>1063</v>
      </c>
      <c r="B445" s="25" t="s">
        <v>2480</v>
      </c>
      <c r="C445" s="26">
        <v>125771</v>
      </c>
      <c r="D445" s="25" t="s">
        <v>1218</v>
      </c>
      <c r="E445" s="25" t="s">
        <v>1217</v>
      </c>
      <c r="F445" s="26" t="s">
        <v>215</v>
      </c>
      <c r="G445" s="26" t="s">
        <v>215</v>
      </c>
      <c r="H445" s="26">
        <v>1</v>
      </c>
      <c r="I445" s="26">
        <v>5</v>
      </c>
      <c r="J445" s="26">
        <v>1</v>
      </c>
      <c r="K445" s="26">
        <v>138</v>
      </c>
      <c r="L445" s="26" t="s">
        <v>28</v>
      </c>
      <c r="M445" s="27">
        <v>1679</v>
      </c>
      <c r="N445" s="30">
        <v>455738.57</v>
      </c>
      <c r="O445" s="26" t="s">
        <v>29</v>
      </c>
      <c r="P445" s="29"/>
      <c r="Q445" s="6"/>
      <c r="R445" s="29"/>
      <c r="S445" s="10"/>
      <c r="T445" s="8">
        <v>1</v>
      </c>
    </row>
    <row r="446" spans="1:26" ht="15.75" customHeight="1" outlineLevel="2" x14ac:dyDescent="0.35">
      <c r="A446" s="25" t="s">
        <v>1063</v>
      </c>
      <c r="B446" s="25" t="s">
        <v>2480</v>
      </c>
      <c r="C446" s="26">
        <v>125780</v>
      </c>
      <c r="D446" s="25" t="s">
        <v>1219</v>
      </c>
      <c r="E446" s="25" t="s">
        <v>1217</v>
      </c>
      <c r="F446" s="26" t="s">
        <v>215</v>
      </c>
      <c r="G446" s="26" t="s">
        <v>215</v>
      </c>
      <c r="H446" s="26">
        <v>1</v>
      </c>
      <c r="I446" s="26">
        <v>3</v>
      </c>
      <c r="J446" s="26">
        <v>1</v>
      </c>
      <c r="K446" s="26">
        <v>138</v>
      </c>
      <c r="L446" s="26" t="s">
        <v>28</v>
      </c>
      <c r="M446" s="27">
        <v>1684</v>
      </c>
      <c r="N446" s="30">
        <v>272143.76</v>
      </c>
      <c r="O446" s="26" t="s">
        <v>29</v>
      </c>
      <c r="P446" s="29"/>
      <c r="Q446" s="6"/>
      <c r="R446" s="29"/>
      <c r="S446" s="10"/>
      <c r="T446" s="8">
        <v>1</v>
      </c>
    </row>
    <row r="447" spans="1:26" ht="15.75" customHeight="1" outlineLevel="2" x14ac:dyDescent="0.35">
      <c r="A447" s="25" t="s">
        <v>1063</v>
      </c>
      <c r="B447" s="25" t="s">
        <v>2480</v>
      </c>
      <c r="C447" s="26">
        <v>125799</v>
      </c>
      <c r="D447" s="25" t="s">
        <v>1223</v>
      </c>
      <c r="E447" s="25" t="s">
        <v>1222</v>
      </c>
      <c r="F447" s="26" t="s">
        <v>90</v>
      </c>
      <c r="G447" s="26" t="s">
        <v>90</v>
      </c>
      <c r="H447" s="26">
        <v>1</v>
      </c>
      <c r="I447" s="26">
        <v>2</v>
      </c>
      <c r="J447" s="26">
        <v>1</v>
      </c>
      <c r="K447" s="26">
        <v>138</v>
      </c>
      <c r="L447" s="26" t="s">
        <v>28</v>
      </c>
      <c r="M447" s="27">
        <v>1698</v>
      </c>
      <c r="N447" s="30">
        <v>160531.60999999999</v>
      </c>
      <c r="O447" s="26" t="s">
        <v>29</v>
      </c>
      <c r="P447" s="29"/>
      <c r="Q447" s="6"/>
      <c r="R447" s="29"/>
      <c r="S447" s="10"/>
      <c r="T447" s="8">
        <v>1</v>
      </c>
    </row>
    <row r="448" spans="1:26" ht="15.75" customHeight="1" outlineLevel="2" x14ac:dyDescent="0.35">
      <c r="A448" s="25" t="s">
        <v>1063</v>
      </c>
      <c r="B448" s="25" t="s">
        <v>2480</v>
      </c>
      <c r="C448" s="26">
        <v>125811</v>
      </c>
      <c r="D448" s="25" t="s">
        <v>1224</v>
      </c>
      <c r="E448" s="25" t="s">
        <v>1225</v>
      </c>
      <c r="F448" s="26" t="s">
        <v>90</v>
      </c>
      <c r="G448" s="26" t="s">
        <v>90</v>
      </c>
      <c r="H448" s="26">
        <v>1</v>
      </c>
      <c r="I448" s="26">
        <v>4</v>
      </c>
      <c r="J448" s="26">
        <v>1</v>
      </c>
      <c r="K448" s="26">
        <v>138</v>
      </c>
      <c r="L448" s="26" t="s">
        <v>28</v>
      </c>
      <c r="M448" s="27">
        <v>1689</v>
      </c>
      <c r="N448" s="30">
        <v>314449.84000000003</v>
      </c>
      <c r="O448" s="26" t="s">
        <v>29</v>
      </c>
      <c r="P448" s="29"/>
      <c r="Q448" s="6"/>
      <c r="R448" s="29"/>
      <c r="S448" s="10"/>
      <c r="T448" s="8">
        <v>1</v>
      </c>
    </row>
    <row r="449" spans="1:26" ht="15.75" customHeight="1" outlineLevel="2" x14ac:dyDescent="0.35">
      <c r="A449" s="25" t="s">
        <v>1063</v>
      </c>
      <c r="B449" s="25" t="s">
        <v>2480</v>
      </c>
      <c r="C449" s="26">
        <v>196517</v>
      </c>
      <c r="D449" s="25" t="s">
        <v>1231</v>
      </c>
      <c r="E449" s="25" t="s">
        <v>1232</v>
      </c>
      <c r="F449" s="26" t="s">
        <v>90</v>
      </c>
      <c r="G449" s="26" t="s">
        <v>90</v>
      </c>
      <c r="H449" s="26">
        <v>1</v>
      </c>
      <c r="I449" s="26">
        <v>5</v>
      </c>
      <c r="J449" s="26">
        <v>1</v>
      </c>
      <c r="K449" s="26">
        <v>138</v>
      </c>
      <c r="L449" s="26" t="s">
        <v>28</v>
      </c>
      <c r="M449" s="27">
        <v>1699</v>
      </c>
      <c r="N449" s="30">
        <v>486239.05</v>
      </c>
      <c r="O449" s="26" t="s">
        <v>29</v>
      </c>
      <c r="P449" s="29"/>
      <c r="Q449" s="6"/>
      <c r="R449" s="29"/>
      <c r="S449" s="10"/>
      <c r="T449" s="8">
        <v>1</v>
      </c>
    </row>
    <row r="450" spans="1:26" ht="15.75" customHeight="1" outlineLevel="2" x14ac:dyDescent="0.35">
      <c r="A450" s="25" t="s">
        <v>1063</v>
      </c>
      <c r="B450" s="25" t="s">
        <v>2480</v>
      </c>
      <c r="C450" s="26">
        <v>196526</v>
      </c>
      <c r="D450" s="25" t="s">
        <v>1234</v>
      </c>
      <c r="E450" s="25" t="s">
        <v>1222</v>
      </c>
      <c r="F450" s="26" t="s">
        <v>90</v>
      </c>
      <c r="G450" s="26" t="s">
        <v>90</v>
      </c>
      <c r="H450" s="26">
        <v>1</v>
      </c>
      <c r="I450" s="26">
        <v>2</v>
      </c>
      <c r="J450" s="26">
        <v>1</v>
      </c>
      <c r="K450" s="26">
        <v>138</v>
      </c>
      <c r="L450" s="26" t="s">
        <v>28</v>
      </c>
      <c r="M450" s="27">
        <v>1693</v>
      </c>
      <c r="N450" s="30">
        <v>160290.82999999999</v>
      </c>
      <c r="O450" s="26" t="s">
        <v>29</v>
      </c>
      <c r="P450" s="29"/>
      <c r="Q450" s="6"/>
      <c r="R450" s="29"/>
      <c r="S450" s="10"/>
      <c r="T450" s="8">
        <v>1</v>
      </c>
    </row>
    <row r="451" spans="1:26" ht="15.75" customHeight="1" outlineLevel="1" x14ac:dyDescent="0.35">
      <c r="A451" s="25"/>
      <c r="B451" s="53" t="s">
        <v>2481</v>
      </c>
      <c r="C451" s="26"/>
      <c r="D451" s="25"/>
      <c r="E451" s="25"/>
      <c r="F451" s="26"/>
      <c r="G451" s="26"/>
      <c r="H451" s="26">
        <f t="shared" ref="H451:I451" si="25">SUBTOTAL(9,H434:H450)</f>
        <v>17</v>
      </c>
      <c r="I451" s="26">
        <f t="shared" si="25"/>
        <v>54</v>
      </c>
      <c r="J451" s="26"/>
      <c r="K451" s="26"/>
      <c r="L451" s="26"/>
      <c r="M451" s="27"/>
      <c r="N451" s="30">
        <f>SUBTOTAL(9,N434:N450)</f>
        <v>4815148.6099999994</v>
      </c>
      <c r="O451" s="26"/>
      <c r="P451" s="29"/>
      <c r="Q451" s="6"/>
      <c r="R451" s="29"/>
      <c r="S451" s="10"/>
      <c r="T451" s="8"/>
    </row>
    <row r="452" spans="1:26" ht="25.5" customHeight="1" x14ac:dyDescent="0.35">
      <c r="A452" s="19"/>
      <c r="B452" s="19"/>
      <c r="C452" s="19"/>
      <c r="D452" s="50"/>
      <c r="E452" s="50"/>
      <c r="F452" s="19"/>
      <c r="G452" s="19"/>
      <c r="H452" s="48"/>
      <c r="I452" s="48"/>
      <c r="J452" s="19"/>
      <c r="K452" s="48"/>
      <c r="L452" s="54"/>
      <c r="M452" s="48"/>
      <c r="N452" s="48"/>
      <c r="O452" s="19"/>
      <c r="P452" s="45"/>
      <c r="Q452" s="51"/>
      <c r="R452" s="26"/>
      <c r="S452" s="55"/>
      <c r="T452" s="44"/>
      <c r="U452" s="54"/>
      <c r="V452" s="50"/>
      <c r="W452" s="19"/>
      <c r="X452" s="19"/>
      <c r="Y452" s="19"/>
      <c r="Z452" s="19"/>
    </row>
    <row r="453" spans="1:26" ht="25.5" customHeight="1" x14ac:dyDescent="0.35">
      <c r="A453" s="19"/>
      <c r="B453" s="56" t="s">
        <v>2377</v>
      </c>
      <c r="C453" s="19"/>
      <c r="D453" s="50"/>
      <c r="E453" s="50"/>
      <c r="F453" s="57"/>
      <c r="G453" s="57"/>
      <c r="H453" s="171" t="s">
        <v>2377</v>
      </c>
      <c r="I453" s="172"/>
      <c r="J453" s="19"/>
      <c r="K453" s="48"/>
      <c r="L453" s="54"/>
      <c r="M453" s="48"/>
      <c r="N453" s="48"/>
      <c r="O453" s="19"/>
      <c r="P453" s="51"/>
      <c r="Q453" s="51"/>
      <c r="R453" s="26"/>
      <c r="S453" s="55"/>
      <c r="T453" s="44"/>
      <c r="U453" s="54"/>
      <c r="V453" s="50"/>
      <c r="W453" s="19"/>
      <c r="X453" s="19"/>
      <c r="Y453" s="19"/>
      <c r="Z453" s="19"/>
    </row>
    <row r="454" spans="1:26" ht="25.5" customHeight="1" x14ac:dyDescent="0.35">
      <c r="A454" s="19"/>
      <c r="B454" s="19"/>
      <c r="C454" s="19"/>
      <c r="D454" s="50"/>
      <c r="E454" s="50"/>
      <c r="F454" s="19"/>
      <c r="G454" s="19"/>
      <c r="H454" s="19"/>
      <c r="I454" s="19"/>
      <c r="J454" s="19"/>
      <c r="K454" s="48"/>
      <c r="L454" s="54"/>
      <c r="M454" s="48"/>
      <c r="N454" s="48"/>
      <c r="O454" s="19"/>
      <c r="P454" s="51"/>
      <c r="Q454" s="51"/>
      <c r="R454" s="26"/>
      <c r="S454" s="55"/>
      <c r="T454" s="44"/>
      <c r="U454" s="54"/>
      <c r="V454" s="50"/>
      <c r="W454" s="19"/>
      <c r="X454" s="19"/>
      <c r="Y454" s="19"/>
      <c r="Z454" s="19"/>
    </row>
    <row r="455" spans="1:26" ht="25.5" customHeight="1" x14ac:dyDescent="0.35">
      <c r="A455" s="19"/>
      <c r="B455" s="19"/>
      <c r="C455" s="19"/>
      <c r="D455" s="50"/>
      <c r="E455" s="50"/>
      <c r="F455" s="19"/>
      <c r="G455" s="19"/>
      <c r="H455" s="48"/>
      <c r="I455" s="48"/>
      <c r="J455" s="19"/>
      <c r="K455" s="48"/>
      <c r="L455" s="54"/>
      <c r="M455" s="48"/>
      <c r="N455" s="48"/>
      <c r="O455" s="19"/>
      <c r="P455" s="51"/>
      <c r="Q455" s="51"/>
      <c r="R455" s="26"/>
      <c r="S455" s="55"/>
      <c r="T455" s="44"/>
      <c r="U455" s="54"/>
      <c r="V455" s="50"/>
      <c r="W455" s="19"/>
      <c r="X455" s="19"/>
      <c r="Y455" s="19"/>
      <c r="Z455" s="19"/>
    </row>
    <row r="456" spans="1:26" ht="25.5" customHeight="1" x14ac:dyDescent="0.35">
      <c r="A456" s="19"/>
      <c r="B456" s="19"/>
      <c r="C456" s="58"/>
      <c r="D456" s="78" t="s">
        <v>2432</v>
      </c>
      <c r="E456" s="50"/>
      <c r="F456" s="19"/>
      <c r="G456" s="19"/>
      <c r="H456" s="48"/>
      <c r="I456" s="48"/>
      <c r="J456" s="19"/>
      <c r="K456" s="48"/>
      <c r="L456" s="54"/>
      <c r="M456" s="173" t="s">
        <v>2433</v>
      </c>
      <c r="N456" s="172"/>
      <c r="O456" s="172"/>
      <c r="P456" s="51"/>
      <c r="Q456" s="51"/>
      <c r="R456" s="26"/>
      <c r="S456" s="55"/>
      <c r="T456" s="44"/>
      <c r="U456" s="54"/>
      <c r="V456" s="50"/>
      <c r="W456" s="19"/>
      <c r="X456" s="19"/>
      <c r="Y456" s="19"/>
      <c r="Z456" s="19"/>
    </row>
    <row r="457" spans="1:26" ht="29.25" customHeight="1" x14ac:dyDescent="0.35">
      <c r="A457" s="19"/>
      <c r="B457" s="19"/>
      <c r="C457" s="59"/>
      <c r="D457" s="56" t="s">
        <v>2434</v>
      </c>
      <c r="E457" s="60"/>
      <c r="F457" s="56"/>
      <c r="G457" s="56"/>
      <c r="H457" s="61"/>
      <c r="I457" s="61"/>
      <c r="J457" s="56"/>
      <c r="K457" s="61"/>
      <c r="L457" s="62"/>
      <c r="M457" s="174" t="s">
        <v>2435</v>
      </c>
      <c r="N457" s="172"/>
      <c r="O457" s="172"/>
      <c r="P457" s="63"/>
      <c r="Q457" s="51"/>
      <c r="R457" s="26"/>
      <c r="S457" s="55"/>
      <c r="T457" s="44"/>
      <c r="U457" s="54"/>
      <c r="V457" s="50"/>
      <c r="W457" s="19"/>
      <c r="X457" s="19"/>
      <c r="Y457" s="19"/>
      <c r="Z457" s="19"/>
    </row>
    <row r="458" spans="1:26" ht="15.75" customHeight="1" outlineLevel="2" x14ac:dyDescent="0.35">
      <c r="A458" s="25" t="s">
        <v>1235</v>
      </c>
      <c r="B458" s="25" t="s">
        <v>2482</v>
      </c>
      <c r="C458" s="26">
        <v>112031</v>
      </c>
      <c r="D458" s="25" t="s">
        <v>1237</v>
      </c>
      <c r="E458" s="25" t="s">
        <v>1238</v>
      </c>
      <c r="F458" s="26" t="s">
        <v>90</v>
      </c>
      <c r="G458" s="26" t="s">
        <v>90</v>
      </c>
      <c r="H458" s="26">
        <v>1</v>
      </c>
      <c r="I458" s="26">
        <v>9</v>
      </c>
      <c r="J458" s="26">
        <v>1</v>
      </c>
      <c r="K458" s="26">
        <v>138</v>
      </c>
      <c r="L458" s="26" t="s">
        <v>28</v>
      </c>
      <c r="M458" s="27">
        <v>1701</v>
      </c>
      <c r="N458" s="28">
        <v>1232937.25</v>
      </c>
      <c r="O458" s="26" t="s">
        <v>29</v>
      </c>
      <c r="P458" s="29"/>
      <c r="Q458" s="6"/>
      <c r="R458" s="29"/>
      <c r="S458" s="10"/>
      <c r="T458" s="8">
        <v>1</v>
      </c>
    </row>
    <row r="459" spans="1:26" ht="15.75" customHeight="1" outlineLevel="2" x14ac:dyDescent="0.35">
      <c r="A459" s="25" t="s">
        <v>1235</v>
      </c>
      <c r="B459" s="25" t="s">
        <v>2482</v>
      </c>
      <c r="C459" s="26">
        <v>112042</v>
      </c>
      <c r="D459" s="25" t="s">
        <v>1239</v>
      </c>
      <c r="E459" s="25" t="s">
        <v>1238</v>
      </c>
      <c r="F459" s="26" t="s">
        <v>90</v>
      </c>
      <c r="G459" s="26" t="s">
        <v>90</v>
      </c>
      <c r="H459" s="26">
        <v>1</v>
      </c>
      <c r="I459" s="26">
        <v>4</v>
      </c>
      <c r="J459" s="26">
        <v>1</v>
      </c>
      <c r="K459" s="26">
        <v>138</v>
      </c>
      <c r="L459" s="26" t="s">
        <v>28</v>
      </c>
      <c r="M459" s="27">
        <v>1702</v>
      </c>
      <c r="N459" s="28">
        <v>336798.67</v>
      </c>
      <c r="O459" s="26" t="s">
        <v>29</v>
      </c>
      <c r="P459" s="29"/>
      <c r="Q459" s="6"/>
      <c r="R459" s="29"/>
      <c r="S459" s="10"/>
      <c r="T459" s="8">
        <v>1</v>
      </c>
    </row>
    <row r="460" spans="1:26" ht="15.75" customHeight="1" outlineLevel="1" x14ac:dyDescent="0.35">
      <c r="A460" s="25"/>
      <c r="B460" s="53" t="s">
        <v>2483</v>
      </c>
      <c r="C460" s="26"/>
      <c r="D460" s="25"/>
      <c r="E460" s="25"/>
      <c r="F460" s="26"/>
      <c r="G460" s="26"/>
      <c r="H460" s="26">
        <f t="shared" ref="H460:I460" si="26">SUBTOTAL(9,H458:H459)</f>
        <v>2</v>
      </c>
      <c r="I460" s="26">
        <f t="shared" si="26"/>
        <v>13</v>
      </c>
      <c r="J460" s="26"/>
      <c r="K460" s="26"/>
      <c r="L460" s="26"/>
      <c r="M460" s="27"/>
      <c r="N460" s="28">
        <f>SUBTOTAL(9,N458:N459)</f>
        <v>1569735.92</v>
      </c>
      <c r="O460" s="26"/>
      <c r="P460" s="29"/>
      <c r="Q460" s="6"/>
      <c r="R460" s="29"/>
      <c r="S460" s="10"/>
      <c r="T460" s="8"/>
    </row>
    <row r="461" spans="1:26" ht="25.5" customHeight="1" x14ac:dyDescent="0.35">
      <c r="A461" s="19"/>
      <c r="B461" s="19"/>
      <c r="C461" s="19"/>
      <c r="D461" s="50"/>
      <c r="E461" s="50"/>
      <c r="F461" s="19"/>
      <c r="G461" s="19"/>
      <c r="H461" s="48"/>
      <c r="I461" s="48"/>
      <c r="J461" s="19"/>
      <c r="K461" s="48"/>
      <c r="L461" s="54"/>
      <c r="M461" s="48"/>
      <c r="N461" s="48"/>
      <c r="O461" s="19"/>
      <c r="P461" s="45"/>
      <c r="Q461" s="51"/>
      <c r="R461" s="26"/>
      <c r="S461" s="55"/>
      <c r="T461" s="44"/>
      <c r="U461" s="54"/>
      <c r="V461" s="50"/>
      <c r="W461" s="19"/>
      <c r="X461" s="19"/>
      <c r="Y461" s="19"/>
      <c r="Z461" s="19"/>
    </row>
    <row r="462" spans="1:26" ht="25.5" customHeight="1" x14ac:dyDescent="0.35">
      <c r="A462" s="19"/>
      <c r="B462" s="56" t="s">
        <v>2377</v>
      </c>
      <c r="C462" s="19"/>
      <c r="D462" s="50"/>
      <c r="E462" s="50"/>
      <c r="F462" s="57"/>
      <c r="G462" s="57"/>
      <c r="H462" s="171" t="s">
        <v>2377</v>
      </c>
      <c r="I462" s="172"/>
      <c r="J462" s="19"/>
      <c r="K462" s="48"/>
      <c r="L462" s="54"/>
      <c r="M462" s="48"/>
      <c r="N462" s="48"/>
      <c r="O462" s="19"/>
      <c r="P462" s="51"/>
      <c r="Q462" s="51"/>
      <c r="R462" s="26"/>
      <c r="S462" s="55"/>
      <c r="T462" s="44"/>
      <c r="U462" s="54"/>
      <c r="V462" s="50"/>
      <c r="W462" s="19"/>
      <c r="X462" s="19"/>
      <c r="Y462" s="19"/>
      <c r="Z462" s="19"/>
    </row>
    <row r="463" spans="1:26" ht="25.5" customHeight="1" x14ac:dyDescent="0.35">
      <c r="A463" s="19"/>
      <c r="B463" s="19"/>
      <c r="C463" s="19"/>
      <c r="D463" s="50"/>
      <c r="E463" s="50"/>
      <c r="F463" s="19"/>
      <c r="G463" s="19"/>
      <c r="H463" s="19"/>
      <c r="I463" s="19"/>
      <c r="J463" s="19"/>
      <c r="K463" s="48"/>
      <c r="L463" s="54"/>
      <c r="M463" s="48"/>
      <c r="N463" s="48"/>
      <c r="O463" s="19"/>
      <c r="P463" s="51"/>
      <c r="Q463" s="51"/>
      <c r="R463" s="26"/>
      <c r="S463" s="55"/>
      <c r="T463" s="44"/>
      <c r="U463" s="54"/>
      <c r="V463" s="50"/>
      <c r="W463" s="19"/>
      <c r="X463" s="19"/>
      <c r="Y463" s="19"/>
      <c r="Z463" s="19"/>
    </row>
    <row r="464" spans="1:26" ht="25.5" customHeight="1" x14ac:dyDescent="0.35">
      <c r="A464" s="19"/>
      <c r="B464" s="19"/>
      <c r="C464" s="19"/>
      <c r="D464" s="50"/>
      <c r="E464" s="50"/>
      <c r="F464" s="19"/>
      <c r="G464" s="19"/>
      <c r="H464" s="48"/>
      <c r="I464" s="48"/>
      <c r="J464" s="19"/>
      <c r="K464" s="48"/>
      <c r="L464" s="54"/>
      <c r="M464" s="48"/>
      <c r="N464" s="48"/>
      <c r="O464" s="19"/>
      <c r="P464" s="51"/>
      <c r="Q464" s="51"/>
      <c r="R464" s="26"/>
      <c r="S464" s="55"/>
      <c r="T464" s="44"/>
      <c r="U464" s="54"/>
      <c r="V464" s="50"/>
      <c r="W464" s="19"/>
      <c r="X464" s="19"/>
      <c r="Y464" s="19"/>
      <c r="Z464" s="19"/>
    </row>
    <row r="465" spans="1:26" ht="25.5" customHeight="1" x14ac:dyDescent="0.35">
      <c r="A465" s="19"/>
      <c r="B465" s="19"/>
      <c r="C465" s="58"/>
      <c r="D465" s="78" t="s">
        <v>2432</v>
      </c>
      <c r="E465" s="50"/>
      <c r="F465" s="19"/>
      <c r="G465" s="19"/>
      <c r="H465" s="48"/>
      <c r="I465" s="48"/>
      <c r="J465" s="19"/>
      <c r="K465" s="48"/>
      <c r="L465" s="54"/>
      <c r="M465" s="173" t="s">
        <v>2433</v>
      </c>
      <c r="N465" s="172"/>
      <c r="O465" s="172"/>
      <c r="P465" s="51"/>
      <c r="Q465" s="51"/>
      <c r="R465" s="26"/>
      <c r="S465" s="55"/>
      <c r="T465" s="44"/>
      <c r="U465" s="54"/>
      <c r="V465" s="50"/>
      <c r="W465" s="19"/>
      <c r="X465" s="19"/>
      <c r="Y465" s="19"/>
      <c r="Z465" s="19"/>
    </row>
    <row r="466" spans="1:26" ht="29.25" customHeight="1" x14ac:dyDescent="0.35">
      <c r="A466" s="19"/>
      <c r="B466" s="19"/>
      <c r="C466" s="59"/>
      <c r="D466" s="56" t="s">
        <v>2434</v>
      </c>
      <c r="E466" s="60"/>
      <c r="F466" s="56"/>
      <c r="G466" s="56"/>
      <c r="H466" s="61"/>
      <c r="I466" s="61"/>
      <c r="J466" s="56"/>
      <c r="K466" s="61"/>
      <c r="L466" s="62"/>
      <c r="M466" s="174" t="s">
        <v>2435</v>
      </c>
      <c r="N466" s="172"/>
      <c r="O466" s="172"/>
      <c r="P466" s="63"/>
      <c r="Q466" s="51"/>
      <c r="R466" s="26"/>
      <c r="S466" s="55"/>
      <c r="T466" s="44"/>
      <c r="U466" s="54"/>
      <c r="V466" s="50"/>
      <c r="W466" s="19"/>
      <c r="X466" s="19"/>
      <c r="Y466" s="19"/>
      <c r="Z466" s="19"/>
    </row>
    <row r="467" spans="1:26" ht="15.75" customHeight="1" outlineLevel="2" x14ac:dyDescent="0.35">
      <c r="A467" s="25" t="s">
        <v>1235</v>
      </c>
      <c r="B467" s="25" t="s">
        <v>2484</v>
      </c>
      <c r="C467" s="26">
        <v>112573</v>
      </c>
      <c r="D467" s="25" t="s">
        <v>1244</v>
      </c>
      <c r="E467" s="25" t="s">
        <v>1245</v>
      </c>
      <c r="F467" s="26" t="s">
        <v>555</v>
      </c>
      <c r="G467" s="26" t="s">
        <v>555</v>
      </c>
      <c r="H467" s="26">
        <v>1</v>
      </c>
      <c r="I467" s="26">
        <v>6</v>
      </c>
      <c r="J467" s="26">
        <v>1</v>
      </c>
      <c r="K467" s="26">
        <v>138</v>
      </c>
      <c r="L467" s="26" t="s">
        <v>28</v>
      </c>
      <c r="M467" s="27">
        <v>1711</v>
      </c>
      <c r="N467" s="28">
        <v>697001.28</v>
      </c>
      <c r="O467" s="26" t="s">
        <v>29</v>
      </c>
      <c r="P467" s="29"/>
      <c r="Q467" s="6"/>
      <c r="R467" s="29"/>
      <c r="S467" s="10"/>
      <c r="T467" s="8">
        <v>1</v>
      </c>
    </row>
    <row r="468" spans="1:26" ht="15.75" customHeight="1" outlineLevel="2" x14ac:dyDescent="0.35">
      <c r="A468" s="25" t="s">
        <v>1235</v>
      </c>
      <c r="B468" s="25" t="s">
        <v>2484</v>
      </c>
      <c r="C468" s="26">
        <v>112574</v>
      </c>
      <c r="D468" s="25" t="s">
        <v>1246</v>
      </c>
      <c r="E468" s="25" t="s">
        <v>1245</v>
      </c>
      <c r="F468" s="26" t="s">
        <v>555</v>
      </c>
      <c r="G468" s="26" t="s">
        <v>555</v>
      </c>
      <c r="H468" s="26">
        <v>1</v>
      </c>
      <c r="I468" s="26">
        <v>4</v>
      </c>
      <c r="J468" s="26">
        <v>1</v>
      </c>
      <c r="K468" s="26">
        <v>138</v>
      </c>
      <c r="L468" s="26" t="s">
        <v>28</v>
      </c>
      <c r="M468" s="27">
        <v>1712</v>
      </c>
      <c r="N468" s="28">
        <v>583800.4</v>
      </c>
      <c r="O468" s="26" t="s">
        <v>29</v>
      </c>
      <c r="P468" s="29"/>
      <c r="Q468" s="6"/>
      <c r="R468" s="29"/>
      <c r="S468" s="10"/>
      <c r="T468" s="8">
        <v>1</v>
      </c>
    </row>
    <row r="469" spans="1:26" ht="15.75" customHeight="1" outlineLevel="2" x14ac:dyDescent="0.35">
      <c r="A469" s="25" t="s">
        <v>1235</v>
      </c>
      <c r="B469" s="25" t="s">
        <v>2484</v>
      </c>
      <c r="C469" s="26">
        <v>112643</v>
      </c>
      <c r="D469" s="25" t="s">
        <v>1250</v>
      </c>
      <c r="E469" s="25" t="s">
        <v>1251</v>
      </c>
      <c r="F469" s="26" t="s">
        <v>555</v>
      </c>
      <c r="G469" s="26" t="s">
        <v>555</v>
      </c>
      <c r="H469" s="26">
        <v>1</v>
      </c>
      <c r="I469" s="26">
        <v>6</v>
      </c>
      <c r="J469" s="26">
        <v>1</v>
      </c>
      <c r="K469" s="26">
        <v>138</v>
      </c>
      <c r="L469" s="26" t="s">
        <v>28</v>
      </c>
      <c r="M469" s="27">
        <v>1709</v>
      </c>
      <c r="N469" s="28">
        <v>801783.89</v>
      </c>
      <c r="O469" s="26" t="s">
        <v>29</v>
      </c>
      <c r="P469" s="29"/>
      <c r="Q469" s="6"/>
      <c r="R469" s="29"/>
      <c r="S469" s="10"/>
      <c r="T469" s="8">
        <v>1</v>
      </c>
    </row>
    <row r="470" spans="1:26" ht="15.75" customHeight="1" outlineLevel="2" x14ac:dyDescent="0.35">
      <c r="A470" s="25" t="s">
        <v>1235</v>
      </c>
      <c r="B470" s="25" t="s">
        <v>2484</v>
      </c>
      <c r="C470" s="26">
        <v>173504</v>
      </c>
      <c r="D470" s="25" t="s">
        <v>813</v>
      </c>
      <c r="E470" s="25" t="s">
        <v>1248</v>
      </c>
      <c r="F470" s="26" t="s">
        <v>215</v>
      </c>
      <c r="G470" s="26" t="s">
        <v>215</v>
      </c>
      <c r="H470" s="26">
        <v>1</v>
      </c>
      <c r="I470" s="26">
        <v>4</v>
      </c>
      <c r="J470" s="26">
        <v>1</v>
      </c>
      <c r="K470" s="26">
        <v>138</v>
      </c>
      <c r="L470" s="26" t="s">
        <v>28</v>
      </c>
      <c r="M470" s="27">
        <v>1705</v>
      </c>
      <c r="N470" s="28">
        <v>580689.22</v>
      </c>
      <c r="O470" s="26" t="s">
        <v>29</v>
      </c>
      <c r="P470" s="29"/>
      <c r="Q470" s="6"/>
      <c r="R470" s="29"/>
      <c r="S470" s="10"/>
      <c r="T470" s="8">
        <v>1</v>
      </c>
    </row>
    <row r="471" spans="1:26" ht="15.75" customHeight="1" outlineLevel="2" x14ac:dyDescent="0.35">
      <c r="A471" s="25" t="s">
        <v>1235</v>
      </c>
      <c r="B471" s="25" t="s">
        <v>2484</v>
      </c>
      <c r="C471" s="26">
        <v>173514</v>
      </c>
      <c r="D471" s="25" t="s">
        <v>1252</v>
      </c>
      <c r="E471" s="25" t="s">
        <v>1245</v>
      </c>
      <c r="F471" s="26" t="s">
        <v>555</v>
      </c>
      <c r="G471" s="26" t="s">
        <v>555</v>
      </c>
      <c r="H471" s="26">
        <v>1</v>
      </c>
      <c r="I471" s="26">
        <v>1</v>
      </c>
      <c r="J471" s="26">
        <v>1</v>
      </c>
      <c r="K471" s="26">
        <v>138</v>
      </c>
      <c r="L471" s="26" t="s">
        <v>28</v>
      </c>
      <c r="M471" s="27">
        <v>1707</v>
      </c>
      <c r="N471" s="28">
        <v>159624.17000000001</v>
      </c>
      <c r="O471" s="26" t="s">
        <v>29</v>
      </c>
      <c r="P471" s="29"/>
      <c r="Q471" s="6"/>
      <c r="R471" s="29"/>
      <c r="S471" s="10"/>
      <c r="T471" s="8">
        <v>1</v>
      </c>
    </row>
    <row r="472" spans="1:26" ht="15.75" customHeight="1" outlineLevel="2" x14ac:dyDescent="0.35">
      <c r="A472" s="25" t="s">
        <v>1235</v>
      </c>
      <c r="B472" s="25" t="s">
        <v>2484</v>
      </c>
      <c r="C472" s="26">
        <v>173555</v>
      </c>
      <c r="D472" s="25" t="s">
        <v>1256</v>
      </c>
      <c r="E472" s="25" t="s">
        <v>1257</v>
      </c>
      <c r="F472" s="26" t="s">
        <v>555</v>
      </c>
      <c r="G472" s="26" t="s">
        <v>555</v>
      </c>
      <c r="H472" s="26">
        <v>1</v>
      </c>
      <c r="I472" s="26">
        <v>4</v>
      </c>
      <c r="J472" s="26">
        <v>1</v>
      </c>
      <c r="K472" s="26">
        <v>138</v>
      </c>
      <c r="L472" s="26" t="s">
        <v>28</v>
      </c>
      <c r="M472" s="27">
        <v>1710</v>
      </c>
      <c r="N472" s="28">
        <v>586539.68000000005</v>
      </c>
      <c r="O472" s="26" t="s">
        <v>29</v>
      </c>
      <c r="P472" s="29"/>
      <c r="Q472" s="6"/>
      <c r="R472" s="29"/>
      <c r="S472" s="10"/>
      <c r="T472" s="8">
        <v>1</v>
      </c>
    </row>
    <row r="473" spans="1:26" ht="15.75" customHeight="1" outlineLevel="1" x14ac:dyDescent="0.35">
      <c r="A473" s="25"/>
      <c r="B473" s="53" t="s">
        <v>2485</v>
      </c>
      <c r="C473" s="26"/>
      <c r="D473" s="25"/>
      <c r="E473" s="25"/>
      <c r="F473" s="26"/>
      <c r="G473" s="26"/>
      <c r="H473" s="26">
        <f t="shared" ref="H473:I473" si="27">SUBTOTAL(9,H467:H472)</f>
        <v>6</v>
      </c>
      <c r="I473" s="26">
        <f t="shared" si="27"/>
        <v>25</v>
      </c>
      <c r="J473" s="26"/>
      <c r="K473" s="26"/>
      <c r="L473" s="26"/>
      <c r="M473" s="27"/>
      <c r="N473" s="28">
        <f>SUBTOTAL(9,N467:N472)</f>
        <v>3409438.64</v>
      </c>
      <c r="O473" s="26"/>
      <c r="P473" s="29"/>
      <c r="Q473" s="6"/>
      <c r="R473" s="29"/>
      <c r="S473" s="10"/>
      <c r="T473" s="8"/>
    </row>
    <row r="474" spans="1:26" ht="25.5" customHeight="1" x14ac:dyDescent="0.35">
      <c r="A474" s="19"/>
      <c r="B474" s="19"/>
      <c r="C474" s="19"/>
      <c r="D474" s="50"/>
      <c r="E474" s="50"/>
      <c r="F474" s="19"/>
      <c r="G474" s="19"/>
      <c r="H474" s="48"/>
      <c r="I474" s="48"/>
      <c r="J474" s="19"/>
      <c r="K474" s="48"/>
      <c r="L474" s="54"/>
      <c r="M474" s="48"/>
      <c r="N474" s="48"/>
      <c r="O474" s="19"/>
      <c r="P474" s="45"/>
      <c r="Q474" s="51"/>
      <c r="R474" s="26"/>
      <c r="S474" s="55"/>
      <c r="T474" s="44"/>
      <c r="U474" s="54"/>
      <c r="V474" s="50"/>
      <c r="W474" s="19"/>
      <c r="X474" s="19"/>
      <c r="Y474" s="19"/>
      <c r="Z474" s="19"/>
    </row>
    <row r="475" spans="1:26" ht="25.5" customHeight="1" x14ac:dyDescent="0.35">
      <c r="A475" s="19"/>
      <c r="B475" s="56" t="s">
        <v>2377</v>
      </c>
      <c r="C475" s="19"/>
      <c r="D475" s="50"/>
      <c r="E475" s="50"/>
      <c r="F475" s="57"/>
      <c r="G475" s="57"/>
      <c r="H475" s="171" t="s">
        <v>2377</v>
      </c>
      <c r="I475" s="172"/>
      <c r="J475" s="19"/>
      <c r="K475" s="48"/>
      <c r="L475" s="54"/>
      <c r="M475" s="48"/>
      <c r="N475" s="48"/>
      <c r="O475" s="19"/>
      <c r="P475" s="51"/>
      <c r="Q475" s="51"/>
      <c r="R475" s="26"/>
      <c r="S475" s="55"/>
      <c r="T475" s="44"/>
      <c r="U475" s="54"/>
      <c r="V475" s="50"/>
      <c r="W475" s="19"/>
      <c r="X475" s="19"/>
      <c r="Y475" s="19"/>
      <c r="Z475" s="19"/>
    </row>
    <row r="476" spans="1:26" ht="25.5" customHeight="1" x14ac:dyDescent="0.35">
      <c r="A476" s="19"/>
      <c r="B476" s="19"/>
      <c r="C476" s="19"/>
      <c r="D476" s="50"/>
      <c r="E476" s="50"/>
      <c r="F476" s="19"/>
      <c r="G476" s="19"/>
      <c r="H476" s="19"/>
      <c r="I476" s="19"/>
      <c r="J476" s="19"/>
      <c r="K476" s="48"/>
      <c r="L476" s="54"/>
      <c r="M476" s="48"/>
      <c r="N476" s="48"/>
      <c r="O476" s="19"/>
      <c r="P476" s="51"/>
      <c r="Q476" s="51"/>
      <c r="R476" s="26"/>
      <c r="S476" s="55"/>
      <c r="T476" s="44"/>
      <c r="U476" s="54"/>
      <c r="V476" s="50"/>
      <c r="W476" s="19"/>
      <c r="X476" s="19"/>
      <c r="Y476" s="19"/>
      <c r="Z476" s="19"/>
    </row>
    <row r="477" spans="1:26" ht="25.5" customHeight="1" x14ac:dyDescent="0.35">
      <c r="A477" s="19"/>
      <c r="B477" s="19"/>
      <c r="C477" s="19"/>
      <c r="D477" s="50"/>
      <c r="E477" s="50"/>
      <c r="F477" s="19"/>
      <c r="G477" s="19"/>
      <c r="H477" s="48"/>
      <c r="I477" s="48"/>
      <c r="J477" s="19"/>
      <c r="K477" s="48"/>
      <c r="L477" s="54"/>
      <c r="M477" s="48"/>
      <c r="N477" s="48"/>
      <c r="O477" s="19"/>
      <c r="P477" s="51"/>
      <c r="Q477" s="51"/>
      <c r="R477" s="26"/>
      <c r="S477" s="55"/>
      <c r="T477" s="44"/>
      <c r="U477" s="54"/>
      <c r="V477" s="50"/>
      <c r="W477" s="19"/>
      <c r="X477" s="19"/>
      <c r="Y477" s="19"/>
      <c r="Z477" s="19"/>
    </row>
    <row r="478" spans="1:26" ht="25.5" customHeight="1" x14ac:dyDescent="0.35">
      <c r="A478" s="19"/>
      <c r="B478" s="19"/>
      <c r="C478" s="58"/>
      <c r="D478" s="78" t="s">
        <v>2432</v>
      </c>
      <c r="E478" s="50"/>
      <c r="F478" s="19"/>
      <c r="G478" s="19"/>
      <c r="H478" s="48"/>
      <c r="I478" s="48"/>
      <c r="J478" s="19"/>
      <c r="K478" s="48"/>
      <c r="L478" s="54"/>
      <c r="M478" s="173" t="s">
        <v>2433</v>
      </c>
      <c r="N478" s="172"/>
      <c r="O478" s="172"/>
      <c r="P478" s="51"/>
      <c r="Q478" s="51"/>
      <c r="R478" s="26"/>
      <c r="S478" s="55"/>
      <c r="T478" s="44"/>
      <c r="U478" s="54"/>
      <c r="V478" s="50"/>
      <c r="W478" s="19"/>
      <c r="X478" s="19"/>
      <c r="Y478" s="19"/>
      <c r="Z478" s="19"/>
    </row>
    <row r="479" spans="1:26" ht="29.25" customHeight="1" x14ac:dyDescent="0.35">
      <c r="A479" s="19"/>
      <c r="B479" s="19"/>
      <c r="C479" s="59"/>
      <c r="D479" s="56" t="s">
        <v>2434</v>
      </c>
      <c r="E479" s="60"/>
      <c r="F479" s="56"/>
      <c r="G479" s="56"/>
      <c r="H479" s="61"/>
      <c r="I479" s="61"/>
      <c r="J479" s="56"/>
      <c r="K479" s="61"/>
      <c r="L479" s="62"/>
      <c r="M479" s="174" t="s">
        <v>2435</v>
      </c>
      <c r="N479" s="172"/>
      <c r="O479" s="172"/>
      <c r="P479" s="63"/>
      <c r="Q479" s="51"/>
      <c r="R479" s="26"/>
      <c r="S479" s="55"/>
      <c r="T479" s="44"/>
      <c r="U479" s="54"/>
      <c r="V479" s="50"/>
      <c r="W479" s="19"/>
      <c r="X479" s="19"/>
      <c r="Y479" s="19"/>
      <c r="Z479" s="19"/>
    </row>
    <row r="480" spans="1:26" ht="15.75" customHeight="1" outlineLevel="2" x14ac:dyDescent="0.35">
      <c r="A480" s="25" t="s">
        <v>1235</v>
      </c>
      <c r="B480" s="25" t="s">
        <v>2486</v>
      </c>
      <c r="C480" s="26">
        <v>113393</v>
      </c>
      <c r="D480" s="25" t="s">
        <v>1259</v>
      </c>
      <c r="E480" s="25" t="s">
        <v>1260</v>
      </c>
      <c r="F480" s="26" t="s">
        <v>90</v>
      </c>
      <c r="G480" s="26" t="s">
        <v>90</v>
      </c>
      <c r="H480" s="26">
        <v>1</v>
      </c>
      <c r="I480" s="26">
        <v>8</v>
      </c>
      <c r="J480" s="26">
        <v>1</v>
      </c>
      <c r="K480" s="26">
        <v>138</v>
      </c>
      <c r="L480" s="26" t="s">
        <v>28</v>
      </c>
      <c r="M480" s="27">
        <v>1726</v>
      </c>
      <c r="N480" s="28">
        <v>562749.64</v>
      </c>
      <c r="O480" s="26" t="s">
        <v>29</v>
      </c>
      <c r="P480" s="29"/>
      <c r="Q480" s="6"/>
      <c r="R480" s="29"/>
      <c r="S480" s="10"/>
      <c r="T480" s="8">
        <v>1</v>
      </c>
    </row>
    <row r="481" spans="1:20" ht="15.75" customHeight="1" outlineLevel="2" x14ac:dyDescent="0.35">
      <c r="A481" s="25" t="s">
        <v>1235</v>
      </c>
      <c r="B481" s="25" t="s">
        <v>2486</v>
      </c>
      <c r="C481" s="26">
        <v>113436</v>
      </c>
      <c r="D481" s="25" t="s">
        <v>1261</v>
      </c>
      <c r="E481" s="25" t="s">
        <v>1262</v>
      </c>
      <c r="F481" s="26" t="s">
        <v>90</v>
      </c>
      <c r="G481" s="26" t="s">
        <v>90</v>
      </c>
      <c r="H481" s="26">
        <v>1</v>
      </c>
      <c r="I481" s="26">
        <v>4</v>
      </c>
      <c r="J481" s="26">
        <v>1</v>
      </c>
      <c r="K481" s="26">
        <v>138</v>
      </c>
      <c r="L481" s="26" t="s">
        <v>28</v>
      </c>
      <c r="M481" s="27">
        <v>1732</v>
      </c>
      <c r="N481" s="28">
        <v>298127.43</v>
      </c>
      <c r="O481" s="26" t="s">
        <v>29</v>
      </c>
      <c r="P481" s="29"/>
      <c r="Q481" s="6"/>
      <c r="R481" s="29"/>
      <c r="S481" s="10"/>
      <c r="T481" s="8">
        <v>1</v>
      </c>
    </row>
    <row r="482" spans="1:20" ht="15.75" customHeight="1" outlineLevel="2" x14ac:dyDescent="0.35">
      <c r="A482" s="25" t="s">
        <v>1235</v>
      </c>
      <c r="B482" s="25" t="s">
        <v>2486</v>
      </c>
      <c r="C482" s="26">
        <v>113451</v>
      </c>
      <c r="D482" s="25" t="s">
        <v>1264</v>
      </c>
      <c r="E482" s="25" t="s">
        <v>1265</v>
      </c>
      <c r="F482" s="26" t="s">
        <v>90</v>
      </c>
      <c r="G482" s="26" t="s">
        <v>90</v>
      </c>
      <c r="H482" s="26">
        <v>1</v>
      </c>
      <c r="I482" s="26">
        <v>2</v>
      </c>
      <c r="J482" s="26">
        <v>1</v>
      </c>
      <c r="K482" s="26">
        <v>138</v>
      </c>
      <c r="L482" s="26" t="s">
        <v>28</v>
      </c>
      <c r="M482" s="27">
        <v>1729</v>
      </c>
      <c r="N482" s="28">
        <v>716664.73</v>
      </c>
      <c r="O482" s="26" t="s">
        <v>29</v>
      </c>
      <c r="P482" s="29"/>
      <c r="Q482" s="6"/>
      <c r="R482" s="29"/>
      <c r="S482" s="10"/>
      <c r="T482" s="8">
        <v>1</v>
      </c>
    </row>
    <row r="483" spans="1:20" ht="15.75" customHeight="1" outlineLevel="2" x14ac:dyDescent="0.35">
      <c r="A483" s="25" t="s">
        <v>1235</v>
      </c>
      <c r="B483" s="25" t="s">
        <v>2486</v>
      </c>
      <c r="C483" s="26">
        <v>113452</v>
      </c>
      <c r="D483" s="25" t="s">
        <v>1266</v>
      </c>
      <c r="E483" s="25" t="s">
        <v>1265</v>
      </c>
      <c r="F483" s="26" t="s">
        <v>90</v>
      </c>
      <c r="G483" s="26" t="s">
        <v>90</v>
      </c>
      <c r="H483" s="26">
        <v>1</v>
      </c>
      <c r="I483" s="26">
        <v>14</v>
      </c>
      <c r="J483" s="26">
        <v>1</v>
      </c>
      <c r="K483" s="26">
        <v>138</v>
      </c>
      <c r="L483" s="26" t="s">
        <v>28</v>
      </c>
      <c r="M483" s="27">
        <v>1730</v>
      </c>
      <c r="N483" s="28">
        <v>986746.48</v>
      </c>
      <c r="O483" s="26" t="s">
        <v>29</v>
      </c>
      <c r="P483" s="29"/>
      <c r="Q483" s="6"/>
      <c r="R483" s="29"/>
      <c r="S483" s="10"/>
      <c r="T483" s="8">
        <v>1</v>
      </c>
    </row>
    <row r="484" spans="1:20" ht="15.75" customHeight="1" outlineLevel="2" x14ac:dyDescent="0.35">
      <c r="A484" s="25" t="s">
        <v>1235</v>
      </c>
      <c r="B484" s="25" t="s">
        <v>2486</v>
      </c>
      <c r="C484" s="26">
        <v>113555</v>
      </c>
      <c r="D484" s="25" t="s">
        <v>1267</v>
      </c>
      <c r="E484" s="25" t="s">
        <v>1268</v>
      </c>
      <c r="F484" s="26" t="s">
        <v>491</v>
      </c>
      <c r="G484" s="26" t="s">
        <v>491</v>
      </c>
      <c r="H484" s="26">
        <v>1</v>
      </c>
      <c r="I484" s="26">
        <v>6</v>
      </c>
      <c r="J484" s="26">
        <v>1</v>
      </c>
      <c r="K484" s="26">
        <v>138</v>
      </c>
      <c r="L484" s="26" t="s">
        <v>28</v>
      </c>
      <c r="M484" s="27">
        <v>1741</v>
      </c>
      <c r="N484" s="28">
        <v>436779.92</v>
      </c>
      <c r="O484" s="26" t="s">
        <v>29</v>
      </c>
      <c r="P484" s="29"/>
      <c r="Q484" s="6"/>
      <c r="R484" s="29"/>
      <c r="S484" s="10"/>
      <c r="T484" s="8">
        <v>1</v>
      </c>
    </row>
    <row r="485" spans="1:20" ht="15.75" customHeight="1" outlineLevel="2" x14ac:dyDescent="0.35">
      <c r="A485" s="25" t="s">
        <v>1235</v>
      </c>
      <c r="B485" s="25" t="s">
        <v>2486</v>
      </c>
      <c r="C485" s="26">
        <v>113566</v>
      </c>
      <c r="D485" s="25" t="s">
        <v>1269</v>
      </c>
      <c r="E485" s="25" t="s">
        <v>1268</v>
      </c>
      <c r="F485" s="26" t="s">
        <v>491</v>
      </c>
      <c r="G485" s="26" t="s">
        <v>491</v>
      </c>
      <c r="H485" s="26">
        <v>1</v>
      </c>
      <c r="I485" s="26">
        <v>3</v>
      </c>
      <c r="J485" s="26">
        <v>1</v>
      </c>
      <c r="K485" s="26">
        <v>138</v>
      </c>
      <c r="L485" s="26" t="s">
        <v>28</v>
      </c>
      <c r="M485" s="27">
        <v>1747</v>
      </c>
      <c r="N485" s="28">
        <v>361926.77</v>
      </c>
      <c r="O485" s="26" t="s">
        <v>29</v>
      </c>
      <c r="P485" s="29"/>
      <c r="Q485" s="6"/>
      <c r="R485" s="29"/>
      <c r="S485" s="10"/>
      <c r="T485" s="8">
        <v>1</v>
      </c>
    </row>
    <row r="486" spans="1:20" ht="15.75" customHeight="1" outlineLevel="2" x14ac:dyDescent="0.35">
      <c r="A486" s="25" t="s">
        <v>1235</v>
      </c>
      <c r="B486" s="25" t="s">
        <v>2486</v>
      </c>
      <c r="C486" s="26">
        <v>113567</v>
      </c>
      <c r="D486" s="25" t="s">
        <v>1270</v>
      </c>
      <c r="E486" s="25" t="s">
        <v>1268</v>
      </c>
      <c r="F486" s="26" t="s">
        <v>491</v>
      </c>
      <c r="G486" s="26" t="s">
        <v>491</v>
      </c>
      <c r="H486" s="26">
        <v>1</v>
      </c>
      <c r="I486" s="26">
        <v>5</v>
      </c>
      <c r="J486" s="26">
        <v>1</v>
      </c>
      <c r="K486" s="26">
        <v>138</v>
      </c>
      <c r="L486" s="26" t="s">
        <v>28</v>
      </c>
      <c r="M486" s="27">
        <v>1748</v>
      </c>
      <c r="N486" s="28">
        <v>483029.3</v>
      </c>
      <c r="O486" s="26" t="s">
        <v>29</v>
      </c>
      <c r="P486" s="29"/>
      <c r="Q486" s="6"/>
      <c r="R486" s="29"/>
      <c r="S486" s="10"/>
      <c r="T486" s="8">
        <v>1</v>
      </c>
    </row>
    <row r="487" spans="1:20" ht="15.75" customHeight="1" outlineLevel="2" x14ac:dyDescent="0.35">
      <c r="A487" s="25" t="s">
        <v>1235</v>
      </c>
      <c r="B487" s="25" t="s">
        <v>2486</v>
      </c>
      <c r="C487" s="26">
        <v>113607</v>
      </c>
      <c r="D487" s="25" t="s">
        <v>1271</v>
      </c>
      <c r="E487" s="25" t="s">
        <v>1272</v>
      </c>
      <c r="F487" s="26" t="s">
        <v>491</v>
      </c>
      <c r="G487" s="26" t="s">
        <v>491</v>
      </c>
      <c r="H487" s="26">
        <v>1</v>
      </c>
      <c r="I487" s="26">
        <v>8</v>
      </c>
      <c r="J487" s="26">
        <v>1</v>
      </c>
      <c r="K487" s="26">
        <v>138</v>
      </c>
      <c r="L487" s="26" t="s">
        <v>28</v>
      </c>
      <c r="M487" s="27">
        <v>1739</v>
      </c>
      <c r="N487" s="28">
        <v>534411.47</v>
      </c>
      <c r="O487" s="26" t="s">
        <v>29</v>
      </c>
      <c r="P487" s="29"/>
      <c r="Q487" s="6"/>
      <c r="R487" s="29"/>
      <c r="S487" s="10"/>
      <c r="T487" s="8">
        <v>1</v>
      </c>
    </row>
    <row r="488" spans="1:20" ht="15.75" customHeight="1" outlineLevel="2" x14ac:dyDescent="0.35">
      <c r="A488" s="25" t="s">
        <v>1235</v>
      </c>
      <c r="B488" s="25" t="s">
        <v>2486</v>
      </c>
      <c r="C488" s="26">
        <v>113614</v>
      </c>
      <c r="D488" s="25" t="s">
        <v>940</v>
      </c>
      <c r="E488" s="25" t="s">
        <v>1272</v>
      </c>
      <c r="F488" s="26" t="s">
        <v>491</v>
      </c>
      <c r="G488" s="26" t="s">
        <v>491</v>
      </c>
      <c r="H488" s="26">
        <v>1</v>
      </c>
      <c r="I488" s="26">
        <v>8</v>
      </c>
      <c r="J488" s="26">
        <v>1</v>
      </c>
      <c r="K488" s="26">
        <v>138</v>
      </c>
      <c r="L488" s="26" t="s">
        <v>28</v>
      </c>
      <c r="M488" s="27">
        <v>1742</v>
      </c>
      <c r="N488" s="28">
        <v>545468.67000000004</v>
      </c>
      <c r="O488" s="26" t="s">
        <v>29</v>
      </c>
      <c r="P488" s="29"/>
      <c r="Q488" s="6"/>
      <c r="R488" s="29"/>
      <c r="S488" s="10"/>
      <c r="T488" s="8">
        <v>1</v>
      </c>
    </row>
    <row r="489" spans="1:20" ht="15.75" customHeight="1" outlineLevel="2" x14ac:dyDescent="0.35">
      <c r="A489" s="25" t="s">
        <v>1235</v>
      </c>
      <c r="B489" s="25" t="s">
        <v>2486</v>
      </c>
      <c r="C489" s="26">
        <v>113615</v>
      </c>
      <c r="D489" s="25" t="s">
        <v>1273</v>
      </c>
      <c r="E489" s="25" t="s">
        <v>1272</v>
      </c>
      <c r="F489" s="26" t="s">
        <v>491</v>
      </c>
      <c r="G489" s="26" t="s">
        <v>491</v>
      </c>
      <c r="H489" s="26">
        <v>1</v>
      </c>
      <c r="I489" s="26">
        <v>2</v>
      </c>
      <c r="J489" s="26">
        <v>1</v>
      </c>
      <c r="K489" s="26">
        <v>138</v>
      </c>
      <c r="L489" s="26" t="s">
        <v>28</v>
      </c>
      <c r="M489" s="27">
        <v>1744</v>
      </c>
      <c r="N489" s="28">
        <v>323164.42</v>
      </c>
      <c r="O489" s="26" t="s">
        <v>29</v>
      </c>
      <c r="P489" s="29"/>
      <c r="Q489" s="6"/>
      <c r="R489" s="29"/>
      <c r="S489" s="10"/>
      <c r="T489" s="8">
        <v>1</v>
      </c>
    </row>
    <row r="490" spans="1:20" ht="15.75" customHeight="1" outlineLevel="2" x14ac:dyDescent="0.35">
      <c r="A490" s="25" t="s">
        <v>1235</v>
      </c>
      <c r="B490" s="25" t="s">
        <v>2486</v>
      </c>
      <c r="C490" s="26">
        <v>113625</v>
      </c>
      <c r="D490" s="25" t="s">
        <v>1274</v>
      </c>
      <c r="E490" s="25" t="s">
        <v>237</v>
      </c>
      <c r="F490" s="26" t="s">
        <v>491</v>
      </c>
      <c r="G490" s="26" t="s">
        <v>491</v>
      </c>
      <c r="H490" s="26">
        <v>1</v>
      </c>
      <c r="I490" s="26">
        <v>2</v>
      </c>
      <c r="J490" s="26">
        <v>1</v>
      </c>
      <c r="K490" s="26">
        <v>138</v>
      </c>
      <c r="L490" s="26" t="s">
        <v>28</v>
      </c>
      <c r="M490" s="27">
        <v>1740</v>
      </c>
      <c r="N490" s="28">
        <v>227024.48</v>
      </c>
      <c r="O490" s="26" t="s">
        <v>29</v>
      </c>
      <c r="P490" s="29"/>
      <c r="Q490" s="6"/>
      <c r="R490" s="29"/>
      <c r="S490" s="10"/>
      <c r="T490" s="8">
        <v>1</v>
      </c>
    </row>
    <row r="491" spans="1:20" ht="15.75" customHeight="1" outlineLevel="2" x14ac:dyDescent="0.35">
      <c r="A491" s="25" t="s">
        <v>1235</v>
      </c>
      <c r="B491" s="25" t="s">
        <v>2486</v>
      </c>
      <c r="C491" s="26">
        <v>113630</v>
      </c>
      <c r="D491" s="25" t="s">
        <v>1275</v>
      </c>
      <c r="E491" s="25" t="s">
        <v>237</v>
      </c>
      <c r="F491" s="26" t="s">
        <v>491</v>
      </c>
      <c r="G491" s="26" t="s">
        <v>491</v>
      </c>
      <c r="H491" s="26">
        <v>1</v>
      </c>
      <c r="I491" s="26">
        <v>2</v>
      </c>
      <c r="J491" s="26">
        <v>1</v>
      </c>
      <c r="K491" s="26">
        <v>138</v>
      </c>
      <c r="L491" s="26" t="s">
        <v>28</v>
      </c>
      <c r="M491" s="27">
        <v>1743</v>
      </c>
      <c r="N491" s="28">
        <v>195333.11</v>
      </c>
      <c r="O491" s="26" t="s">
        <v>29</v>
      </c>
      <c r="P491" s="29"/>
      <c r="Q491" s="6"/>
      <c r="R491" s="29"/>
      <c r="S491" s="10"/>
      <c r="T491" s="8">
        <v>1</v>
      </c>
    </row>
    <row r="492" spans="1:20" ht="15.75" customHeight="1" outlineLevel="2" x14ac:dyDescent="0.35">
      <c r="A492" s="25" t="s">
        <v>1235</v>
      </c>
      <c r="B492" s="25" t="s">
        <v>2486</v>
      </c>
      <c r="C492" s="26">
        <v>113632</v>
      </c>
      <c r="D492" s="25" t="s">
        <v>547</v>
      </c>
      <c r="E492" s="25" t="s">
        <v>237</v>
      </c>
      <c r="F492" s="26" t="s">
        <v>491</v>
      </c>
      <c r="G492" s="26" t="s">
        <v>491</v>
      </c>
      <c r="H492" s="26">
        <v>1</v>
      </c>
      <c r="I492" s="26">
        <v>6</v>
      </c>
      <c r="J492" s="26">
        <v>1</v>
      </c>
      <c r="K492" s="26">
        <v>138</v>
      </c>
      <c r="L492" s="26" t="s">
        <v>28</v>
      </c>
      <c r="M492" s="27">
        <v>1745</v>
      </c>
      <c r="N492" s="28">
        <v>439980.67</v>
      </c>
      <c r="O492" s="26" t="s">
        <v>29</v>
      </c>
      <c r="P492" s="29"/>
      <c r="Q492" s="6"/>
      <c r="R492" s="29"/>
      <c r="S492" s="10"/>
      <c r="T492" s="8">
        <v>1</v>
      </c>
    </row>
    <row r="493" spans="1:20" ht="15.75" customHeight="1" outlineLevel="2" x14ac:dyDescent="0.35">
      <c r="A493" s="25" t="s">
        <v>1235</v>
      </c>
      <c r="B493" s="25" t="s">
        <v>2486</v>
      </c>
      <c r="C493" s="26">
        <v>113644</v>
      </c>
      <c r="D493" s="25" t="s">
        <v>1276</v>
      </c>
      <c r="E493" s="25" t="s">
        <v>1277</v>
      </c>
      <c r="F493" s="26" t="s">
        <v>90</v>
      </c>
      <c r="G493" s="26" t="s">
        <v>90</v>
      </c>
      <c r="H493" s="26">
        <v>1</v>
      </c>
      <c r="I493" s="26">
        <v>1</v>
      </c>
      <c r="J493" s="26">
        <v>1</v>
      </c>
      <c r="K493" s="26">
        <v>138</v>
      </c>
      <c r="L493" s="26" t="s">
        <v>28</v>
      </c>
      <c r="M493" s="27">
        <v>1728</v>
      </c>
      <c r="N493" s="28">
        <v>285395.96999999997</v>
      </c>
      <c r="O493" s="26" t="s">
        <v>29</v>
      </c>
      <c r="P493" s="29"/>
      <c r="Q493" s="6"/>
      <c r="R493" s="29"/>
      <c r="S493" s="10"/>
      <c r="T493" s="8">
        <v>1</v>
      </c>
    </row>
    <row r="494" spans="1:20" ht="15.75" customHeight="1" outlineLevel="2" x14ac:dyDescent="0.35">
      <c r="A494" s="25" t="s">
        <v>1235</v>
      </c>
      <c r="B494" s="25" t="s">
        <v>2486</v>
      </c>
      <c r="C494" s="26">
        <v>113648</v>
      </c>
      <c r="D494" s="25" t="s">
        <v>1278</v>
      </c>
      <c r="E494" s="25" t="s">
        <v>1277</v>
      </c>
      <c r="F494" s="26" t="s">
        <v>90</v>
      </c>
      <c r="G494" s="26" t="s">
        <v>90</v>
      </c>
      <c r="H494" s="26">
        <v>1</v>
      </c>
      <c r="I494" s="26">
        <v>5</v>
      </c>
      <c r="J494" s="26">
        <v>1</v>
      </c>
      <c r="K494" s="26">
        <v>138</v>
      </c>
      <c r="L494" s="26" t="s">
        <v>28</v>
      </c>
      <c r="M494" s="27">
        <v>1731</v>
      </c>
      <c r="N494" s="34">
        <v>373294.56</v>
      </c>
      <c r="O494" s="26" t="s">
        <v>29</v>
      </c>
      <c r="P494" s="29"/>
      <c r="Q494" s="6"/>
      <c r="R494" s="29"/>
      <c r="S494" s="10"/>
      <c r="T494" s="8">
        <v>1</v>
      </c>
    </row>
    <row r="495" spans="1:20" ht="15.75" customHeight="1" outlineLevel="2" x14ac:dyDescent="0.35">
      <c r="A495" s="25" t="s">
        <v>1235</v>
      </c>
      <c r="B495" s="25" t="s">
        <v>2486</v>
      </c>
      <c r="C495" s="26">
        <v>113720</v>
      </c>
      <c r="D495" s="25" t="s">
        <v>1279</v>
      </c>
      <c r="E495" s="25" t="s">
        <v>1280</v>
      </c>
      <c r="F495" s="26" t="s">
        <v>90</v>
      </c>
      <c r="G495" s="26" t="s">
        <v>90</v>
      </c>
      <c r="H495" s="26">
        <v>1</v>
      </c>
      <c r="I495" s="26">
        <v>7</v>
      </c>
      <c r="J495" s="26">
        <v>1</v>
      </c>
      <c r="K495" s="26">
        <v>138</v>
      </c>
      <c r="L495" s="26" t="s">
        <v>28</v>
      </c>
      <c r="M495" s="27">
        <v>1727</v>
      </c>
      <c r="N495" s="28">
        <v>469697.85</v>
      </c>
      <c r="O495" s="26" t="s">
        <v>29</v>
      </c>
      <c r="P495" s="29"/>
      <c r="Q495" s="6"/>
      <c r="R495" s="29"/>
      <c r="S495" s="10"/>
      <c r="T495" s="8">
        <v>1</v>
      </c>
    </row>
    <row r="496" spans="1:20" ht="15.75" customHeight="1" outlineLevel="2" x14ac:dyDescent="0.35">
      <c r="A496" s="25" t="s">
        <v>1235</v>
      </c>
      <c r="B496" s="25" t="s">
        <v>2486</v>
      </c>
      <c r="C496" s="26">
        <v>113837</v>
      </c>
      <c r="D496" s="25" t="s">
        <v>1283</v>
      </c>
      <c r="E496" s="25" t="s">
        <v>1284</v>
      </c>
      <c r="F496" s="26" t="s">
        <v>491</v>
      </c>
      <c r="G496" s="26" t="s">
        <v>491</v>
      </c>
      <c r="H496" s="26">
        <v>1</v>
      </c>
      <c r="I496" s="26">
        <v>6</v>
      </c>
      <c r="J496" s="26">
        <v>1</v>
      </c>
      <c r="K496" s="26">
        <v>138</v>
      </c>
      <c r="L496" s="26" t="s">
        <v>28</v>
      </c>
      <c r="M496" s="27">
        <v>1746</v>
      </c>
      <c r="N496" s="28">
        <v>469965.55</v>
      </c>
      <c r="O496" s="26" t="s">
        <v>29</v>
      </c>
      <c r="P496" s="29"/>
      <c r="Q496" s="6"/>
      <c r="R496" s="29"/>
      <c r="S496" s="10"/>
      <c r="T496" s="8">
        <v>1</v>
      </c>
    </row>
    <row r="497" spans="1:26" ht="15.75" customHeight="1" outlineLevel="2" x14ac:dyDescent="0.35">
      <c r="A497" s="25" t="s">
        <v>1235</v>
      </c>
      <c r="B497" s="25" t="s">
        <v>2486</v>
      </c>
      <c r="C497" s="26">
        <v>113864</v>
      </c>
      <c r="D497" s="25" t="s">
        <v>1285</v>
      </c>
      <c r="E497" s="25" t="s">
        <v>1286</v>
      </c>
      <c r="F497" s="26" t="s">
        <v>215</v>
      </c>
      <c r="G497" s="26" t="s">
        <v>215</v>
      </c>
      <c r="H497" s="26">
        <v>1</v>
      </c>
      <c r="I497" s="26">
        <v>7</v>
      </c>
      <c r="J497" s="26">
        <v>1</v>
      </c>
      <c r="K497" s="26">
        <v>138</v>
      </c>
      <c r="L497" s="26" t="s">
        <v>28</v>
      </c>
      <c r="M497" s="27">
        <v>1716</v>
      </c>
      <c r="N497" s="28">
        <v>507440.05</v>
      </c>
      <c r="O497" s="26" t="s">
        <v>29</v>
      </c>
      <c r="P497" s="29"/>
      <c r="Q497" s="6"/>
      <c r="R497" s="29"/>
      <c r="S497" s="10"/>
      <c r="T497" s="8">
        <v>1</v>
      </c>
    </row>
    <row r="498" spans="1:26" ht="15.75" customHeight="1" outlineLevel="2" x14ac:dyDescent="0.35">
      <c r="A498" s="25" t="s">
        <v>1235</v>
      </c>
      <c r="B498" s="25" t="s">
        <v>2486</v>
      </c>
      <c r="C498" s="26">
        <v>113908</v>
      </c>
      <c r="D498" s="25" t="s">
        <v>1290</v>
      </c>
      <c r="E498" s="25" t="s">
        <v>1288</v>
      </c>
      <c r="F498" s="26" t="s">
        <v>215</v>
      </c>
      <c r="G498" s="26" t="s">
        <v>215</v>
      </c>
      <c r="H498" s="26">
        <v>1</v>
      </c>
      <c r="I498" s="26">
        <v>10</v>
      </c>
      <c r="J498" s="26">
        <v>1</v>
      </c>
      <c r="K498" s="26">
        <v>138</v>
      </c>
      <c r="L498" s="26" t="s">
        <v>28</v>
      </c>
      <c r="M498" s="27">
        <v>1714</v>
      </c>
      <c r="N498" s="28">
        <v>693094.89</v>
      </c>
      <c r="O498" s="26" t="s">
        <v>29</v>
      </c>
      <c r="P498" s="29"/>
      <c r="Q498" s="6"/>
      <c r="R498" s="29"/>
      <c r="S498" s="10"/>
      <c r="T498" s="8">
        <v>1</v>
      </c>
    </row>
    <row r="499" spans="1:26" ht="15.75" customHeight="1" outlineLevel="2" x14ac:dyDescent="0.35">
      <c r="A499" s="25" t="s">
        <v>1235</v>
      </c>
      <c r="B499" s="25" t="s">
        <v>2486</v>
      </c>
      <c r="C499" s="26">
        <v>113917</v>
      </c>
      <c r="D499" s="25" t="s">
        <v>1293</v>
      </c>
      <c r="E499" s="25" t="s">
        <v>1288</v>
      </c>
      <c r="F499" s="26" t="s">
        <v>215</v>
      </c>
      <c r="G499" s="26" t="s">
        <v>215</v>
      </c>
      <c r="H499" s="26">
        <v>1</v>
      </c>
      <c r="I499" s="26">
        <v>10</v>
      </c>
      <c r="J499" s="26">
        <v>1</v>
      </c>
      <c r="K499" s="26">
        <v>138</v>
      </c>
      <c r="L499" s="26" t="s">
        <v>28</v>
      </c>
      <c r="M499" s="27">
        <v>1718</v>
      </c>
      <c r="N499" s="28">
        <v>625621.18000000005</v>
      </c>
      <c r="O499" s="26" t="s">
        <v>29</v>
      </c>
      <c r="P499" s="29"/>
      <c r="Q499" s="6"/>
      <c r="R499" s="29"/>
      <c r="S499" s="10"/>
      <c r="T499" s="8">
        <v>1</v>
      </c>
    </row>
    <row r="500" spans="1:26" ht="15.75" customHeight="1" outlineLevel="2" x14ac:dyDescent="0.35">
      <c r="A500" s="25" t="s">
        <v>1235</v>
      </c>
      <c r="B500" s="25" t="s">
        <v>2486</v>
      </c>
      <c r="C500" s="26">
        <v>113921</v>
      </c>
      <c r="D500" s="25" t="s">
        <v>1295</v>
      </c>
      <c r="E500" s="25" t="s">
        <v>1288</v>
      </c>
      <c r="F500" s="26" t="s">
        <v>215</v>
      </c>
      <c r="G500" s="26" t="s">
        <v>215</v>
      </c>
      <c r="H500" s="26">
        <v>1</v>
      </c>
      <c r="I500" s="26">
        <v>5</v>
      </c>
      <c r="J500" s="26">
        <v>1</v>
      </c>
      <c r="K500" s="26">
        <v>138</v>
      </c>
      <c r="L500" s="26" t="s">
        <v>28</v>
      </c>
      <c r="M500" s="27">
        <v>1720</v>
      </c>
      <c r="N500" s="28">
        <v>384943.12199999997</v>
      </c>
      <c r="O500" s="26" t="s">
        <v>29</v>
      </c>
      <c r="P500" s="29"/>
      <c r="Q500" s="6"/>
      <c r="R500" s="29"/>
      <c r="S500" s="10"/>
      <c r="T500" s="8">
        <v>1</v>
      </c>
    </row>
    <row r="501" spans="1:26" ht="15.75" customHeight="1" outlineLevel="2" x14ac:dyDescent="0.35">
      <c r="A501" s="25" t="s">
        <v>1235</v>
      </c>
      <c r="B501" s="25" t="s">
        <v>2486</v>
      </c>
      <c r="C501" s="26">
        <v>113931</v>
      </c>
      <c r="D501" s="25" t="s">
        <v>1296</v>
      </c>
      <c r="E501" s="25" t="s">
        <v>1288</v>
      </c>
      <c r="F501" s="26" t="s">
        <v>215</v>
      </c>
      <c r="G501" s="26" t="s">
        <v>215</v>
      </c>
      <c r="H501" s="26">
        <v>1</v>
      </c>
      <c r="I501" s="26">
        <v>3</v>
      </c>
      <c r="J501" s="26">
        <v>1</v>
      </c>
      <c r="K501" s="26">
        <v>138</v>
      </c>
      <c r="L501" s="26" t="s">
        <v>28</v>
      </c>
      <c r="M501" s="27">
        <v>1722</v>
      </c>
      <c r="N501" s="28">
        <v>220922.35</v>
      </c>
      <c r="O501" s="26" t="s">
        <v>29</v>
      </c>
      <c r="P501" s="29"/>
      <c r="Q501" s="6"/>
      <c r="R501" s="29"/>
      <c r="S501" s="10"/>
      <c r="T501" s="8">
        <v>1</v>
      </c>
    </row>
    <row r="502" spans="1:26" ht="15.75" customHeight="1" outlineLevel="2" x14ac:dyDescent="0.35">
      <c r="A502" s="25" t="s">
        <v>1235</v>
      </c>
      <c r="B502" s="25" t="s">
        <v>2486</v>
      </c>
      <c r="C502" s="26">
        <v>113937</v>
      </c>
      <c r="D502" s="25" t="s">
        <v>1297</v>
      </c>
      <c r="E502" s="25" t="s">
        <v>1288</v>
      </c>
      <c r="F502" s="26" t="s">
        <v>215</v>
      </c>
      <c r="G502" s="26" t="s">
        <v>215</v>
      </c>
      <c r="H502" s="26">
        <v>1</v>
      </c>
      <c r="I502" s="26">
        <v>1</v>
      </c>
      <c r="J502" s="26">
        <v>1</v>
      </c>
      <c r="K502" s="26">
        <v>138</v>
      </c>
      <c r="L502" s="26" t="s">
        <v>28</v>
      </c>
      <c r="M502" s="27">
        <v>1725</v>
      </c>
      <c r="N502" s="28">
        <v>110554.08</v>
      </c>
      <c r="O502" s="26" t="s">
        <v>29</v>
      </c>
      <c r="P502" s="29"/>
      <c r="Q502" s="6"/>
      <c r="R502" s="29"/>
      <c r="S502" s="10"/>
      <c r="T502" s="8">
        <v>1</v>
      </c>
    </row>
    <row r="503" spans="1:26" ht="15.75" customHeight="1" outlineLevel="2" x14ac:dyDescent="0.35">
      <c r="A503" s="25" t="s">
        <v>1235</v>
      </c>
      <c r="B503" s="25" t="s">
        <v>2486</v>
      </c>
      <c r="C503" s="26">
        <v>174506</v>
      </c>
      <c r="D503" s="25" t="s">
        <v>1298</v>
      </c>
      <c r="E503" s="25" t="s">
        <v>1268</v>
      </c>
      <c r="F503" s="26" t="s">
        <v>491</v>
      </c>
      <c r="G503" s="26" t="s">
        <v>491</v>
      </c>
      <c r="H503" s="26">
        <v>1</v>
      </c>
      <c r="I503" s="26">
        <v>5</v>
      </c>
      <c r="J503" s="26">
        <v>1</v>
      </c>
      <c r="K503" s="26">
        <v>138</v>
      </c>
      <c r="L503" s="26" t="s">
        <v>28</v>
      </c>
      <c r="M503" s="27">
        <v>1738</v>
      </c>
      <c r="N503" s="28">
        <v>679668.44</v>
      </c>
      <c r="O503" s="26" t="s">
        <v>29</v>
      </c>
      <c r="P503" s="29"/>
      <c r="Q503" s="6"/>
      <c r="R503" s="29"/>
      <c r="S503" s="10"/>
      <c r="T503" s="8">
        <v>1</v>
      </c>
    </row>
    <row r="504" spans="1:26" ht="15.75" customHeight="1" outlineLevel="2" x14ac:dyDescent="0.35">
      <c r="A504" s="25" t="s">
        <v>1235</v>
      </c>
      <c r="B504" s="25" t="s">
        <v>2486</v>
      </c>
      <c r="C504" s="26">
        <v>174523</v>
      </c>
      <c r="D504" s="25" t="s">
        <v>1299</v>
      </c>
      <c r="E504" s="25" t="s">
        <v>1288</v>
      </c>
      <c r="F504" s="26" t="s">
        <v>215</v>
      </c>
      <c r="G504" s="26" t="s">
        <v>215</v>
      </c>
      <c r="H504" s="26">
        <v>1</v>
      </c>
      <c r="I504" s="26">
        <v>5</v>
      </c>
      <c r="J504" s="26">
        <v>1</v>
      </c>
      <c r="K504" s="26">
        <v>138</v>
      </c>
      <c r="L504" s="26" t="s">
        <v>28</v>
      </c>
      <c r="M504" s="27">
        <v>1724</v>
      </c>
      <c r="N504" s="28">
        <v>422920.72</v>
      </c>
      <c r="O504" s="26" t="s">
        <v>29</v>
      </c>
      <c r="P504" s="29"/>
      <c r="Q504" s="6"/>
      <c r="R504" s="29"/>
      <c r="S504" s="10"/>
      <c r="T504" s="8">
        <v>1</v>
      </c>
    </row>
    <row r="505" spans="1:26" ht="15.75" customHeight="1" outlineLevel="1" x14ac:dyDescent="0.35">
      <c r="A505" s="25"/>
      <c r="B505" s="53" t="s">
        <v>2487</v>
      </c>
      <c r="C505" s="26"/>
      <c r="D505" s="25"/>
      <c r="E505" s="25"/>
      <c r="F505" s="26"/>
      <c r="G505" s="26"/>
      <c r="H505" s="26">
        <f t="shared" ref="H505:I505" si="28">SUBTOTAL(9,H480:H504)</f>
        <v>25</v>
      </c>
      <c r="I505" s="26">
        <f t="shared" si="28"/>
        <v>135</v>
      </c>
      <c r="J505" s="26"/>
      <c r="K505" s="26"/>
      <c r="L505" s="26"/>
      <c r="M505" s="27"/>
      <c r="N505" s="28">
        <f>SUBTOTAL(9,N480:N504)</f>
        <v>11354925.851999998</v>
      </c>
      <c r="O505" s="26"/>
      <c r="P505" s="29"/>
      <c r="Q505" s="6"/>
      <c r="R505" s="29"/>
      <c r="S505" s="10"/>
      <c r="T505" s="8"/>
    </row>
    <row r="506" spans="1:26" ht="25.5" customHeight="1" x14ac:dyDescent="0.35">
      <c r="A506" s="19"/>
      <c r="B506" s="19"/>
      <c r="C506" s="19"/>
      <c r="D506" s="50"/>
      <c r="E506" s="50"/>
      <c r="F506" s="19"/>
      <c r="G506" s="19"/>
      <c r="H506" s="48"/>
      <c r="I506" s="48"/>
      <c r="J506" s="19"/>
      <c r="K506" s="48"/>
      <c r="L506" s="54"/>
      <c r="M506" s="48"/>
      <c r="N506" s="48"/>
      <c r="O506" s="19"/>
      <c r="P506" s="45"/>
      <c r="Q506" s="51"/>
      <c r="R506" s="26"/>
      <c r="S506" s="55"/>
      <c r="T506" s="44"/>
      <c r="U506" s="54"/>
      <c r="V506" s="50"/>
      <c r="W506" s="19"/>
      <c r="X506" s="19"/>
      <c r="Y506" s="19"/>
      <c r="Z506" s="19"/>
    </row>
    <row r="507" spans="1:26" ht="25.5" customHeight="1" x14ac:dyDescent="0.35">
      <c r="A507" s="19"/>
      <c r="B507" s="56" t="s">
        <v>2377</v>
      </c>
      <c r="C507" s="19"/>
      <c r="D507" s="50"/>
      <c r="E507" s="50"/>
      <c r="F507" s="57"/>
      <c r="G507" s="57"/>
      <c r="H507" s="171" t="s">
        <v>2377</v>
      </c>
      <c r="I507" s="172"/>
      <c r="J507" s="19"/>
      <c r="K507" s="48"/>
      <c r="L507" s="54"/>
      <c r="M507" s="48"/>
      <c r="N507" s="48"/>
      <c r="O507" s="19"/>
      <c r="P507" s="51"/>
      <c r="Q507" s="51"/>
      <c r="R507" s="26"/>
      <c r="S507" s="55"/>
      <c r="T507" s="44"/>
      <c r="U507" s="54"/>
      <c r="V507" s="50"/>
      <c r="W507" s="19"/>
      <c r="X507" s="19"/>
      <c r="Y507" s="19"/>
      <c r="Z507" s="19"/>
    </row>
    <row r="508" spans="1:26" ht="25.5" customHeight="1" x14ac:dyDescent="0.35">
      <c r="A508" s="19"/>
      <c r="B508" s="19"/>
      <c r="C508" s="19"/>
      <c r="D508" s="50"/>
      <c r="E508" s="50"/>
      <c r="F508" s="19"/>
      <c r="G508" s="19"/>
      <c r="H508" s="19"/>
      <c r="I508" s="19"/>
      <c r="J508" s="19"/>
      <c r="K508" s="48"/>
      <c r="L508" s="54"/>
      <c r="M508" s="48"/>
      <c r="N508" s="48"/>
      <c r="O508" s="19"/>
      <c r="P508" s="51"/>
      <c r="Q508" s="51"/>
      <c r="R508" s="26"/>
      <c r="S508" s="55"/>
      <c r="T508" s="44"/>
      <c r="U508" s="54"/>
      <c r="V508" s="50"/>
      <c r="W508" s="19"/>
      <c r="X508" s="19"/>
      <c r="Y508" s="19"/>
      <c r="Z508" s="19"/>
    </row>
    <row r="509" spans="1:26" ht="25.5" customHeight="1" x14ac:dyDescent="0.35">
      <c r="A509" s="19"/>
      <c r="B509" s="19"/>
      <c r="C509" s="19"/>
      <c r="D509" s="50"/>
      <c r="E509" s="50"/>
      <c r="F509" s="19"/>
      <c r="G509" s="19"/>
      <c r="H509" s="48"/>
      <c r="I509" s="48"/>
      <c r="J509" s="19"/>
      <c r="K509" s="48"/>
      <c r="L509" s="54"/>
      <c r="M509" s="48"/>
      <c r="N509" s="48"/>
      <c r="O509" s="19"/>
      <c r="P509" s="51"/>
      <c r="Q509" s="51"/>
      <c r="R509" s="26"/>
      <c r="S509" s="55"/>
      <c r="T509" s="44"/>
      <c r="U509" s="54"/>
      <c r="V509" s="50"/>
      <c r="W509" s="19"/>
      <c r="X509" s="19"/>
      <c r="Y509" s="19"/>
      <c r="Z509" s="19"/>
    </row>
    <row r="510" spans="1:26" ht="25.5" customHeight="1" x14ac:dyDescent="0.35">
      <c r="A510" s="19"/>
      <c r="B510" s="19"/>
      <c r="C510" s="58"/>
      <c r="D510" s="78" t="s">
        <v>2432</v>
      </c>
      <c r="E510" s="50"/>
      <c r="F510" s="19"/>
      <c r="G510" s="19"/>
      <c r="H510" s="48"/>
      <c r="I510" s="48"/>
      <c r="J510" s="19"/>
      <c r="K510" s="48"/>
      <c r="L510" s="54"/>
      <c r="M510" s="173" t="s">
        <v>2433</v>
      </c>
      <c r="N510" s="172"/>
      <c r="O510" s="172"/>
      <c r="P510" s="51"/>
      <c r="Q510" s="51"/>
      <c r="R510" s="26"/>
      <c r="S510" s="55"/>
      <c r="T510" s="44"/>
      <c r="U510" s="54"/>
      <c r="V510" s="50"/>
      <c r="W510" s="19"/>
      <c r="X510" s="19"/>
      <c r="Y510" s="19"/>
      <c r="Z510" s="19"/>
    </row>
    <row r="511" spans="1:26" ht="29.25" customHeight="1" x14ac:dyDescent="0.35">
      <c r="A511" s="19"/>
      <c r="B511" s="19"/>
      <c r="C511" s="59"/>
      <c r="D511" s="56" t="s">
        <v>2434</v>
      </c>
      <c r="E511" s="60"/>
      <c r="F511" s="56"/>
      <c r="G511" s="56"/>
      <c r="H511" s="61"/>
      <c r="I511" s="61"/>
      <c r="J511" s="56"/>
      <c r="K511" s="61"/>
      <c r="L511" s="62"/>
      <c r="M511" s="174" t="s">
        <v>2435</v>
      </c>
      <c r="N511" s="172"/>
      <c r="O511" s="172"/>
      <c r="P511" s="63"/>
      <c r="Q511" s="51"/>
      <c r="R511" s="26"/>
      <c r="S511" s="55"/>
      <c r="T511" s="44"/>
      <c r="U511" s="54"/>
      <c r="V511" s="50"/>
      <c r="W511" s="19"/>
      <c r="X511" s="19"/>
      <c r="Y511" s="19"/>
      <c r="Z511" s="19"/>
    </row>
    <row r="512" spans="1:26" ht="15.75" customHeight="1" outlineLevel="2" x14ac:dyDescent="0.35">
      <c r="A512" s="25" t="s">
        <v>1304</v>
      </c>
      <c r="B512" s="25" t="s">
        <v>2488</v>
      </c>
      <c r="C512" s="26">
        <v>114728</v>
      </c>
      <c r="D512" s="25" t="s">
        <v>1310</v>
      </c>
      <c r="E512" s="25" t="s">
        <v>1311</v>
      </c>
      <c r="F512" s="26" t="s">
        <v>27</v>
      </c>
      <c r="G512" s="26" t="s">
        <v>27</v>
      </c>
      <c r="H512" s="26">
        <v>1</v>
      </c>
      <c r="I512" s="26">
        <v>1</v>
      </c>
      <c r="J512" s="26">
        <v>1</v>
      </c>
      <c r="K512" s="26">
        <v>138</v>
      </c>
      <c r="L512" s="26" t="s">
        <v>28</v>
      </c>
      <c r="M512" s="27">
        <v>1768</v>
      </c>
      <c r="N512" s="28">
        <v>218247.73</v>
      </c>
      <c r="O512" s="26" t="s">
        <v>29</v>
      </c>
      <c r="P512" s="29"/>
      <c r="Q512" s="6"/>
      <c r="R512" s="29"/>
      <c r="S512" s="10"/>
      <c r="T512" s="8">
        <v>1</v>
      </c>
    </row>
    <row r="513" spans="1:26" ht="15.75" customHeight="1" outlineLevel="2" x14ac:dyDescent="0.35">
      <c r="A513" s="25" t="s">
        <v>1304</v>
      </c>
      <c r="B513" s="25" t="s">
        <v>2488</v>
      </c>
      <c r="C513" s="26">
        <v>114799</v>
      </c>
      <c r="D513" s="25" t="s">
        <v>1316</v>
      </c>
      <c r="E513" s="25" t="s">
        <v>1313</v>
      </c>
      <c r="F513" s="26" t="s">
        <v>27</v>
      </c>
      <c r="G513" s="26" t="s">
        <v>27</v>
      </c>
      <c r="H513" s="26">
        <v>1</v>
      </c>
      <c r="I513" s="26">
        <v>1</v>
      </c>
      <c r="J513" s="26">
        <v>1</v>
      </c>
      <c r="K513" s="26">
        <v>138</v>
      </c>
      <c r="L513" s="26" t="s">
        <v>28</v>
      </c>
      <c r="M513" s="27">
        <v>1767</v>
      </c>
      <c r="N513" s="28">
        <v>217807.91</v>
      </c>
      <c r="O513" s="26" t="s">
        <v>29</v>
      </c>
      <c r="P513" s="29"/>
      <c r="Q513" s="6"/>
      <c r="R513" s="29"/>
      <c r="S513" s="10"/>
      <c r="T513" s="8">
        <v>1</v>
      </c>
    </row>
    <row r="514" spans="1:26" ht="15.75" customHeight="1" outlineLevel="2" x14ac:dyDescent="0.35">
      <c r="A514" s="25" t="s">
        <v>1304</v>
      </c>
      <c r="B514" s="25" t="s">
        <v>2488</v>
      </c>
      <c r="C514" s="26">
        <v>114808</v>
      </c>
      <c r="D514" s="25" t="s">
        <v>1320</v>
      </c>
      <c r="E514" s="25" t="s">
        <v>1318</v>
      </c>
      <c r="F514" s="26" t="s">
        <v>27</v>
      </c>
      <c r="G514" s="26" t="s">
        <v>27</v>
      </c>
      <c r="H514" s="26">
        <v>1</v>
      </c>
      <c r="I514" s="26">
        <v>1</v>
      </c>
      <c r="J514" s="26">
        <v>1</v>
      </c>
      <c r="K514" s="26">
        <v>138</v>
      </c>
      <c r="L514" s="26" t="s">
        <v>28</v>
      </c>
      <c r="M514" s="27">
        <v>1756</v>
      </c>
      <c r="N514" s="28">
        <v>139502.69</v>
      </c>
      <c r="O514" s="26" t="s">
        <v>29</v>
      </c>
      <c r="P514" s="29"/>
      <c r="Q514" s="6"/>
      <c r="R514" s="29"/>
      <c r="S514" s="10"/>
      <c r="T514" s="8">
        <v>1</v>
      </c>
    </row>
    <row r="515" spans="1:26" ht="15.75" customHeight="1" outlineLevel="2" x14ac:dyDescent="0.35">
      <c r="A515" s="25" t="s">
        <v>1304</v>
      </c>
      <c r="B515" s="25" t="s">
        <v>2488</v>
      </c>
      <c r="C515" s="26">
        <v>114824</v>
      </c>
      <c r="D515" s="25" t="s">
        <v>1322</v>
      </c>
      <c r="E515" s="25" t="s">
        <v>1318</v>
      </c>
      <c r="F515" s="26" t="s">
        <v>27</v>
      </c>
      <c r="G515" s="26" t="s">
        <v>27</v>
      </c>
      <c r="H515" s="26">
        <v>1</v>
      </c>
      <c r="I515" s="26">
        <v>1</v>
      </c>
      <c r="J515" s="26">
        <v>1</v>
      </c>
      <c r="K515" s="26">
        <v>138</v>
      </c>
      <c r="L515" s="26" t="s">
        <v>28</v>
      </c>
      <c r="M515" s="27">
        <v>1764</v>
      </c>
      <c r="N515" s="28">
        <v>155252.69</v>
      </c>
      <c r="O515" s="26" t="s">
        <v>29</v>
      </c>
      <c r="P515" s="29"/>
      <c r="Q515" s="6"/>
      <c r="R515" s="29"/>
      <c r="S515" s="10"/>
      <c r="T515" s="8">
        <v>1</v>
      </c>
    </row>
    <row r="516" spans="1:26" ht="15.75" customHeight="1" outlineLevel="2" x14ac:dyDescent="0.35">
      <c r="A516" s="25" t="s">
        <v>1304</v>
      </c>
      <c r="B516" s="25" t="s">
        <v>2488</v>
      </c>
      <c r="C516" s="26">
        <v>114931</v>
      </c>
      <c r="D516" s="25" t="s">
        <v>1326</v>
      </c>
      <c r="E516" s="25" t="s">
        <v>1325</v>
      </c>
      <c r="F516" s="26" t="s">
        <v>27</v>
      </c>
      <c r="G516" s="26" t="s">
        <v>27</v>
      </c>
      <c r="H516" s="26">
        <v>1</v>
      </c>
      <c r="I516" s="26">
        <v>3</v>
      </c>
      <c r="J516" s="26">
        <v>1</v>
      </c>
      <c r="K516" s="26">
        <v>138</v>
      </c>
      <c r="L516" s="26" t="s">
        <v>28</v>
      </c>
      <c r="M516" s="27">
        <v>1759</v>
      </c>
      <c r="N516" s="28">
        <v>220151.62</v>
      </c>
      <c r="O516" s="26" t="s">
        <v>29</v>
      </c>
      <c r="P516" s="29"/>
      <c r="Q516" s="6"/>
      <c r="R516" s="29"/>
      <c r="S516" s="10"/>
      <c r="T516" s="8">
        <v>1</v>
      </c>
    </row>
    <row r="517" spans="1:26" ht="15.75" customHeight="1" outlineLevel="1" x14ac:dyDescent="0.35">
      <c r="A517" s="25"/>
      <c r="B517" s="53" t="s">
        <v>2489</v>
      </c>
      <c r="C517" s="26"/>
      <c r="D517" s="25"/>
      <c r="E517" s="25"/>
      <c r="F517" s="26"/>
      <c r="G517" s="26"/>
      <c r="H517" s="26">
        <f t="shared" ref="H517:I517" si="29">SUBTOTAL(9,H512:H516)</f>
        <v>5</v>
      </c>
      <c r="I517" s="26">
        <f t="shared" si="29"/>
        <v>7</v>
      </c>
      <c r="J517" s="26"/>
      <c r="K517" s="26"/>
      <c r="L517" s="26"/>
      <c r="M517" s="27"/>
      <c r="N517" s="28">
        <f>SUBTOTAL(9,N512:N516)</f>
        <v>950962.64</v>
      </c>
      <c r="O517" s="26"/>
      <c r="P517" s="29"/>
      <c r="Q517" s="6"/>
      <c r="R517" s="29"/>
      <c r="S517" s="10"/>
      <c r="T517" s="8"/>
    </row>
    <row r="518" spans="1:26" ht="25.5" customHeight="1" x14ac:dyDescent="0.35">
      <c r="A518" s="19"/>
      <c r="B518" s="19"/>
      <c r="C518" s="19"/>
      <c r="D518" s="50"/>
      <c r="E518" s="50"/>
      <c r="F518" s="19"/>
      <c r="G518" s="19"/>
      <c r="H518" s="48"/>
      <c r="I518" s="48"/>
      <c r="J518" s="19"/>
      <c r="K518" s="48"/>
      <c r="L518" s="54"/>
      <c r="M518" s="48"/>
      <c r="N518" s="48"/>
      <c r="O518" s="19"/>
      <c r="P518" s="45"/>
      <c r="Q518" s="51"/>
      <c r="R518" s="26"/>
      <c r="S518" s="55"/>
      <c r="T518" s="44"/>
      <c r="U518" s="54"/>
      <c r="V518" s="50"/>
      <c r="W518" s="19"/>
      <c r="X518" s="19"/>
      <c r="Y518" s="19"/>
      <c r="Z518" s="19"/>
    </row>
    <row r="519" spans="1:26" ht="25.5" customHeight="1" x14ac:dyDescent="0.35">
      <c r="A519" s="19"/>
      <c r="B519" s="56" t="s">
        <v>2377</v>
      </c>
      <c r="C519" s="19"/>
      <c r="D519" s="50"/>
      <c r="E519" s="50"/>
      <c r="F519" s="57"/>
      <c r="G519" s="57"/>
      <c r="H519" s="171" t="s">
        <v>2377</v>
      </c>
      <c r="I519" s="172"/>
      <c r="J519" s="19"/>
      <c r="K519" s="48"/>
      <c r="L519" s="54"/>
      <c r="M519" s="48"/>
      <c r="N519" s="48"/>
      <c r="O519" s="19"/>
      <c r="P519" s="51"/>
      <c r="Q519" s="51"/>
      <c r="R519" s="26"/>
      <c r="S519" s="55"/>
      <c r="T519" s="44"/>
      <c r="U519" s="54"/>
      <c r="V519" s="50"/>
      <c r="W519" s="19"/>
      <c r="X519" s="19"/>
      <c r="Y519" s="19"/>
      <c r="Z519" s="19"/>
    </row>
    <row r="520" spans="1:26" ht="25.5" customHeight="1" x14ac:dyDescent="0.35">
      <c r="A520" s="19"/>
      <c r="B520" s="19"/>
      <c r="C520" s="19"/>
      <c r="D520" s="50"/>
      <c r="E520" s="50"/>
      <c r="F520" s="19"/>
      <c r="G520" s="19"/>
      <c r="H520" s="19"/>
      <c r="I520" s="19"/>
      <c r="J520" s="19"/>
      <c r="K520" s="48"/>
      <c r="L520" s="54"/>
      <c r="M520" s="48"/>
      <c r="N520" s="48"/>
      <c r="O520" s="19"/>
      <c r="P520" s="51"/>
      <c r="Q520" s="51"/>
      <c r="R520" s="26"/>
      <c r="S520" s="55"/>
      <c r="T520" s="44"/>
      <c r="U520" s="54"/>
      <c r="V520" s="50"/>
      <c r="W520" s="19"/>
      <c r="X520" s="19"/>
      <c r="Y520" s="19"/>
      <c r="Z520" s="19"/>
    </row>
    <row r="521" spans="1:26" ht="25.5" customHeight="1" x14ac:dyDescent="0.35">
      <c r="A521" s="19"/>
      <c r="B521" s="19"/>
      <c r="C521" s="19"/>
      <c r="D521" s="50"/>
      <c r="E521" s="50"/>
      <c r="F521" s="19"/>
      <c r="G521" s="19"/>
      <c r="H521" s="48"/>
      <c r="I521" s="48"/>
      <c r="J521" s="19"/>
      <c r="K521" s="48"/>
      <c r="L521" s="54"/>
      <c r="M521" s="48"/>
      <c r="N521" s="48"/>
      <c r="O521" s="19"/>
      <c r="P521" s="51"/>
      <c r="Q521" s="51"/>
      <c r="R521" s="26"/>
      <c r="S521" s="55"/>
      <c r="T521" s="44"/>
      <c r="U521" s="54"/>
      <c r="V521" s="50"/>
      <c r="W521" s="19"/>
      <c r="X521" s="19"/>
      <c r="Y521" s="19"/>
      <c r="Z521" s="19"/>
    </row>
    <row r="522" spans="1:26" ht="25.5" customHeight="1" x14ac:dyDescent="0.35">
      <c r="A522" s="19"/>
      <c r="B522" s="19"/>
      <c r="C522" s="58"/>
      <c r="D522" s="78" t="s">
        <v>2432</v>
      </c>
      <c r="E522" s="50"/>
      <c r="F522" s="19"/>
      <c r="G522" s="19"/>
      <c r="H522" s="48"/>
      <c r="I522" s="48"/>
      <c r="J522" s="19"/>
      <c r="K522" s="48"/>
      <c r="L522" s="54"/>
      <c r="M522" s="173" t="s">
        <v>2433</v>
      </c>
      <c r="N522" s="172"/>
      <c r="O522" s="172"/>
      <c r="P522" s="51"/>
      <c r="Q522" s="51"/>
      <c r="R522" s="26"/>
      <c r="S522" s="55"/>
      <c r="T522" s="44"/>
      <c r="U522" s="54"/>
      <c r="V522" s="50"/>
      <c r="W522" s="19"/>
      <c r="X522" s="19"/>
      <c r="Y522" s="19"/>
      <c r="Z522" s="19"/>
    </row>
    <row r="523" spans="1:26" ht="29.25" customHeight="1" x14ac:dyDescent="0.35">
      <c r="A523" s="19"/>
      <c r="B523" s="19"/>
      <c r="C523" s="59"/>
      <c r="D523" s="56" t="s">
        <v>2434</v>
      </c>
      <c r="E523" s="60"/>
      <c r="F523" s="56"/>
      <c r="G523" s="56"/>
      <c r="H523" s="61"/>
      <c r="I523" s="61"/>
      <c r="J523" s="56"/>
      <c r="K523" s="61"/>
      <c r="L523" s="62"/>
      <c r="M523" s="174" t="s">
        <v>2435</v>
      </c>
      <c r="N523" s="172"/>
      <c r="O523" s="172"/>
      <c r="P523" s="63"/>
      <c r="Q523" s="51"/>
      <c r="R523" s="26"/>
      <c r="S523" s="55"/>
      <c r="T523" s="44"/>
      <c r="U523" s="54"/>
      <c r="V523" s="50"/>
      <c r="W523" s="19"/>
      <c r="X523" s="19"/>
      <c r="Y523" s="19"/>
      <c r="Z523" s="19"/>
    </row>
    <row r="524" spans="1:26" ht="15.75" customHeight="1" outlineLevel="2" x14ac:dyDescent="0.35">
      <c r="A524" s="25" t="s">
        <v>1304</v>
      </c>
      <c r="B524" s="25" t="s">
        <v>2490</v>
      </c>
      <c r="C524" s="26">
        <v>115029</v>
      </c>
      <c r="D524" s="25" t="s">
        <v>1343</v>
      </c>
      <c r="E524" s="25" t="s">
        <v>1344</v>
      </c>
      <c r="F524" s="26" t="s">
        <v>27</v>
      </c>
      <c r="G524" s="26" t="s">
        <v>27</v>
      </c>
      <c r="H524" s="26">
        <v>1</v>
      </c>
      <c r="I524" s="26">
        <v>2</v>
      </c>
      <c r="J524" s="26">
        <v>1</v>
      </c>
      <c r="K524" s="26">
        <v>138</v>
      </c>
      <c r="L524" s="26" t="s">
        <v>28</v>
      </c>
      <c r="M524" s="27">
        <v>1772</v>
      </c>
      <c r="N524" s="28">
        <v>232720.9</v>
      </c>
      <c r="O524" s="26" t="s">
        <v>29</v>
      </c>
      <c r="P524" s="29"/>
      <c r="Q524" s="6"/>
      <c r="R524" s="29"/>
      <c r="S524" s="10"/>
      <c r="T524" s="8">
        <v>1</v>
      </c>
    </row>
    <row r="525" spans="1:26" ht="15.75" customHeight="1" outlineLevel="2" x14ac:dyDescent="0.35">
      <c r="A525" s="25" t="s">
        <v>1304</v>
      </c>
      <c r="B525" s="25" t="s">
        <v>2490</v>
      </c>
      <c r="C525" s="26">
        <v>115067</v>
      </c>
      <c r="D525" s="25" t="s">
        <v>1349</v>
      </c>
      <c r="E525" s="25" t="s">
        <v>1347</v>
      </c>
      <c r="F525" s="26" t="s">
        <v>27</v>
      </c>
      <c r="G525" s="26" t="s">
        <v>27</v>
      </c>
      <c r="H525" s="26">
        <v>1</v>
      </c>
      <c r="I525" s="26">
        <v>2</v>
      </c>
      <c r="J525" s="26">
        <v>1</v>
      </c>
      <c r="K525" s="26">
        <v>138</v>
      </c>
      <c r="L525" s="26" t="s">
        <v>28</v>
      </c>
      <c r="M525" s="27">
        <v>1776</v>
      </c>
      <c r="N525" s="28">
        <v>232720.9</v>
      </c>
      <c r="O525" s="26" t="s">
        <v>29</v>
      </c>
      <c r="P525" s="29"/>
      <c r="Q525" s="6"/>
      <c r="R525" s="29"/>
      <c r="S525" s="10"/>
      <c r="T525" s="8">
        <v>1</v>
      </c>
    </row>
    <row r="526" spans="1:26" ht="15.75" customHeight="1" outlineLevel="2" x14ac:dyDescent="0.35">
      <c r="A526" s="25" t="s">
        <v>1304</v>
      </c>
      <c r="B526" s="25" t="s">
        <v>2490</v>
      </c>
      <c r="C526" s="26">
        <v>115241</v>
      </c>
      <c r="D526" s="25" t="s">
        <v>1357</v>
      </c>
      <c r="E526" s="25" t="s">
        <v>1358</v>
      </c>
      <c r="F526" s="26" t="s">
        <v>27</v>
      </c>
      <c r="G526" s="26" t="s">
        <v>27</v>
      </c>
      <c r="H526" s="26">
        <v>1</v>
      </c>
      <c r="I526" s="26">
        <v>1</v>
      </c>
      <c r="J526" s="26">
        <v>1</v>
      </c>
      <c r="K526" s="26">
        <v>138</v>
      </c>
      <c r="L526" s="26" t="s">
        <v>28</v>
      </c>
      <c r="M526" s="27">
        <v>1777</v>
      </c>
      <c r="N526" s="28">
        <v>174755.62</v>
      </c>
      <c r="O526" s="26" t="s">
        <v>29</v>
      </c>
      <c r="P526" s="29"/>
      <c r="Q526" s="6"/>
      <c r="R526" s="29"/>
      <c r="S526" s="10"/>
      <c r="T526" s="8">
        <v>1</v>
      </c>
    </row>
    <row r="527" spans="1:26" ht="15.75" customHeight="1" outlineLevel="2" x14ac:dyDescent="0.35">
      <c r="A527" s="25" t="s">
        <v>1304</v>
      </c>
      <c r="B527" s="25" t="s">
        <v>2490</v>
      </c>
      <c r="C527" s="26">
        <v>115284</v>
      </c>
      <c r="D527" s="25" t="s">
        <v>1361</v>
      </c>
      <c r="E527" s="25" t="s">
        <v>1362</v>
      </c>
      <c r="F527" s="26" t="s">
        <v>27</v>
      </c>
      <c r="G527" s="26" t="s">
        <v>27</v>
      </c>
      <c r="H527" s="26">
        <v>1</v>
      </c>
      <c r="I527" s="26">
        <v>1</v>
      </c>
      <c r="J527" s="26">
        <v>1</v>
      </c>
      <c r="K527" s="26">
        <v>138</v>
      </c>
      <c r="L527" s="26" t="s">
        <v>28</v>
      </c>
      <c r="M527" s="27">
        <v>1788</v>
      </c>
      <c r="N527" s="28">
        <v>178560.06</v>
      </c>
      <c r="O527" s="26" t="s">
        <v>29</v>
      </c>
      <c r="P527" s="29"/>
      <c r="Q527" s="6"/>
      <c r="R527" s="29"/>
      <c r="S527" s="10"/>
      <c r="T527" s="8">
        <v>1</v>
      </c>
    </row>
    <row r="528" spans="1:26" ht="15.75" customHeight="1" outlineLevel="2" x14ac:dyDescent="0.35">
      <c r="A528" s="25" t="s">
        <v>1304</v>
      </c>
      <c r="B528" s="25" t="s">
        <v>2490</v>
      </c>
      <c r="C528" s="26">
        <v>178503</v>
      </c>
      <c r="D528" s="25" t="s">
        <v>1369</v>
      </c>
      <c r="E528" s="25" t="s">
        <v>1358</v>
      </c>
      <c r="F528" s="26" t="s">
        <v>27</v>
      </c>
      <c r="G528" s="26" t="s">
        <v>27</v>
      </c>
      <c r="H528" s="26">
        <v>1</v>
      </c>
      <c r="I528" s="26">
        <v>2</v>
      </c>
      <c r="J528" s="26">
        <v>1</v>
      </c>
      <c r="K528" s="26">
        <v>138</v>
      </c>
      <c r="L528" s="26" t="s">
        <v>28</v>
      </c>
      <c r="M528" s="27">
        <v>1774</v>
      </c>
      <c r="N528" s="28">
        <v>232720.9</v>
      </c>
      <c r="O528" s="26" t="s">
        <v>29</v>
      </c>
      <c r="P528" s="29"/>
      <c r="Q528" s="6"/>
      <c r="R528" s="29"/>
      <c r="S528" s="10"/>
      <c r="T528" s="8">
        <v>1</v>
      </c>
    </row>
    <row r="529" spans="1:26" ht="15.75" customHeight="1" outlineLevel="1" x14ac:dyDescent="0.35">
      <c r="A529" s="25"/>
      <c r="B529" s="53" t="s">
        <v>2491</v>
      </c>
      <c r="C529" s="26"/>
      <c r="D529" s="25"/>
      <c r="E529" s="25"/>
      <c r="F529" s="26"/>
      <c r="G529" s="26"/>
      <c r="H529" s="26">
        <f t="shared" ref="H529:I529" si="30">SUBTOTAL(9,H524:H528)</f>
        <v>5</v>
      </c>
      <c r="I529" s="26">
        <f t="shared" si="30"/>
        <v>8</v>
      </c>
      <c r="J529" s="26"/>
      <c r="K529" s="26"/>
      <c r="L529" s="26"/>
      <c r="M529" s="27"/>
      <c r="N529" s="28">
        <f>SUBTOTAL(9,N524:N528)</f>
        <v>1051478.3799999999</v>
      </c>
      <c r="O529" s="26"/>
      <c r="P529" s="29"/>
      <c r="Q529" s="6"/>
      <c r="R529" s="29"/>
      <c r="S529" s="10"/>
      <c r="T529" s="8"/>
    </row>
    <row r="530" spans="1:26" ht="25.5" customHeight="1" x14ac:dyDescent="0.35">
      <c r="A530" s="19"/>
      <c r="B530" s="19"/>
      <c r="C530" s="19"/>
      <c r="D530" s="50"/>
      <c r="E530" s="50"/>
      <c r="F530" s="19"/>
      <c r="G530" s="19"/>
      <c r="H530" s="48"/>
      <c r="I530" s="48"/>
      <c r="J530" s="19"/>
      <c r="K530" s="48"/>
      <c r="L530" s="54"/>
      <c r="M530" s="48"/>
      <c r="N530" s="48"/>
      <c r="O530" s="19"/>
      <c r="P530" s="45"/>
      <c r="Q530" s="51"/>
      <c r="R530" s="26"/>
      <c r="S530" s="55"/>
      <c r="T530" s="44"/>
      <c r="U530" s="54"/>
      <c r="V530" s="50"/>
      <c r="W530" s="19"/>
      <c r="X530" s="19"/>
      <c r="Y530" s="19"/>
      <c r="Z530" s="19"/>
    </row>
    <row r="531" spans="1:26" ht="25.5" customHeight="1" x14ac:dyDescent="0.35">
      <c r="A531" s="19"/>
      <c r="B531" s="56" t="s">
        <v>2377</v>
      </c>
      <c r="C531" s="19"/>
      <c r="D531" s="50"/>
      <c r="E531" s="50"/>
      <c r="F531" s="57"/>
      <c r="G531" s="57"/>
      <c r="H531" s="171" t="s">
        <v>2377</v>
      </c>
      <c r="I531" s="172"/>
      <c r="J531" s="19"/>
      <c r="K531" s="48"/>
      <c r="L531" s="54"/>
      <c r="M531" s="48"/>
      <c r="N531" s="48"/>
      <c r="O531" s="19"/>
      <c r="P531" s="51"/>
      <c r="Q531" s="51"/>
      <c r="R531" s="26"/>
      <c r="S531" s="55"/>
      <c r="T531" s="44"/>
      <c r="U531" s="54"/>
      <c r="V531" s="50"/>
      <c r="W531" s="19"/>
      <c r="X531" s="19"/>
      <c r="Y531" s="19"/>
      <c r="Z531" s="19"/>
    </row>
    <row r="532" spans="1:26" ht="25.5" customHeight="1" x14ac:dyDescent="0.35">
      <c r="A532" s="19"/>
      <c r="B532" s="19"/>
      <c r="C532" s="19"/>
      <c r="D532" s="50"/>
      <c r="E532" s="50"/>
      <c r="F532" s="19"/>
      <c r="G532" s="19"/>
      <c r="H532" s="19"/>
      <c r="I532" s="19"/>
      <c r="J532" s="19"/>
      <c r="K532" s="48"/>
      <c r="L532" s="54"/>
      <c r="M532" s="48"/>
      <c r="N532" s="48"/>
      <c r="O532" s="19"/>
      <c r="P532" s="51"/>
      <c r="Q532" s="51"/>
      <c r="R532" s="26"/>
      <c r="S532" s="55"/>
      <c r="T532" s="44"/>
      <c r="U532" s="54"/>
      <c r="V532" s="50"/>
      <c r="W532" s="19"/>
      <c r="X532" s="19"/>
      <c r="Y532" s="19"/>
      <c r="Z532" s="19"/>
    </row>
    <row r="533" spans="1:26" ht="25.5" customHeight="1" x14ac:dyDescent="0.35">
      <c r="A533" s="19"/>
      <c r="B533" s="19"/>
      <c r="C533" s="19"/>
      <c r="D533" s="50"/>
      <c r="E533" s="50"/>
      <c r="F533" s="19"/>
      <c r="G533" s="19"/>
      <c r="H533" s="48"/>
      <c r="I533" s="48"/>
      <c r="J533" s="19"/>
      <c r="K533" s="48"/>
      <c r="L533" s="54"/>
      <c r="M533" s="48"/>
      <c r="N533" s="48"/>
      <c r="O533" s="19"/>
      <c r="P533" s="51"/>
      <c r="Q533" s="51"/>
      <c r="R533" s="26"/>
      <c r="S533" s="55"/>
      <c r="T533" s="44"/>
      <c r="U533" s="54"/>
      <c r="V533" s="50"/>
      <c r="W533" s="19"/>
      <c r="X533" s="19"/>
      <c r="Y533" s="19"/>
      <c r="Z533" s="19"/>
    </row>
    <row r="534" spans="1:26" ht="25.5" customHeight="1" x14ac:dyDescent="0.35">
      <c r="A534" s="19"/>
      <c r="B534" s="19"/>
      <c r="C534" s="58"/>
      <c r="D534" s="78" t="s">
        <v>2432</v>
      </c>
      <c r="E534" s="50"/>
      <c r="F534" s="19"/>
      <c r="G534" s="19"/>
      <c r="H534" s="48"/>
      <c r="I534" s="48"/>
      <c r="J534" s="19"/>
      <c r="K534" s="48"/>
      <c r="L534" s="54"/>
      <c r="M534" s="173" t="s">
        <v>2433</v>
      </c>
      <c r="N534" s="172"/>
      <c r="O534" s="172"/>
      <c r="P534" s="51"/>
      <c r="Q534" s="51"/>
      <c r="R534" s="26"/>
      <c r="S534" s="55"/>
      <c r="T534" s="44"/>
      <c r="U534" s="54"/>
      <c r="V534" s="50"/>
      <c r="W534" s="19"/>
      <c r="X534" s="19"/>
      <c r="Y534" s="19"/>
      <c r="Z534" s="19"/>
    </row>
    <row r="535" spans="1:26" ht="29.25" customHeight="1" x14ac:dyDescent="0.35">
      <c r="A535" s="19"/>
      <c r="B535" s="19"/>
      <c r="C535" s="59"/>
      <c r="D535" s="56" t="s">
        <v>2434</v>
      </c>
      <c r="E535" s="60"/>
      <c r="F535" s="56"/>
      <c r="G535" s="56"/>
      <c r="H535" s="61"/>
      <c r="I535" s="61"/>
      <c r="J535" s="56"/>
      <c r="K535" s="61"/>
      <c r="L535" s="62"/>
      <c r="M535" s="174" t="s">
        <v>2435</v>
      </c>
      <c r="N535" s="172"/>
      <c r="O535" s="172"/>
      <c r="P535" s="63"/>
      <c r="Q535" s="51"/>
      <c r="R535" s="26"/>
      <c r="S535" s="55"/>
      <c r="T535" s="44"/>
      <c r="U535" s="54"/>
      <c r="V535" s="50"/>
      <c r="W535" s="19"/>
      <c r="X535" s="19"/>
      <c r="Y535" s="19"/>
      <c r="Z535" s="19"/>
    </row>
    <row r="536" spans="1:26" ht="15.75" customHeight="1" outlineLevel="2" x14ac:dyDescent="0.35">
      <c r="A536" s="25" t="s">
        <v>1304</v>
      </c>
      <c r="B536" s="25" t="s">
        <v>2413</v>
      </c>
      <c r="C536" s="26">
        <v>115626</v>
      </c>
      <c r="D536" s="25" t="s">
        <v>1393</v>
      </c>
      <c r="E536" s="25" t="s">
        <v>1394</v>
      </c>
      <c r="F536" s="26" t="s">
        <v>215</v>
      </c>
      <c r="G536" s="26" t="s">
        <v>215</v>
      </c>
      <c r="H536" s="26">
        <v>1</v>
      </c>
      <c r="I536" s="26">
        <v>3</v>
      </c>
      <c r="J536" s="26">
        <v>1</v>
      </c>
      <c r="K536" s="26">
        <v>138</v>
      </c>
      <c r="L536" s="26" t="s">
        <v>28</v>
      </c>
      <c r="M536" s="27">
        <v>1799</v>
      </c>
      <c r="N536" s="30">
        <v>185817.69</v>
      </c>
      <c r="O536" s="26" t="s">
        <v>29</v>
      </c>
      <c r="P536" s="29"/>
      <c r="Q536" s="6"/>
      <c r="R536" s="29"/>
      <c r="S536" s="10"/>
      <c r="T536" s="8">
        <v>1</v>
      </c>
    </row>
    <row r="537" spans="1:26" ht="15.75" customHeight="1" outlineLevel="2" x14ac:dyDescent="0.35">
      <c r="A537" s="25" t="s">
        <v>1304</v>
      </c>
      <c r="B537" s="25" t="s">
        <v>2413</v>
      </c>
      <c r="C537" s="26">
        <v>302389</v>
      </c>
      <c r="D537" s="25" t="s">
        <v>1404</v>
      </c>
      <c r="E537" s="25" t="s">
        <v>1402</v>
      </c>
      <c r="F537" s="26" t="s">
        <v>90</v>
      </c>
      <c r="G537" s="26" t="s">
        <v>90</v>
      </c>
      <c r="H537" s="26">
        <v>1</v>
      </c>
      <c r="I537" s="26">
        <v>12</v>
      </c>
      <c r="J537" s="26">
        <v>1</v>
      </c>
      <c r="K537" s="26">
        <v>138</v>
      </c>
      <c r="L537" s="26" t="s">
        <v>28</v>
      </c>
      <c r="M537" s="27">
        <v>1806</v>
      </c>
      <c r="N537" s="30">
        <v>123326.67</v>
      </c>
      <c r="O537" s="26" t="s">
        <v>29</v>
      </c>
      <c r="P537" s="29"/>
      <c r="Q537" s="6"/>
      <c r="R537" s="29"/>
      <c r="S537" s="10"/>
      <c r="T537" s="8">
        <v>1</v>
      </c>
    </row>
    <row r="538" spans="1:26" ht="15.75" customHeight="1" outlineLevel="1" x14ac:dyDescent="0.35">
      <c r="A538" s="25"/>
      <c r="B538" s="53" t="s">
        <v>2492</v>
      </c>
      <c r="C538" s="26"/>
      <c r="D538" s="25"/>
      <c r="E538" s="25"/>
      <c r="F538" s="26"/>
      <c r="G538" s="26"/>
      <c r="H538" s="26">
        <f t="shared" ref="H538:I538" si="31">SUBTOTAL(9,H536:H537)</f>
        <v>2</v>
      </c>
      <c r="I538" s="26">
        <f t="shared" si="31"/>
        <v>15</v>
      </c>
      <c r="J538" s="26"/>
      <c r="K538" s="26"/>
      <c r="L538" s="26"/>
      <c r="M538" s="27"/>
      <c r="N538" s="30">
        <f>SUBTOTAL(9,N536:N537)</f>
        <v>309144.36</v>
      </c>
      <c r="O538" s="26"/>
      <c r="P538" s="29"/>
      <c r="Q538" s="6"/>
      <c r="R538" s="29"/>
      <c r="S538" s="10"/>
      <c r="T538" s="8"/>
    </row>
    <row r="539" spans="1:26" ht="25.5" customHeight="1" x14ac:dyDescent="0.35">
      <c r="A539" s="19"/>
      <c r="B539" s="19"/>
      <c r="C539" s="19"/>
      <c r="D539" s="50"/>
      <c r="E539" s="50"/>
      <c r="F539" s="19"/>
      <c r="G539" s="19"/>
      <c r="H539" s="48"/>
      <c r="I539" s="48"/>
      <c r="J539" s="19"/>
      <c r="K539" s="48"/>
      <c r="L539" s="54"/>
      <c r="M539" s="48"/>
      <c r="N539" s="48"/>
      <c r="O539" s="19"/>
      <c r="P539" s="45"/>
      <c r="Q539" s="51"/>
      <c r="R539" s="26"/>
      <c r="S539" s="55"/>
      <c r="T539" s="44"/>
      <c r="U539" s="54"/>
      <c r="V539" s="50"/>
      <c r="W539" s="19"/>
      <c r="X539" s="19"/>
      <c r="Y539" s="19"/>
      <c r="Z539" s="19"/>
    </row>
    <row r="540" spans="1:26" ht="25.5" customHeight="1" x14ac:dyDescent="0.35">
      <c r="A540" s="19"/>
      <c r="B540" s="56" t="s">
        <v>2377</v>
      </c>
      <c r="C540" s="19"/>
      <c r="D540" s="50"/>
      <c r="E540" s="50"/>
      <c r="F540" s="57"/>
      <c r="G540" s="57"/>
      <c r="H540" s="171" t="s">
        <v>2377</v>
      </c>
      <c r="I540" s="172"/>
      <c r="J540" s="19"/>
      <c r="K540" s="48"/>
      <c r="L540" s="54"/>
      <c r="M540" s="48"/>
      <c r="N540" s="48"/>
      <c r="O540" s="19"/>
      <c r="P540" s="51"/>
      <c r="Q540" s="51"/>
      <c r="R540" s="26"/>
      <c r="S540" s="55"/>
      <c r="T540" s="44"/>
      <c r="U540" s="54"/>
      <c r="V540" s="50"/>
      <c r="W540" s="19"/>
      <c r="X540" s="19"/>
      <c r="Y540" s="19"/>
      <c r="Z540" s="19"/>
    </row>
    <row r="541" spans="1:26" ht="25.5" customHeight="1" x14ac:dyDescent="0.35">
      <c r="A541" s="19"/>
      <c r="B541" s="19"/>
      <c r="C541" s="19"/>
      <c r="D541" s="50"/>
      <c r="E541" s="50"/>
      <c r="F541" s="19"/>
      <c r="G541" s="19"/>
      <c r="H541" s="19"/>
      <c r="I541" s="19"/>
      <c r="J541" s="19"/>
      <c r="K541" s="48"/>
      <c r="L541" s="54"/>
      <c r="M541" s="48"/>
      <c r="N541" s="48"/>
      <c r="O541" s="19"/>
      <c r="P541" s="51"/>
      <c r="Q541" s="51"/>
      <c r="R541" s="26"/>
      <c r="S541" s="55"/>
      <c r="T541" s="44"/>
      <c r="U541" s="54"/>
      <c r="V541" s="50"/>
      <c r="W541" s="19"/>
      <c r="X541" s="19"/>
      <c r="Y541" s="19"/>
      <c r="Z541" s="19"/>
    </row>
    <row r="542" spans="1:26" ht="25.5" customHeight="1" x14ac:dyDescent="0.35">
      <c r="A542" s="19"/>
      <c r="B542" s="19"/>
      <c r="C542" s="19"/>
      <c r="D542" s="50"/>
      <c r="E542" s="50"/>
      <c r="F542" s="19"/>
      <c r="G542" s="19"/>
      <c r="H542" s="48"/>
      <c r="I542" s="48"/>
      <c r="J542" s="19"/>
      <c r="K542" s="48"/>
      <c r="L542" s="54"/>
      <c r="M542" s="48"/>
      <c r="N542" s="48"/>
      <c r="O542" s="19"/>
      <c r="P542" s="51"/>
      <c r="Q542" s="51"/>
      <c r="R542" s="26"/>
      <c r="S542" s="55"/>
      <c r="T542" s="44"/>
      <c r="U542" s="54"/>
      <c r="V542" s="50"/>
      <c r="W542" s="19"/>
      <c r="X542" s="19"/>
      <c r="Y542" s="19"/>
      <c r="Z542" s="19"/>
    </row>
    <row r="543" spans="1:26" ht="25.5" customHeight="1" x14ac:dyDescent="0.35">
      <c r="A543" s="19"/>
      <c r="B543" s="19"/>
      <c r="C543" s="58"/>
      <c r="D543" s="78" t="s">
        <v>2432</v>
      </c>
      <c r="E543" s="50"/>
      <c r="F543" s="19"/>
      <c r="G543" s="19"/>
      <c r="H543" s="48"/>
      <c r="I543" s="48"/>
      <c r="J543" s="19"/>
      <c r="K543" s="48"/>
      <c r="L543" s="54"/>
      <c r="M543" s="173" t="s">
        <v>2433</v>
      </c>
      <c r="N543" s="172"/>
      <c r="O543" s="172"/>
      <c r="P543" s="51"/>
      <c r="Q543" s="51"/>
      <c r="R543" s="26"/>
      <c r="S543" s="55"/>
      <c r="T543" s="44"/>
      <c r="U543" s="54"/>
      <c r="V543" s="50"/>
      <c r="W543" s="19"/>
      <c r="X543" s="19"/>
      <c r="Y543" s="19"/>
      <c r="Z543" s="19"/>
    </row>
    <row r="544" spans="1:26" ht="29.25" customHeight="1" x14ac:dyDescent="0.35">
      <c r="A544" s="19"/>
      <c r="B544" s="19"/>
      <c r="C544" s="59"/>
      <c r="D544" s="56" t="s">
        <v>2434</v>
      </c>
      <c r="E544" s="60"/>
      <c r="F544" s="56"/>
      <c r="G544" s="56"/>
      <c r="H544" s="61"/>
      <c r="I544" s="61"/>
      <c r="J544" s="56"/>
      <c r="K544" s="61"/>
      <c r="L544" s="62"/>
      <c r="M544" s="174" t="s">
        <v>2435</v>
      </c>
      <c r="N544" s="172"/>
      <c r="O544" s="172"/>
      <c r="P544" s="63"/>
      <c r="Q544" s="51"/>
      <c r="R544" s="26"/>
      <c r="S544" s="55"/>
      <c r="T544" s="44"/>
      <c r="U544" s="54"/>
      <c r="V544" s="50"/>
      <c r="W544" s="19"/>
      <c r="X544" s="19"/>
      <c r="Y544" s="19"/>
      <c r="Z544" s="19"/>
    </row>
    <row r="545" spans="1:26" ht="15.75" customHeight="1" outlineLevel="2" x14ac:dyDescent="0.35">
      <c r="A545" s="25" t="s">
        <v>1304</v>
      </c>
      <c r="B545" s="25" t="s">
        <v>2493</v>
      </c>
      <c r="C545" s="26">
        <v>116408</v>
      </c>
      <c r="D545" s="25" t="s">
        <v>1424</v>
      </c>
      <c r="E545" s="25" t="s">
        <v>1423</v>
      </c>
      <c r="F545" s="26" t="s">
        <v>491</v>
      </c>
      <c r="G545" s="26" t="s">
        <v>491</v>
      </c>
      <c r="H545" s="26">
        <v>1</v>
      </c>
      <c r="I545" s="26">
        <v>5</v>
      </c>
      <c r="J545" s="26">
        <v>1</v>
      </c>
      <c r="K545" s="26">
        <v>138</v>
      </c>
      <c r="L545" s="26" t="s">
        <v>28</v>
      </c>
      <c r="M545" s="27">
        <v>1822</v>
      </c>
      <c r="N545" s="30">
        <v>366003.6</v>
      </c>
      <c r="O545" s="26" t="s">
        <v>29</v>
      </c>
      <c r="P545" s="29"/>
      <c r="Q545" s="6"/>
      <c r="R545" s="29"/>
      <c r="S545" s="10"/>
      <c r="T545" s="8">
        <v>1</v>
      </c>
    </row>
    <row r="546" spans="1:26" ht="15.75" customHeight="1" outlineLevel="2" x14ac:dyDescent="0.35">
      <c r="A546" s="25" t="s">
        <v>1304</v>
      </c>
      <c r="B546" s="25" t="s">
        <v>2493</v>
      </c>
      <c r="C546" s="26">
        <v>116675</v>
      </c>
      <c r="D546" s="25" t="s">
        <v>1427</v>
      </c>
      <c r="E546" s="25" t="s">
        <v>1428</v>
      </c>
      <c r="F546" s="26" t="s">
        <v>466</v>
      </c>
      <c r="G546" s="26" t="s">
        <v>466</v>
      </c>
      <c r="H546" s="26">
        <v>1</v>
      </c>
      <c r="I546" s="26">
        <v>1</v>
      </c>
      <c r="J546" s="26">
        <v>1</v>
      </c>
      <c r="K546" s="26">
        <v>138</v>
      </c>
      <c r="L546" s="26" t="s">
        <v>28</v>
      </c>
      <c r="M546" s="27">
        <v>1833</v>
      </c>
      <c r="N546" s="30">
        <v>108102.06</v>
      </c>
      <c r="O546" s="26" t="s">
        <v>29</v>
      </c>
      <c r="P546" s="29"/>
      <c r="Q546" s="6"/>
      <c r="R546" s="29"/>
      <c r="S546" s="10"/>
      <c r="T546" s="8">
        <v>1</v>
      </c>
    </row>
    <row r="547" spans="1:26" ht="15.75" customHeight="1" outlineLevel="2" x14ac:dyDescent="0.35">
      <c r="A547" s="25" t="s">
        <v>1304</v>
      </c>
      <c r="B547" s="25" t="s">
        <v>2493</v>
      </c>
      <c r="C547" s="26">
        <v>116731</v>
      </c>
      <c r="D547" s="25" t="s">
        <v>1431</v>
      </c>
      <c r="E547" s="25" t="s">
        <v>1432</v>
      </c>
      <c r="F547" s="26" t="s">
        <v>215</v>
      </c>
      <c r="G547" s="26" t="s">
        <v>215</v>
      </c>
      <c r="H547" s="26">
        <v>1</v>
      </c>
      <c r="I547" s="26">
        <v>4</v>
      </c>
      <c r="J547" s="26">
        <v>1</v>
      </c>
      <c r="K547" s="26">
        <v>138</v>
      </c>
      <c r="L547" s="26" t="s">
        <v>28</v>
      </c>
      <c r="M547" s="27">
        <v>1817</v>
      </c>
      <c r="N547" s="30">
        <v>278988.15999999997</v>
      </c>
      <c r="O547" s="26" t="s">
        <v>29</v>
      </c>
      <c r="P547" s="29"/>
      <c r="Q547" s="6"/>
      <c r="R547" s="29"/>
      <c r="S547" s="10"/>
      <c r="T547" s="8">
        <v>1</v>
      </c>
    </row>
    <row r="548" spans="1:26" ht="15.75" customHeight="1" outlineLevel="2" x14ac:dyDescent="0.35">
      <c r="A548" s="25" t="s">
        <v>1304</v>
      </c>
      <c r="B548" s="25" t="s">
        <v>2493</v>
      </c>
      <c r="C548" s="26">
        <v>180017</v>
      </c>
      <c r="D548" s="25" t="s">
        <v>1433</v>
      </c>
      <c r="E548" s="25" t="s">
        <v>1426</v>
      </c>
      <c r="F548" s="26" t="s">
        <v>491</v>
      </c>
      <c r="G548" s="26" t="s">
        <v>491</v>
      </c>
      <c r="H548" s="26">
        <v>1</v>
      </c>
      <c r="I548" s="26">
        <v>2</v>
      </c>
      <c r="J548" s="26">
        <v>1</v>
      </c>
      <c r="K548" s="26">
        <v>138</v>
      </c>
      <c r="L548" s="26" t="s">
        <v>28</v>
      </c>
      <c r="M548" s="27">
        <v>1819</v>
      </c>
      <c r="N548" s="30">
        <v>161809.47</v>
      </c>
      <c r="O548" s="26" t="s">
        <v>29</v>
      </c>
      <c r="P548" s="29"/>
      <c r="Q548" s="6"/>
      <c r="R548" s="29"/>
      <c r="S548" s="10"/>
      <c r="T548" s="8">
        <v>1</v>
      </c>
    </row>
    <row r="549" spans="1:26" ht="15.75" customHeight="1" outlineLevel="2" x14ac:dyDescent="0.35">
      <c r="A549" s="25" t="s">
        <v>1304</v>
      </c>
      <c r="B549" s="25" t="s">
        <v>2493</v>
      </c>
      <c r="C549" s="26">
        <v>180044</v>
      </c>
      <c r="D549" s="25" t="s">
        <v>1439</v>
      </c>
      <c r="E549" s="25" t="s">
        <v>1432</v>
      </c>
      <c r="F549" s="26" t="s">
        <v>215</v>
      </c>
      <c r="G549" s="26" t="s">
        <v>215</v>
      </c>
      <c r="H549" s="26">
        <v>1</v>
      </c>
      <c r="I549" s="26">
        <v>3</v>
      </c>
      <c r="J549" s="26">
        <v>1</v>
      </c>
      <c r="K549" s="26">
        <v>138</v>
      </c>
      <c r="L549" s="26" t="s">
        <v>28</v>
      </c>
      <c r="M549" s="27">
        <v>1818</v>
      </c>
      <c r="N549" s="30">
        <v>208479</v>
      </c>
      <c r="O549" s="26" t="s">
        <v>29</v>
      </c>
      <c r="P549" s="29"/>
      <c r="Q549" s="6"/>
      <c r="R549" s="29"/>
      <c r="S549" s="10"/>
      <c r="T549" s="8">
        <v>1</v>
      </c>
    </row>
    <row r="550" spans="1:26" ht="15.75" customHeight="1" outlineLevel="1" x14ac:dyDescent="0.35">
      <c r="A550" s="25"/>
      <c r="B550" s="53" t="s">
        <v>2494</v>
      </c>
      <c r="C550" s="26"/>
      <c r="D550" s="25"/>
      <c r="E550" s="25"/>
      <c r="F550" s="26"/>
      <c r="G550" s="26"/>
      <c r="H550" s="26">
        <f t="shared" ref="H550:I550" si="32">SUBTOTAL(9,H545:H549)</f>
        <v>5</v>
      </c>
      <c r="I550" s="26">
        <f t="shared" si="32"/>
        <v>15</v>
      </c>
      <c r="J550" s="26"/>
      <c r="K550" s="26"/>
      <c r="L550" s="26"/>
      <c r="M550" s="27"/>
      <c r="N550" s="30">
        <f>SUBTOTAL(9,N545:N549)</f>
        <v>1123382.29</v>
      </c>
      <c r="O550" s="26"/>
      <c r="P550" s="29"/>
      <c r="Q550" s="6"/>
      <c r="R550" s="29"/>
      <c r="S550" s="10"/>
      <c r="T550" s="8"/>
    </row>
    <row r="551" spans="1:26" ht="25.5" customHeight="1" x14ac:dyDescent="0.35">
      <c r="A551" s="19"/>
      <c r="B551" s="19"/>
      <c r="C551" s="19"/>
      <c r="D551" s="50"/>
      <c r="E551" s="50"/>
      <c r="F551" s="19"/>
      <c r="G551" s="19"/>
      <c r="H551" s="48"/>
      <c r="I551" s="48"/>
      <c r="J551" s="19"/>
      <c r="K551" s="48"/>
      <c r="L551" s="54"/>
      <c r="M551" s="48"/>
      <c r="N551" s="48"/>
      <c r="O551" s="19"/>
      <c r="P551" s="45"/>
      <c r="Q551" s="51"/>
      <c r="R551" s="26"/>
      <c r="S551" s="55"/>
      <c r="T551" s="44"/>
      <c r="U551" s="54"/>
      <c r="V551" s="50"/>
      <c r="W551" s="19"/>
      <c r="X551" s="19"/>
      <c r="Y551" s="19"/>
      <c r="Z551" s="19"/>
    </row>
    <row r="552" spans="1:26" ht="25.5" customHeight="1" x14ac:dyDescent="0.35">
      <c r="A552" s="19"/>
      <c r="B552" s="56" t="s">
        <v>2377</v>
      </c>
      <c r="C552" s="19"/>
      <c r="D552" s="50"/>
      <c r="E552" s="50"/>
      <c r="F552" s="57"/>
      <c r="G552" s="57"/>
      <c r="H552" s="171" t="s">
        <v>2377</v>
      </c>
      <c r="I552" s="172"/>
      <c r="J552" s="19"/>
      <c r="K552" s="48"/>
      <c r="L552" s="54"/>
      <c r="M552" s="48"/>
      <c r="N552" s="48"/>
      <c r="O552" s="19"/>
      <c r="P552" s="51"/>
      <c r="Q552" s="51"/>
      <c r="R552" s="26"/>
      <c r="S552" s="55"/>
      <c r="T552" s="44"/>
      <c r="U552" s="54"/>
      <c r="V552" s="50"/>
      <c r="W552" s="19"/>
      <c r="X552" s="19"/>
      <c r="Y552" s="19"/>
      <c r="Z552" s="19"/>
    </row>
    <row r="553" spans="1:26" ht="25.5" customHeight="1" x14ac:dyDescent="0.35">
      <c r="A553" s="19"/>
      <c r="B553" s="19"/>
      <c r="C553" s="19"/>
      <c r="D553" s="50"/>
      <c r="E553" s="50"/>
      <c r="F553" s="19"/>
      <c r="G553" s="19"/>
      <c r="H553" s="19"/>
      <c r="I553" s="19"/>
      <c r="J553" s="19"/>
      <c r="K553" s="48"/>
      <c r="L553" s="54"/>
      <c r="M553" s="48"/>
      <c r="N553" s="48"/>
      <c r="O553" s="19"/>
      <c r="P553" s="51"/>
      <c r="Q553" s="51"/>
      <c r="R553" s="26"/>
      <c r="S553" s="55"/>
      <c r="T553" s="44"/>
      <c r="U553" s="54"/>
      <c r="V553" s="50"/>
      <c r="W553" s="19"/>
      <c r="X553" s="19"/>
      <c r="Y553" s="19"/>
      <c r="Z553" s="19"/>
    </row>
    <row r="554" spans="1:26" ht="25.5" customHeight="1" x14ac:dyDescent="0.35">
      <c r="A554" s="19"/>
      <c r="B554" s="19"/>
      <c r="C554" s="19"/>
      <c r="D554" s="50"/>
      <c r="E554" s="50"/>
      <c r="F554" s="19"/>
      <c r="G554" s="19"/>
      <c r="H554" s="48"/>
      <c r="I554" s="48"/>
      <c r="J554" s="19"/>
      <c r="K554" s="48"/>
      <c r="L554" s="54"/>
      <c r="M554" s="48"/>
      <c r="N554" s="48"/>
      <c r="O554" s="19"/>
      <c r="P554" s="51"/>
      <c r="Q554" s="51"/>
      <c r="R554" s="26"/>
      <c r="S554" s="55"/>
      <c r="T554" s="44"/>
      <c r="U554" s="54"/>
      <c r="V554" s="50"/>
      <c r="W554" s="19"/>
      <c r="X554" s="19"/>
      <c r="Y554" s="19"/>
      <c r="Z554" s="19"/>
    </row>
    <row r="555" spans="1:26" ht="25.5" customHeight="1" x14ac:dyDescent="0.35">
      <c r="A555" s="19"/>
      <c r="B555" s="19"/>
      <c r="C555" s="58"/>
      <c r="D555" s="78" t="s">
        <v>2432</v>
      </c>
      <c r="E555" s="50"/>
      <c r="F555" s="19"/>
      <c r="G555" s="19"/>
      <c r="H555" s="48"/>
      <c r="I555" s="48"/>
      <c r="J555" s="19"/>
      <c r="K555" s="48"/>
      <c r="L555" s="54"/>
      <c r="M555" s="173" t="s">
        <v>2433</v>
      </c>
      <c r="N555" s="172"/>
      <c r="O555" s="172"/>
      <c r="P555" s="51"/>
      <c r="Q555" s="51"/>
      <c r="R555" s="26"/>
      <c r="S555" s="55"/>
      <c r="T555" s="44"/>
      <c r="U555" s="54"/>
      <c r="V555" s="50"/>
      <c r="W555" s="19"/>
      <c r="X555" s="19"/>
      <c r="Y555" s="19"/>
      <c r="Z555" s="19"/>
    </row>
    <row r="556" spans="1:26" ht="29.25" customHeight="1" x14ac:dyDescent="0.35">
      <c r="A556" s="19"/>
      <c r="B556" s="19"/>
      <c r="C556" s="59"/>
      <c r="D556" s="56" t="s">
        <v>2434</v>
      </c>
      <c r="E556" s="60"/>
      <c r="F556" s="56"/>
      <c r="G556" s="56"/>
      <c r="H556" s="61"/>
      <c r="I556" s="61"/>
      <c r="J556" s="56"/>
      <c r="K556" s="61"/>
      <c r="L556" s="62"/>
      <c r="M556" s="174" t="s">
        <v>2435</v>
      </c>
      <c r="N556" s="172"/>
      <c r="O556" s="172"/>
      <c r="P556" s="63"/>
      <c r="Q556" s="51"/>
      <c r="R556" s="26"/>
      <c r="S556" s="55"/>
      <c r="T556" s="44"/>
      <c r="U556" s="54"/>
      <c r="V556" s="50"/>
      <c r="W556" s="19"/>
      <c r="X556" s="19"/>
      <c r="Y556" s="19"/>
      <c r="Z556" s="19"/>
    </row>
    <row r="557" spans="1:26" ht="15.75" customHeight="1" outlineLevel="2" x14ac:dyDescent="0.35">
      <c r="A557" s="25" t="s">
        <v>1573</v>
      </c>
      <c r="B557" s="25" t="s">
        <v>2495</v>
      </c>
      <c r="C557" s="26">
        <v>118059</v>
      </c>
      <c r="D557" s="25" t="s">
        <v>1599</v>
      </c>
      <c r="E557" s="25" t="s">
        <v>218</v>
      </c>
      <c r="F557" s="26" t="s">
        <v>90</v>
      </c>
      <c r="G557" s="26" t="s">
        <v>90</v>
      </c>
      <c r="H557" s="26">
        <v>1</v>
      </c>
      <c r="I557" s="26">
        <v>1</v>
      </c>
      <c r="J557" s="26">
        <v>1</v>
      </c>
      <c r="K557" s="26">
        <v>138</v>
      </c>
      <c r="L557" s="26" t="s">
        <v>28</v>
      </c>
      <c r="M557" s="27">
        <v>1859</v>
      </c>
      <c r="N557" s="28">
        <v>122092.55</v>
      </c>
      <c r="O557" s="26" t="s">
        <v>29</v>
      </c>
      <c r="P557" s="29"/>
      <c r="Q557" s="6"/>
      <c r="R557" s="29"/>
      <c r="S557" s="10"/>
      <c r="T557" s="8">
        <v>1</v>
      </c>
    </row>
    <row r="558" spans="1:26" ht="15.75" customHeight="1" outlineLevel="2" x14ac:dyDescent="0.35">
      <c r="A558" s="25" t="s">
        <v>1573</v>
      </c>
      <c r="B558" s="25" t="s">
        <v>2495</v>
      </c>
      <c r="C558" s="26">
        <v>118330</v>
      </c>
      <c r="D558" s="25" t="s">
        <v>1614</v>
      </c>
      <c r="E558" s="25" t="s">
        <v>1612</v>
      </c>
      <c r="F558" s="26" t="s">
        <v>90</v>
      </c>
      <c r="G558" s="26" t="s">
        <v>90</v>
      </c>
      <c r="H558" s="26">
        <v>1</v>
      </c>
      <c r="I558" s="26">
        <v>3</v>
      </c>
      <c r="J558" s="26">
        <v>1</v>
      </c>
      <c r="K558" s="26">
        <v>138</v>
      </c>
      <c r="L558" s="26" t="s">
        <v>28</v>
      </c>
      <c r="M558" s="27">
        <v>1867</v>
      </c>
      <c r="N558" s="28">
        <v>281657</v>
      </c>
      <c r="O558" s="26" t="s">
        <v>29</v>
      </c>
      <c r="P558" s="29"/>
      <c r="Q558" s="6"/>
      <c r="R558" s="29"/>
      <c r="S558" s="10"/>
      <c r="T558" s="8">
        <v>1</v>
      </c>
    </row>
    <row r="559" spans="1:26" ht="15.75" customHeight="1" outlineLevel="2" x14ac:dyDescent="0.35">
      <c r="A559" s="25" t="s">
        <v>1573</v>
      </c>
      <c r="B559" s="25" t="s">
        <v>2495</v>
      </c>
      <c r="C559" s="26">
        <v>118474</v>
      </c>
      <c r="D559" s="25" t="s">
        <v>1620</v>
      </c>
      <c r="E559" s="25" t="s">
        <v>1621</v>
      </c>
      <c r="F559" s="26" t="s">
        <v>215</v>
      </c>
      <c r="G559" s="26" t="s">
        <v>215</v>
      </c>
      <c r="H559" s="26">
        <v>1</v>
      </c>
      <c r="I559" s="26">
        <v>18</v>
      </c>
      <c r="J559" s="26">
        <v>1</v>
      </c>
      <c r="K559" s="26">
        <v>138</v>
      </c>
      <c r="L559" s="26" t="s">
        <v>28</v>
      </c>
      <c r="M559" s="27">
        <v>1847</v>
      </c>
      <c r="N559" s="28">
        <v>1082997.1599999999</v>
      </c>
      <c r="O559" s="26" t="s">
        <v>29</v>
      </c>
      <c r="P559" s="29"/>
      <c r="Q559" s="6"/>
      <c r="R559" s="29"/>
      <c r="S559" s="10"/>
      <c r="T559" s="8">
        <v>1</v>
      </c>
    </row>
    <row r="560" spans="1:26" ht="15.75" customHeight="1" outlineLevel="2" x14ac:dyDescent="0.35">
      <c r="A560" s="25" t="s">
        <v>1573</v>
      </c>
      <c r="B560" s="25" t="s">
        <v>2495</v>
      </c>
      <c r="C560" s="26">
        <v>118476</v>
      </c>
      <c r="D560" s="25" t="s">
        <v>1622</v>
      </c>
      <c r="E560" s="25" t="s">
        <v>1621</v>
      </c>
      <c r="F560" s="26" t="s">
        <v>215</v>
      </c>
      <c r="G560" s="26" t="s">
        <v>215</v>
      </c>
      <c r="H560" s="26">
        <v>1</v>
      </c>
      <c r="I560" s="26">
        <v>2</v>
      </c>
      <c r="J560" s="26">
        <v>1</v>
      </c>
      <c r="K560" s="26">
        <v>138</v>
      </c>
      <c r="L560" s="26" t="s">
        <v>28</v>
      </c>
      <c r="M560" s="27">
        <v>1848</v>
      </c>
      <c r="N560" s="28">
        <v>392980.38</v>
      </c>
      <c r="O560" s="26" t="s">
        <v>29</v>
      </c>
      <c r="P560" s="29"/>
      <c r="Q560" s="6"/>
      <c r="R560" s="29"/>
      <c r="S560" s="10"/>
      <c r="T560" s="8">
        <v>1</v>
      </c>
    </row>
    <row r="561" spans="1:26" ht="15.75" customHeight="1" outlineLevel="2" x14ac:dyDescent="0.35">
      <c r="A561" s="25" t="s">
        <v>1573</v>
      </c>
      <c r="B561" s="25" t="s">
        <v>2495</v>
      </c>
      <c r="C561" s="26">
        <v>118491</v>
      </c>
      <c r="D561" s="25" t="s">
        <v>1623</v>
      </c>
      <c r="E561" s="25" t="s">
        <v>1621</v>
      </c>
      <c r="F561" s="26" t="s">
        <v>215</v>
      </c>
      <c r="G561" s="26" t="s">
        <v>215</v>
      </c>
      <c r="H561" s="26">
        <v>1</v>
      </c>
      <c r="I561" s="26">
        <v>6</v>
      </c>
      <c r="J561" s="26">
        <v>1</v>
      </c>
      <c r="K561" s="26">
        <v>138</v>
      </c>
      <c r="L561" s="26" t="s">
        <v>28</v>
      </c>
      <c r="M561" s="27">
        <v>1841</v>
      </c>
      <c r="N561" s="28">
        <v>347696.8</v>
      </c>
      <c r="O561" s="26" t="s">
        <v>29</v>
      </c>
      <c r="P561" s="29"/>
      <c r="Q561" s="6"/>
      <c r="R561" s="29"/>
      <c r="S561" s="10"/>
      <c r="T561" s="8">
        <v>1</v>
      </c>
    </row>
    <row r="562" spans="1:26" ht="15.75" customHeight="1" outlineLevel="2" x14ac:dyDescent="0.35">
      <c r="A562" s="25" t="s">
        <v>1573</v>
      </c>
      <c r="B562" s="25" t="s">
        <v>2495</v>
      </c>
      <c r="C562" s="26">
        <v>118542</v>
      </c>
      <c r="D562" s="25" t="s">
        <v>1627</v>
      </c>
      <c r="E562" s="25" t="s">
        <v>1626</v>
      </c>
      <c r="F562" s="26" t="s">
        <v>215</v>
      </c>
      <c r="G562" s="26" t="s">
        <v>215</v>
      </c>
      <c r="H562" s="26">
        <v>1</v>
      </c>
      <c r="I562" s="26">
        <v>2</v>
      </c>
      <c r="J562" s="26">
        <v>1</v>
      </c>
      <c r="K562" s="26">
        <v>138</v>
      </c>
      <c r="L562" s="26" t="s">
        <v>28</v>
      </c>
      <c r="M562" s="27">
        <v>1850</v>
      </c>
      <c r="N562" s="28">
        <v>154103.28</v>
      </c>
      <c r="O562" s="26" t="s">
        <v>29</v>
      </c>
      <c r="P562" s="29"/>
      <c r="Q562" s="6"/>
      <c r="R562" s="29"/>
      <c r="S562" s="10"/>
      <c r="T562" s="8">
        <v>1</v>
      </c>
    </row>
    <row r="563" spans="1:26" ht="15.75" customHeight="1" outlineLevel="2" x14ac:dyDescent="0.35">
      <c r="A563" s="25" t="s">
        <v>1573</v>
      </c>
      <c r="B563" s="25" t="s">
        <v>2495</v>
      </c>
      <c r="C563" s="26">
        <v>118814</v>
      </c>
      <c r="D563" s="25" t="s">
        <v>1640</v>
      </c>
      <c r="E563" s="25" t="s">
        <v>1641</v>
      </c>
      <c r="F563" s="26" t="s">
        <v>90</v>
      </c>
      <c r="G563" s="26" t="s">
        <v>90</v>
      </c>
      <c r="H563" s="26">
        <v>1</v>
      </c>
      <c r="I563" s="26">
        <v>1</v>
      </c>
      <c r="J563" s="26">
        <v>1</v>
      </c>
      <c r="K563" s="26">
        <v>138</v>
      </c>
      <c r="L563" s="26" t="s">
        <v>28</v>
      </c>
      <c r="M563" s="27">
        <v>1869</v>
      </c>
      <c r="N563" s="28">
        <v>83692.63</v>
      </c>
      <c r="O563" s="26" t="s">
        <v>29</v>
      </c>
      <c r="P563" s="29"/>
      <c r="Q563" s="6"/>
      <c r="R563" s="29"/>
      <c r="S563" s="10"/>
      <c r="T563" s="8">
        <v>1</v>
      </c>
    </row>
    <row r="564" spans="1:26" ht="15.75" customHeight="1" outlineLevel="2" x14ac:dyDescent="0.35">
      <c r="A564" s="25" t="s">
        <v>1573</v>
      </c>
      <c r="B564" s="25" t="s">
        <v>2495</v>
      </c>
      <c r="C564" s="26">
        <v>186504</v>
      </c>
      <c r="D564" s="25" t="s">
        <v>1642</v>
      </c>
      <c r="E564" s="25" t="s">
        <v>1621</v>
      </c>
      <c r="F564" s="26" t="s">
        <v>215</v>
      </c>
      <c r="G564" s="26" t="s">
        <v>215</v>
      </c>
      <c r="H564" s="26">
        <v>1</v>
      </c>
      <c r="I564" s="26">
        <v>4</v>
      </c>
      <c r="J564" s="26">
        <v>1</v>
      </c>
      <c r="K564" s="26">
        <v>138</v>
      </c>
      <c r="L564" s="26" t="s">
        <v>28</v>
      </c>
      <c r="M564" s="27">
        <v>1846</v>
      </c>
      <c r="N564" s="28">
        <v>291626.73</v>
      </c>
      <c r="O564" s="26" t="s">
        <v>29</v>
      </c>
      <c r="P564" s="29"/>
      <c r="Q564" s="6"/>
      <c r="R564" s="29"/>
      <c r="S564" s="10"/>
      <c r="T564" s="8">
        <v>1</v>
      </c>
    </row>
    <row r="565" spans="1:26" ht="15.75" customHeight="1" outlineLevel="1" x14ac:dyDescent="0.35">
      <c r="A565" s="25"/>
      <c r="B565" s="53" t="s">
        <v>2496</v>
      </c>
      <c r="C565" s="26"/>
      <c r="D565" s="25"/>
      <c r="E565" s="25"/>
      <c r="F565" s="26"/>
      <c r="G565" s="26"/>
      <c r="H565" s="26">
        <f t="shared" ref="H565:I565" si="33">SUBTOTAL(9,H557:H564)</f>
        <v>8</v>
      </c>
      <c r="I565" s="26">
        <f t="shared" si="33"/>
        <v>37</v>
      </c>
      <c r="J565" s="26"/>
      <c r="K565" s="26"/>
      <c r="L565" s="26"/>
      <c r="M565" s="27"/>
      <c r="N565" s="28">
        <f>SUBTOTAL(9,N557:N564)</f>
        <v>2756846.5299999993</v>
      </c>
      <c r="O565" s="26"/>
      <c r="P565" s="29"/>
      <c r="Q565" s="6"/>
      <c r="R565" s="29"/>
      <c r="S565" s="10"/>
      <c r="T565" s="8"/>
    </row>
    <row r="566" spans="1:26" ht="25.5" customHeight="1" x14ac:dyDescent="0.35">
      <c r="A566" s="19"/>
      <c r="B566" s="19"/>
      <c r="C566" s="19"/>
      <c r="D566" s="50"/>
      <c r="E566" s="50"/>
      <c r="F566" s="19"/>
      <c r="G566" s="19"/>
      <c r="H566" s="48"/>
      <c r="I566" s="48"/>
      <c r="J566" s="19"/>
      <c r="K566" s="48"/>
      <c r="L566" s="54"/>
      <c r="M566" s="48"/>
      <c r="N566" s="48"/>
      <c r="O566" s="19"/>
      <c r="P566" s="45"/>
      <c r="Q566" s="51"/>
      <c r="R566" s="26"/>
      <c r="S566" s="55"/>
      <c r="T566" s="44"/>
      <c r="U566" s="54"/>
      <c r="V566" s="50"/>
      <c r="W566" s="19"/>
      <c r="X566" s="19"/>
      <c r="Y566" s="19"/>
      <c r="Z566" s="19"/>
    </row>
    <row r="567" spans="1:26" ht="25.5" customHeight="1" x14ac:dyDescent="0.35">
      <c r="A567" s="19"/>
      <c r="B567" s="56" t="s">
        <v>2377</v>
      </c>
      <c r="C567" s="19"/>
      <c r="D567" s="50"/>
      <c r="E567" s="50"/>
      <c r="F567" s="57"/>
      <c r="G567" s="57"/>
      <c r="H567" s="171" t="s">
        <v>2377</v>
      </c>
      <c r="I567" s="172"/>
      <c r="J567" s="19"/>
      <c r="K567" s="48"/>
      <c r="L567" s="54"/>
      <c r="M567" s="48"/>
      <c r="N567" s="48"/>
      <c r="O567" s="19"/>
      <c r="P567" s="51"/>
      <c r="Q567" s="51"/>
      <c r="R567" s="26"/>
      <c r="S567" s="55"/>
      <c r="T567" s="44"/>
      <c r="U567" s="54"/>
      <c r="V567" s="50"/>
      <c r="W567" s="19"/>
      <c r="X567" s="19"/>
      <c r="Y567" s="19"/>
      <c r="Z567" s="19"/>
    </row>
    <row r="568" spans="1:26" ht="25.5" customHeight="1" x14ac:dyDescent="0.35">
      <c r="A568" s="19"/>
      <c r="B568" s="19"/>
      <c r="C568" s="19"/>
      <c r="D568" s="50"/>
      <c r="E568" s="50"/>
      <c r="F568" s="19"/>
      <c r="G568" s="19"/>
      <c r="H568" s="19"/>
      <c r="I568" s="19"/>
      <c r="J568" s="19"/>
      <c r="K568" s="48"/>
      <c r="L568" s="54"/>
      <c r="M568" s="48"/>
      <c r="N568" s="48"/>
      <c r="O568" s="19"/>
      <c r="P568" s="51"/>
      <c r="Q568" s="51"/>
      <c r="R568" s="26"/>
      <c r="S568" s="55"/>
      <c r="T568" s="44"/>
      <c r="U568" s="54"/>
      <c r="V568" s="50"/>
      <c r="W568" s="19"/>
      <c r="X568" s="19"/>
      <c r="Y568" s="19"/>
      <c r="Z568" s="19"/>
    </row>
    <row r="569" spans="1:26" ht="25.5" customHeight="1" x14ac:dyDescent="0.35">
      <c r="A569" s="19"/>
      <c r="B569" s="19"/>
      <c r="C569" s="19"/>
      <c r="D569" s="50"/>
      <c r="E569" s="50"/>
      <c r="F569" s="19"/>
      <c r="G569" s="19"/>
      <c r="H569" s="48"/>
      <c r="I569" s="48"/>
      <c r="J569" s="19"/>
      <c r="K569" s="48"/>
      <c r="L569" s="54"/>
      <c r="M569" s="48"/>
      <c r="N569" s="48"/>
      <c r="O569" s="19"/>
      <c r="P569" s="51"/>
      <c r="Q569" s="51"/>
      <c r="R569" s="26"/>
      <c r="S569" s="55"/>
      <c r="T569" s="44"/>
      <c r="U569" s="54"/>
      <c r="V569" s="50"/>
      <c r="W569" s="19"/>
      <c r="X569" s="19"/>
      <c r="Y569" s="19"/>
      <c r="Z569" s="19"/>
    </row>
    <row r="570" spans="1:26" ht="25.5" customHeight="1" x14ac:dyDescent="0.35">
      <c r="A570" s="19"/>
      <c r="B570" s="19"/>
      <c r="C570" s="58"/>
      <c r="D570" s="78" t="s">
        <v>2432</v>
      </c>
      <c r="E570" s="50"/>
      <c r="F570" s="19"/>
      <c r="G570" s="19"/>
      <c r="H570" s="48"/>
      <c r="I570" s="48"/>
      <c r="J570" s="19"/>
      <c r="K570" s="48"/>
      <c r="L570" s="54"/>
      <c r="M570" s="173" t="s">
        <v>2433</v>
      </c>
      <c r="N570" s="172"/>
      <c r="O570" s="172"/>
      <c r="P570" s="51"/>
      <c r="Q570" s="51"/>
      <c r="R570" s="26"/>
      <c r="S570" s="55"/>
      <c r="T570" s="44"/>
      <c r="U570" s="54"/>
      <c r="V570" s="50"/>
      <c r="W570" s="19"/>
      <c r="X570" s="19"/>
      <c r="Y570" s="19"/>
      <c r="Z570" s="19"/>
    </row>
    <row r="571" spans="1:26" ht="29.25" customHeight="1" x14ac:dyDescent="0.35">
      <c r="A571" s="19"/>
      <c r="B571" s="19"/>
      <c r="C571" s="59"/>
      <c r="D571" s="56" t="s">
        <v>2434</v>
      </c>
      <c r="E571" s="60"/>
      <c r="F571" s="56"/>
      <c r="G571" s="56"/>
      <c r="H571" s="61"/>
      <c r="I571" s="61"/>
      <c r="J571" s="56"/>
      <c r="K571" s="61"/>
      <c r="L571" s="62"/>
      <c r="M571" s="174" t="s">
        <v>2435</v>
      </c>
      <c r="N571" s="172"/>
      <c r="O571" s="172"/>
      <c r="P571" s="63"/>
      <c r="Q571" s="51"/>
      <c r="R571" s="26"/>
      <c r="S571" s="55"/>
      <c r="T571" s="44"/>
      <c r="U571" s="54"/>
      <c r="V571" s="50"/>
      <c r="W571" s="19"/>
      <c r="X571" s="19"/>
      <c r="Y571" s="19"/>
      <c r="Z571" s="19"/>
    </row>
    <row r="572" spans="1:26" ht="15.75" customHeight="1" outlineLevel="2" x14ac:dyDescent="0.35">
      <c r="A572" s="25" t="s">
        <v>1573</v>
      </c>
      <c r="B572" s="25" t="s">
        <v>2497</v>
      </c>
      <c r="C572" s="26">
        <v>190008</v>
      </c>
      <c r="D572" s="25" t="s">
        <v>1771</v>
      </c>
      <c r="E572" s="25" t="s">
        <v>1772</v>
      </c>
      <c r="F572" s="26" t="s">
        <v>27</v>
      </c>
      <c r="G572" s="26" t="s">
        <v>27</v>
      </c>
      <c r="H572" s="26">
        <v>1</v>
      </c>
      <c r="I572" s="26">
        <v>4</v>
      </c>
      <c r="J572" s="26">
        <v>1</v>
      </c>
      <c r="K572" s="26">
        <v>138</v>
      </c>
      <c r="L572" s="26" t="s">
        <v>28</v>
      </c>
      <c r="M572" s="27">
        <v>1921</v>
      </c>
      <c r="N572" s="28">
        <v>75845.97</v>
      </c>
      <c r="O572" s="26" t="s">
        <v>29</v>
      </c>
      <c r="P572" s="29"/>
      <c r="Q572" s="6"/>
      <c r="R572" s="29"/>
      <c r="S572" s="10"/>
      <c r="T572" s="8">
        <v>1</v>
      </c>
    </row>
    <row r="573" spans="1:26" ht="15.75" customHeight="1" outlineLevel="1" x14ac:dyDescent="0.35">
      <c r="A573" s="25"/>
      <c r="B573" s="53" t="s">
        <v>2498</v>
      </c>
      <c r="C573" s="26"/>
      <c r="D573" s="25"/>
      <c r="E573" s="25"/>
      <c r="F573" s="26"/>
      <c r="G573" s="26"/>
      <c r="H573" s="26">
        <f t="shared" ref="H573:I573" si="34">SUBTOTAL(9,H572)</f>
        <v>1</v>
      </c>
      <c r="I573" s="26">
        <f t="shared" si="34"/>
        <v>4</v>
      </c>
      <c r="J573" s="26"/>
      <c r="K573" s="26"/>
      <c r="L573" s="26"/>
      <c r="M573" s="27"/>
      <c r="N573" s="28">
        <f>SUBTOTAL(9,N572)</f>
        <v>75845.97</v>
      </c>
      <c r="O573" s="26"/>
      <c r="P573" s="29"/>
      <c r="Q573" s="6"/>
      <c r="R573" s="29"/>
      <c r="S573" s="10"/>
      <c r="T573" s="8"/>
    </row>
    <row r="574" spans="1:26" ht="25.5" customHeight="1" x14ac:dyDescent="0.35">
      <c r="A574" s="19"/>
      <c r="B574" s="19"/>
      <c r="C574" s="19"/>
      <c r="D574" s="50"/>
      <c r="E574" s="50"/>
      <c r="F574" s="19"/>
      <c r="G574" s="19"/>
      <c r="H574" s="48"/>
      <c r="I574" s="48"/>
      <c r="J574" s="19"/>
      <c r="K574" s="48"/>
      <c r="L574" s="54"/>
      <c r="M574" s="48"/>
      <c r="N574" s="48"/>
      <c r="O574" s="19"/>
      <c r="P574" s="45"/>
      <c r="Q574" s="51"/>
      <c r="R574" s="26"/>
      <c r="S574" s="55"/>
      <c r="T574" s="44"/>
      <c r="U574" s="54"/>
      <c r="V574" s="50"/>
      <c r="W574" s="19"/>
      <c r="X574" s="19"/>
      <c r="Y574" s="19"/>
      <c r="Z574" s="19"/>
    </row>
    <row r="575" spans="1:26" ht="25.5" customHeight="1" x14ac:dyDescent="0.35">
      <c r="A575" s="19"/>
      <c r="B575" s="56" t="s">
        <v>2377</v>
      </c>
      <c r="C575" s="19"/>
      <c r="D575" s="50"/>
      <c r="E575" s="50"/>
      <c r="F575" s="57"/>
      <c r="G575" s="57"/>
      <c r="H575" s="171" t="s">
        <v>2377</v>
      </c>
      <c r="I575" s="172"/>
      <c r="J575" s="19"/>
      <c r="K575" s="48"/>
      <c r="L575" s="54"/>
      <c r="M575" s="48"/>
      <c r="N575" s="48"/>
      <c r="O575" s="19"/>
      <c r="P575" s="51"/>
      <c r="Q575" s="51"/>
      <c r="R575" s="26"/>
      <c r="S575" s="55"/>
      <c r="T575" s="44"/>
      <c r="U575" s="54"/>
      <c r="V575" s="50"/>
      <c r="W575" s="19"/>
      <c r="X575" s="19"/>
      <c r="Y575" s="19"/>
      <c r="Z575" s="19"/>
    </row>
    <row r="576" spans="1:26" ht="25.5" customHeight="1" x14ac:dyDescent="0.35">
      <c r="A576" s="19"/>
      <c r="B576" s="19"/>
      <c r="C576" s="19"/>
      <c r="D576" s="50"/>
      <c r="E576" s="50"/>
      <c r="F576" s="19"/>
      <c r="G576" s="19"/>
      <c r="H576" s="19"/>
      <c r="I576" s="19"/>
      <c r="J576" s="19"/>
      <c r="K576" s="48"/>
      <c r="L576" s="54"/>
      <c r="M576" s="48"/>
      <c r="N576" s="48"/>
      <c r="O576" s="19"/>
      <c r="P576" s="51"/>
      <c r="Q576" s="51"/>
      <c r="R576" s="26"/>
      <c r="S576" s="55"/>
      <c r="T576" s="44"/>
      <c r="U576" s="54"/>
      <c r="V576" s="50"/>
      <c r="W576" s="19"/>
      <c r="X576" s="19"/>
      <c r="Y576" s="19"/>
      <c r="Z576" s="19"/>
    </row>
    <row r="577" spans="1:26" ht="25.5" customHeight="1" x14ac:dyDescent="0.35">
      <c r="A577" s="19"/>
      <c r="B577" s="19"/>
      <c r="C577" s="19"/>
      <c r="D577" s="50"/>
      <c r="E577" s="50"/>
      <c r="F577" s="19"/>
      <c r="G577" s="19"/>
      <c r="H577" s="48"/>
      <c r="I577" s="48"/>
      <c r="J577" s="19"/>
      <c r="K577" s="48"/>
      <c r="L577" s="54"/>
      <c r="M577" s="48"/>
      <c r="N577" s="48"/>
      <c r="O577" s="19"/>
      <c r="P577" s="51"/>
      <c r="Q577" s="51"/>
      <c r="R577" s="26"/>
      <c r="S577" s="55"/>
      <c r="T577" s="44"/>
      <c r="U577" s="54"/>
      <c r="V577" s="50"/>
      <c r="W577" s="19"/>
      <c r="X577" s="19"/>
      <c r="Y577" s="19"/>
      <c r="Z577" s="19"/>
    </row>
    <row r="578" spans="1:26" ht="25.5" customHeight="1" x14ac:dyDescent="0.35">
      <c r="A578" s="19"/>
      <c r="B578" s="19"/>
      <c r="C578" s="58"/>
      <c r="D578" s="78" t="s">
        <v>2432</v>
      </c>
      <c r="E578" s="50"/>
      <c r="F578" s="19"/>
      <c r="G578" s="19"/>
      <c r="H578" s="48"/>
      <c r="I578" s="48"/>
      <c r="J578" s="19"/>
      <c r="K578" s="48"/>
      <c r="L578" s="54"/>
      <c r="M578" s="173" t="s">
        <v>2433</v>
      </c>
      <c r="N578" s="172"/>
      <c r="O578" s="172"/>
      <c r="P578" s="51"/>
      <c r="Q578" s="51"/>
      <c r="R578" s="26"/>
      <c r="S578" s="55"/>
      <c r="T578" s="44"/>
      <c r="U578" s="54"/>
      <c r="V578" s="50"/>
      <c r="W578" s="19"/>
      <c r="X578" s="19"/>
      <c r="Y578" s="19"/>
      <c r="Z578" s="19"/>
    </row>
    <row r="579" spans="1:26" ht="29.25" customHeight="1" x14ac:dyDescent="0.35">
      <c r="A579" s="19"/>
      <c r="B579" s="19"/>
      <c r="C579" s="59"/>
      <c r="D579" s="56" t="s">
        <v>2434</v>
      </c>
      <c r="E579" s="60"/>
      <c r="F579" s="56"/>
      <c r="G579" s="56"/>
      <c r="H579" s="61"/>
      <c r="I579" s="61"/>
      <c r="J579" s="56"/>
      <c r="K579" s="61"/>
      <c r="L579" s="62"/>
      <c r="M579" s="174" t="s">
        <v>2435</v>
      </c>
      <c r="N579" s="172"/>
      <c r="O579" s="172"/>
      <c r="P579" s="63"/>
      <c r="Q579" s="51"/>
      <c r="R579" s="26"/>
      <c r="S579" s="55"/>
      <c r="T579" s="44"/>
      <c r="U579" s="54"/>
      <c r="V579" s="50"/>
      <c r="W579" s="19"/>
      <c r="X579" s="19"/>
      <c r="Y579" s="19"/>
      <c r="Z579" s="19"/>
    </row>
    <row r="580" spans="1:26" ht="15.75" customHeight="1" outlineLevel="2" x14ac:dyDescent="0.35">
      <c r="A580" s="25" t="s">
        <v>1794</v>
      </c>
      <c r="B580" s="25" t="s">
        <v>2499</v>
      </c>
      <c r="C580" s="26">
        <v>122324</v>
      </c>
      <c r="D580" s="25" t="s">
        <v>888</v>
      </c>
      <c r="E580" s="25" t="s">
        <v>1799</v>
      </c>
      <c r="F580" s="26" t="s">
        <v>27</v>
      </c>
      <c r="G580" s="26" t="s">
        <v>27</v>
      </c>
      <c r="H580" s="26">
        <v>1</v>
      </c>
      <c r="I580" s="26">
        <v>1</v>
      </c>
      <c r="J580" s="26">
        <v>1</v>
      </c>
      <c r="K580" s="26">
        <v>138</v>
      </c>
      <c r="L580" s="26" t="s">
        <v>28</v>
      </c>
      <c r="M580" s="27">
        <v>1927</v>
      </c>
      <c r="N580" s="30">
        <v>190242.77</v>
      </c>
      <c r="O580" s="26" t="s">
        <v>29</v>
      </c>
      <c r="P580" s="29"/>
      <c r="Q580" s="6"/>
      <c r="R580" s="29"/>
      <c r="S580" s="10"/>
      <c r="T580" s="8">
        <v>1</v>
      </c>
    </row>
    <row r="581" spans="1:26" ht="15.75" customHeight="1" outlineLevel="2" x14ac:dyDescent="0.35">
      <c r="A581" s="25" t="s">
        <v>1794</v>
      </c>
      <c r="B581" s="25" t="s">
        <v>2499</v>
      </c>
      <c r="C581" s="26">
        <v>122330</v>
      </c>
      <c r="D581" s="25" t="s">
        <v>1801</v>
      </c>
      <c r="E581" s="25" t="s">
        <v>1799</v>
      </c>
      <c r="F581" s="26" t="s">
        <v>27</v>
      </c>
      <c r="G581" s="26" t="s">
        <v>27</v>
      </c>
      <c r="H581" s="26">
        <v>1</v>
      </c>
      <c r="I581" s="26">
        <v>2</v>
      </c>
      <c r="J581" s="26">
        <v>1</v>
      </c>
      <c r="K581" s="26">
        <v>138</v>
      </c>
      <c r="L581" s="26" t="s">
        <v>28</v>
      </c>
      <c r="M581" s="27">
        <v>1943</v>
      </c>
      <c r="N581" s="30">
        <v>228038.08</v>
      </c>
      <c r="O581" s="26" t="s">
        <v>29</v>
      </c>
      <c r="P581" s="29"/>
      <c r="Q581" s="6"/>
      <c r="R581" s="29"/>
      <c r="S581" s="10"/>
      <c r="T581" s="8">
        <v>1</v>
      </c>
    </row>
    <row r="582" spans="1:26" ht="15.75" customHeight="1" outlineLevel="2" x14ac:dyDescent="0.35">
      <c r="A582" s="25" t="s">
        <v>1794</v>
      </c>
      <c r="B582" s="25" t="s">
        <v>2499</v>
      </c>
      <c r="C582" s="26">
        <v>122331</v>
      </c>
      <c r="D582" s="25" t="s">
        <v>1802</v>
      </c>
      <c r="E582" s="25" t="s">
        <v>1799</v>
      </c>
      <c r="F582" s="26" t="s">
        <v>27</v>
      </c>
      <c r="G582" s="26" t="s">
        <v>27</v>
      </c>
      <c r="H582" s="26">
        <v>1</v>
      </c>
      <c r="I582" s="26">
        <v>1</v>
      </c>
      <c r="J582" s="26">
        <v>1</v>
      </c>
      <c r="K582" s="26">
        <v>138</v>
      </c>
      <c r="L582" s="26" t="s">
        <v>28</v>
      </c>
      <c r="M582" s="27">
        <v>1948</v>
      </c>
      <c r="N582" s="30">
        <v>171252.93</v>
      </c>
      <c r="O582" s="26" t="s">
        <v>29</v>
      </c>
      <c r="P582" s="29"/>
      <c r="Q582" s="6"/>
      <c r="R582" s="29"/>
      <c r="S582" s="10"/>
      <c r="T582" s="8">
        <v>1</v>
      </c>
    </row>
    <row r="583" spans="1:26" ht="15.75" customHeight="1" outlineLevel="2" x14ac:dyDescent="0.35">
      <c r="A583" s="25" t="s">
        <v>1794</v>
      </c>
      <c r="B583" s="25" t="s">
        <v>2499</v>
      </c>
      <c r="C583" s="26">
        <v>122333</v>
      </c>
      <c r="D583" s="25" t="s">
        <v>1803</v>
      </c>
      <c r="E583" s="25" t="s">
        <v>1799</v>
      </c>
      <c r="F583" s="26" t="s">
        <v>27</v>
      </c>
      <c r="G583" s="26" t="s">
        <v>27</v>
      </c>
      <c r="H583" s="26">
        <v>1</v>
      </c>
      <c r="I583" s="26">
        <v>1</v>
      </c>
      <c r="J583" s="26">
        <v>1</v>
      </c>
      <c r="K583" s="26">
        <v>138</v>
      </c>
      <c r="L583" s="26" t="s">
        <v>28</v>
      </c>
      <c r="M583" s="27">
        <v>1951</v>
      </c>
      <c r="N583" s="30">
        <v>189411.34</v>
      </c>
      <c r="O583" s="26" t="s">
        <v>29</v>
      </c>
      <c r="P583" s="29"/>
      <c r="Q583" s="6"/>
      <c r="R583" s="29"/>
      <c r="S583" s="10"/>
      <c r="T583" s="8">
        <v>1</v>
      </c>
    </row>
    <row r="584" spans="1:26" ht="15.75" customHeight="1" outlineLevel="2" x14ac:dyDescent="0.35">
      <c r="A584" s="25" t="s">
        <v>1794</v>
      </c>
      <c r="B584" s="25" t="s">
        <v>2499</v>
      </c>
      <c r="C584" s="26">
        <v>122336</v>
      </c>
      <c r="D584" s="25" t="s">
        <v>1804</v>
      </c>
      <c r="E584" s="25" t="s">
        <v>1799</v>
      </c>
      <c r="F584" s="26" t="s">
        <v>27</v>
      </c>
      <c r="G584" s="26" t="s">
        <v>27</v>
      </c>
      <c r="H584" s="26">
        <v>1</v>
      </c>
      <c r="I584" s="26">
        <v>2</v>
      </c>
      <c r="J584" s="26">
        <v>1</v>
      </c>
      <c r="K584" s="26">
        <v>138</v>
      </c>
      <c r="L584" s="26" t="s">
        <v>28</v>
      </c>
      <c r="M584" s="27">
        <v>1967</v>
      </c>
      <c r="N584" s="30">
        <v>245013.26</v>
      </c>
      <c r="O584" s="26" t="s">
        <v>29</v>
      </c>
      <c r="P584" s="29"/>
      <c r="Q584" s="6"/>
      <c r="R584" s="29"/>
      <c r="S584" s="10"/>
      <c r="T584" s="8">
        <v>1</v>
      </c>
    </row>
    <row r="585" spans="1:26" ht="15.75" customHeight="1" outlineLevel="2" x14ac:dyDescent="0.35">
      <c r="A585" s="25" t="s">
        <v>1794</v>
      </c>
      <c r="B585" s="25" t="s">
        <v>2499</v>
      </c>
      <c r="C585" s="26">
        <v>122339</v>
      </c>
      <c r="D585" s="25" t="s">
        <v>1805</v>
      </c>
      <c r="E585" s="25" t="s">
        <v>1799</v>
      </c>
      <c r="F585" s="26" t="s">
        <v>27</v>
      </c>
      <c r="G585" s="26" t="s">
        <v>27</v>
      </c>
      <c r="H585" s="26">
        <v>1</v>
      </c>
      <c r="I585" s="26">
        <v>1</v>
      </c>
      <c r="J585" s="26">
        <v>1</v>
      </c>
      <c r="K585" s="26">
        <v>138</v>
      </c>
      <c r="L585" s="26" t="s">
        <v>28</v>
      </c>
      <c r="M585" s="27">
        <v>2000</v>
      </c>
      <c r="N585" s="28">
        <v>186392.77</v>
      </c>
      <c r="O585" s="26" t="s">
        <v>29</v>
      </c>
      <c r="P585" s="29"/>
      <c r="Q585" s="6"/>
      <c r="R585" s="29"/>
      <c r="S585" s="10"/>
      <c r="T585" s="8">
        <v>1</v>
      </c>
    </row>
    <row r="586" spans="1:26" ht="15.75" customHeight="1" outlineLevel="2" x14ac:dyDescent="0.35">
      <c r="A586" s="25" t="s">
        <v>1794</v>
      </c>
      <c r="B586" s="25" t="s">
        <v>2499</v>
      </c>
      <c r="C586" s="26">
        <v>122352</v>
      </c>
      <c r="D586" s="25" t="s">
        <v>299</v>
      </c>
      <c r="E586" s="25" t="s">
        <v>1806</v>
      </c>
      <c r="F586" s="26" t="s">
        <v>27</v>
      </c>
      <c r="G586" s="26" t="s">
        <v>27</v>
      </c>
      <c r="H586" s="26">
        <v>1</v>
      </c>
      <c r="I586" s="26">
        <v>1</v>
      </c>
      <c r="J586" s="26">
        <v>1</v>
      </c>
      <c r="K586" s="26">
        <v>138</v>
      </c>
      <c r="L586" s="26" t="s">
        <v>28</v>
      </c>
      <c r="M586" s="27">
        <v>1984</v>
      </c>
      <c r="N586" s="30">
        <v>195849.99</v>
      </c>
      <c r="O586" s="26" t="s">
        <v>29</v>
      </c>
      <c r="P586" s="29"/>
      <c r="Q586" s="6"/>
      <c r="R586" s="29"/>
      <c r="S586" s="10"/>
      <c r="T586" s="8">
        <v>1</v>
      </c>
    </row>
    <row r="587" spans="1:26" ht="15.75" customHeight="1" outlineLevel="2" x14ac:dyDescent="0.35">
      <c r="A587" s="25" t="s">
        <v>1794</v>
      </c>
      <c r="B587" s="25" t="s">
        <v>2499</v>
      </c>
      <c r="C587" s="26">
        <v>122400</v>
      </c>
      <c r="D587" s="25" t="s">
        <v>1796</v>
      </c>
      <c r="E587" s="25" t="s">
        <v>1797</v>
      </c>
      <c r="F587" s="26" t="s">
        <v>27</v>
      </c>
      <c r="G587" s="26" t="s">
        <v>27</v>
      </c>
      <c r="H587" s="26">
        <v>1</v>
      </c>
      <c r="I587" s="26">
        <v>2</v>
      </c>
      <c r="J587" s="26">
        <v>1</v>
      </c>
      <c r="K587" s="26">
        <v>138</v>
      </c>
      <c r="L587" s="26" t="s">
        <v>28</v>
      </c>
      <c r="M587" s="27">
        <v>1925</v>
      </c>
      <c r="N587" s="30">
        <v>245013.26</v>
      </c>
      <c r="O587" s="26" t="s">
        <v>29</v>
      </c>
      <c r="P587" s="29"/>
      <c r="Q587" s="6"/>
      <c r="R587" s="29"/>
      <c r="S587" s="10"/>
      <c r="T587" s="8">
        <v>1</v>
      </c>
    </row>
    <row r="588" spans="1:26" ht="15.75" customHeight="1" outlineLevel="2" x14ac:dyDescent="0.35">
      <c r="A588" s="25" t="s">
        <v>1794</v>
      </c>
      <c r="B588" s="25" t="s">
        <v>2499</v>
      </c>
      <c r="C588" s="26">
        <v>122409</v>
      </c>
      <c r="D588" s="25" t="s">
        <v>1807</v>
      </c>
      <c r="E588" s="25" t="s">
        <v>1808</v>
      </c>
      <c r="F588" s="26" t="s">
        <v>27</v>
      </c>
      <c r="G588" s="26" t="s">
        <v>27</v>
      </c>
      <c r="H588" s="26">
        <v>1</v>
      </c>
      <c r="I588" s="26">
        <v>6</v>
      </c>
      <c r="J588" s="26">
        <v>1</v>
      </c>
      <c r="K588" s="26">
        <v>138</v>
      </c>
      <c r="L588" s="26" t="s">
        <v>28</v>
      </c>
      <c r="M588" s="27">
        <v>1934</v>
      </c>
      <c r="N588" s="28">
        <v>544518.25</v>
      </c>
      <c r="O588" s="26" t="s">
        <v>29</v>
      </c>
      <c r="P588" s="29"/>
      <c r="Q588" s="6"/>
      <c r="R588" s="29"/>
      <c r="S588" s="10"/>
      <c r="T588" s="8">
        <v>1</v>
      </c>
    </row>
    <row r="589" spans="1:26" ht="15.75" customHeight="1" outlineLevel="2" x14ac:dyDescent="0.35">
      <c r="A589" s="25" t="s">
        <v>1794</v>
      </c>
      <c r="B589" s="25" t="s">
        <v>2499</v>
      </c>
      <c r="C589" s="26">
        <v>122411</v>
      </c>
      <c r="D589" s="25" t="s">
        <v>1809</v>
      </c>
      <c r="E589" s="25" t="s">
        <v>1808</v>
      </c>
      <c r="F589" s="26" t="s">
        <v>27</v>
      </c>
      <c r="G589" s="26" t="s">
        <v>27</v>
      </c>
      <c r="H589" s="26">
        <v>1</v>
      </c>
      <c r="I589" s="26">
        <v>2</v>
      </c>
      <c r="J589" s="26">
        <v>1</v>
      </c>
      <c r="K589" s="26">
        <v>138</v>
      </c>
      <c r="L589" s="26" t="s">
        <v>28</v>
      </c>
      <c r="M589" s="27">
        <v>1942</v>
      </c>
      <c r="N589" s="30">
        <v>232283.83</v>
      </c>
      <c r="O589" s="26" t="s">
        <v>29</v>
      </c>
      <c r="P589" s="29"/>
      <c r="Q589" s="6"/>
      <c r="R589" s="29"/>
      <c r="S589" s="10"/>
      <c r="T589" s="8">
        <v>1</v>
      </c>
    </row>
    <row r="590" spans="1:26" ht="15.75" customHeight="1" outlineLevel="2" x14ac:dyDescent="0.35">
      <c r="A590" s="25" t="s">
        <v>1794</v>
      </c>
      <c r="B590" s="25" t="s">
        <v>2499</v>
      </c>
      <c r="C590" s="26">
        <v>122422</v>
      </c>
      <c r="D590" s="25" t="s">
        <v>1810</v>
      </c>
      <c r="E590" s="25" t="s">
        <v>1808</v>
      </c>
      <c r="F590" s="26" t="s">
        <v>27</v>
      </c>
      <c r="G590" s="26" t="s">
        <v>27</v>
      </c>
      <c r="H590" s="26">
        <v>1</v>
      </c>
      <c r="I590" s="26">
        <v>1</v>
      </c>
      <c r="J590" s="26">
        <v>1</v>
      </c>
      <c r="K590" s="26">
        <v>138</v>
      </c>
      <c r="L590" s="26" t="s">
        <v>28</v>
      </c>
      <c r="M590" s="27">
        <v>1970</v>
      </c>
      <c r="N590" s="30">
        <v>190108.9</v>
      </c>
      <c r="O590" s="26" t="s">
        <v>29</v>
      </c>
      <c r="P590" s="29"/>
      <c r="Q590" s="6"/>
      <c r="R590" s="29"/>
      <c r="S590" s="10"/>
      <c r="T590" s="8">
        <v>1</v>
      </c>
    </row>
    <row r="591" spans="1:26" ht="15.75" customHeight="1" outlineLevel="2" x14ac:dyDescent="0.35">
      <c r="A591" s="25" t="s">
        <v>1794</v>
      </c>
      <c r="B591" s="25" t="s">
        <v>2499</v>
      </c>
      <c r="C591" s="26">
        <v>122431</v>
      </c>
      <c r="D591" s="25" t="s">
        <v>1811</v>
      </c>
      <c r="E591" s="25" t="s">
        <v>1812</v>
      </c>
      <c r="F591" s="26" t="s">
        <v>27</v>
      </c>
      <c r="G591" s="26" t="s">
        <v>27</v>
      </c>
      <c r="H591" s="26">
        <v>1</v>
      </c>
      <c r="I591" s="26">
        <v>2</v>
      </c>
      <c r="J591" s="26">
        <v>1</v>
      </c>
      <c r="K591" s="26">
        <v>138</v>
      </c>
      <c r="L591" s="26" t="s">
        <v>28</v>
      </c>
      <c r="M591" s="27">
        <v>1953</v>
      </c>
      <c r="N591" s="30">
        <v>220455.4</v>
      </c>
      <c r="O591" s="26" t="s">
        <v>29</v>
      </c>
      <c r="P591" s="29"/>
      <c r="Q591" s="6"/>
      <c r="R591" s="29"/>
      <c r="S591" s="10"/>
      <c r="T591" s="8">
        <v>1</v>
      </c>
    </row>
    <row r="592" spans="1:26" ht="15.75" customHeight="1" outlineLevel="2" x14ac:dyDescent="0.35">
      <c r="A592" s="25" t="s">
        <v>1794</v>
      </c>
      <c r="B592" s="25" t="s">
        <v>2499</v>
      </c>
      <c r="C592" s="26">
        <v>122437</v>
      </c>
      <c r="D592" s="25" t="s">
        <v>239</v>
      </c>
      <c r="E592" s="25" t="s">
        <v>1812</v>
      </c>
      <c r="F592" s="26" t="s">
        <v>27</v>
      </c>
      <c r="G592" s="26" t="s">
        <v>27</v>
      </c>
      <c r="H592" s="26">
        <v>1</v>
      </c>
      <c r="I592" s="26">
        <v>4</v>
      </c>
      <c r="J592" s="26">
        <v>1</v>
      </c>
      <c r="K592" s="26">
        <v>138</v>
      </c>
      <c r="L592" s="26" t="s">
        <v>28</v>
      </c>
      <c r="M592" s="27">
        <v>1983</v>
      </c>
      <c r="N592" s="28">
        <v>392961.69</v>
      </c>
      <c r="O592" s="26" t="s">
        <v>29</v>
      </c>
      <c r="P592" s="29"/>
      <c r="Q592" s="6"/>
      <c r="R592" s="29"/>
      <c r="S592" s="10"/>
      <c r="T592" s="8">
        <v>1</v>
      </c>
    </row>
    <row r="593" spans="1:20" ht="15.75" customHeight="1" outlineLevel="2" x14ac:dyDescent="0.35">
      <c r="A593" s="25" t="s">
        <v>1794</v>
      </c>
      <c r="B593" s="25" t="s">
        <v>2499</v>
      </c>
      <c r="C593" s="26">
        <v>122443</v>
      </c>
      <c r="D593" s="25" t="s">
        <v>1813</v>
      </c>
      <c r="E593" s="25" t="s">
        <v>1812</v>
      </c>
      <c r="F593" s="26" t="s">
        <v>27</v>
      </c>
      <c r="G593" s="26" t="s">
        <v>27</v>
      </c>
      <c r="H593" s="26">
        <v>1</v>
      </c>
      <c r="I593" s="26">
        <v>1</v>
      </c>
      <c r="J593" s="26">
        <v>1</v>
      </c>
      <c r="K593" s="26">
        <v>138</v>
      </c>
      <c r="L593" s="26" t="s">
        <v>28</v>
      </c>
      <c r="M593" s="27">
        <v>1997</v>
      </c>
      <c r="N593" s="28">
        <v>170447.81</v>
      </c>
      <c r="O593" s="26" t="s">
        <v>29</v>
      </c>
      <c r="P593" s="29"/>
      <c r="Q593" s="6"/>
      <c r="R593" s="29"/>
      <c r="S593" s="10"/>
      <c r="T593" s="8">
        <v>1</v>
      </c>
    </row>
    <row r="594" spans="1:20" ht="15.75" customHeight="1" outlineLevel="2" x14ac:dyDescent="0.35">
      <c r="A594" s="25" t="s">
        <v>1794</v>
      </c>
      <c r="B594" s="25" t="s">
        <v>2499</v>
      </c>
      <c r="C594" s="26">
        <v>122447</v>
      </c>
      <c r="D594" s="25" t="s">
        <v>1814</v>
      </c>
      <c r="E594" s="25" t="s">
        <v>1812</v>
      </c>
      <c r="F594" s="26" t="s">
        <v>27</v>
      </c>
      <c r="G594" s="26" t="s">
        <v>27</v>
      </c>
      <c r="H594" s="26">
        <v>1</v>
      </c>
      <c r="I594" s="26">
        <v>5</v>
      </c>
      <c r="J594" s="26">
        <v>1</v>
      </c>
      <c r="K594" s="26">
        <v>138</v>
      </c>
      <c r="L594" s="26" t="s">
        <v>28</v>
      </c>
      <c r="M594" s="27">
        <v>1938</v>
      </c>
      <c r="N594" s="28">
        <v>470006.38</v>
      </c>
      <c r="O594" s="26" t="s">
        <v>29</v>
      </c>
      <c r="P594" s="29"/>
      <c r="Q594" s="6"/>
      <c r="R594" s="29"/>
      <c r="S594" s="10"/>
      <c r="T594" s="8">
        <v>1</v>
      </c>
    </row>
    <row r="595" spans="1:20" ht="15.75" customHeight="1" outlineLevel="2" x14ac:dyDescent="0.35">
      <c r="A595" s="25" t="s">
        <v>1794</v>
      </c>
      <c r="B595" s="25" t="s">
        <v>2499</v>
      </c>
      <c r="C595" s="26">
        <v>122448</v>
      </c>
      <c r="D595" s="25" t="s">
        <v>1815</v>
      </c>
      <c r="E595" s="25" t="s">
        <v>1812</v>
      </c>
      <c r="F595" s="26" t="s">
        <v>27</v>
      </c>
      <c r="G595" s="26" t="s">
        <v>27</v>
      </c>
      <c r="H595" s="26">
        <v>1</v>
      </c>
      <c r="I595" s="26">
        <v>1</v>
      </c>
      <c r="J595" s="26">
        <v>1</v>
      </c>
      <c r="K595" s="26">
        <v>138</v>
      </c>
      <c r="L595" s="26" t="s">
        <v>28</v>
      </c>
      <c r="M595" s="27">
        <v>1944</v>
      </c>
      <c r="N595" s="30">
        <v>168114.82</v>
      </c>
      <c r="O595" s="26" t="s">
        <v>29</v>
      </c>
      <c r="P595" s="29"/>
      <c r="Q595" s="6"/>
      <c r="R595" s="29"/>
      <c r="S595" s="10"/>
      <c r="T595" s="8">
        <v>1</v>
      </c>
    </row>
    <row r="596" spans="1:20" ht="15.75" customHeight="1" outlineLevel="2" x14ac:dyDescent="0.35">
      <c r="A596" s="25" t="s">
        <v>1794</v>
      </c>
      <c r="B596" s="25" t="s">
        <v>2499</v>
      </c>
      <c r="C596" s="26">
        <v>122452</v>
      </c>
      <c r="D596" s="25" t="s">
        <v>1816</v>
      </c>
      <c r="E596" s="25" t="s">
        <v>1812</v>
      </c>
      <c r="F596" s="26" t="s">
        <v>27</v>
      </c>
      <c r="G596" s="26" t="s">
        <v>27</v>
      </c>
      <c r="H596" s="26">
        <v>1</v>
      </c>
      <c r="I596" s="26">
        <v>5</v>
      </c>
      <c r="J596" s="26">
        <v>1</v>
      </c>
      <c r="K596" s="26">
        <v>138</v>
      </c>
      <c r="L596" s="26" t="s">
        <v>28</v>
      </c>
      <c r="M596" s="27">
        <v>1957</v>
      </c>
      <c r="N596" s="28">
        <v>451823.73</v>
      </c>
      <c r="O596" s="26" t="s">
        <v>29</v>
      </c>
      <c r="P596" s="29"/>
      <c r="Q596" s="6"/>
      <c r="R596" s="29"/>
      <c r="S596" s="10"/>
      <c r="T596" s="8">
        <v>1</v>
      </c>
    </row>
    <row r="597" spans="1:20" ht="15.75" customHeight="1" outlineLevel="2" x14ac:dyDescent="0.35">
      <c r="A597" s="25" t="s">
        <v>1794</v>
      </c>
      <c r="B597" s="25" t="s">
        <v>2499</v>
      </c>
      <c r="C597" s="26">
        <v>122464</v>
      </c>
      <c r="D597" s="25" t="s">
        <v>1817</v>
      </c>
      <c r="E597" s="25" t="s">
        <v>1812</v>
      </c>
      <c r="F597" s="26" t="s">
        <v>27</v>
      </c>
      <c r="G597" s="26" t="s">
        <v>27</v>
      </c>
      <c r="H597" s="26">
        <v>1</v>
      </c>
      <c r="I597" s="26">
        <v>3</v>
      </c>
      <c r="J597" s="26">
        <v>1</v>
      </c>
      <c r="K597" s="26">
        <v>138</v>
      </c>
      <c r="L597" s="26" t="s">
        <v>28</v>
      </c>
      <c r="M597" s="27">
        <v>1971</v>
      </c>
      <c r="N597" s="28">
        <v>380236.45</v>
      </c>
      <c r="O597" s="26" t="s">
        <v>29</v>
      </c>
      <c r="P597" s="29"/>
      <c r="Q597" s="6"/>
      <c r="R597" s="29"/>
      <c r="S597" s="10"/>
      <c r="T597" s="8">
        <v>1</v>
      </c>
    </row>
    <row r="598" spans="1:20" ht="15.75" customHeight="1" outlineLevel="2" x14ac:dyDescent="0.35">
      <c r="A598" s="25" t="s">
        <v>1794</v>
      </c>
      <c r="B598" s="25" t="s">
        <v>2499</v>
      </c>
      <c r="C598" s="26">
        <v>122465</v>
      </c>
      <c r="D598" s="25" t="s">
        <v>1818</v>
      </c>
      <c r="E598" s="25" t="s">
        <v>1812</v>
      </c>
      <c r="F598" s="26" t="s">
        <v>27</v>
      </c>
      <c r="G598" s="26" t="s">
        <v>27</v>
      </c>
      <c r="H598" s="26">
        <v>1</v>
      </c>
      <c r="I598" s="26">
        <v>3</v>
      </c>
      <c r="J598" s="26">
        <v>1</v>
      </c>
      <c r="K598" s="26">
        <v>138</v>
      </c>
      <c r="L598" s="26" t="s">
        <v>28</v>
      </c>
      <c r="M598" s="27">
        <v>1973</v>
      </c>
      <c r="N598" s="28">
        <v>303437.3</v>
      </c>
      <c r="O598" s="26" t="s">
        <v>29</v>
      </c>
      <c r="P598" s="29"/>
      <c r="Q598" s="6"/>
      <c r="R598" s="29"/>
      <c r="S598" s="10"/>
      <c r="T598" s="8">
        <v>1</v>
      </c>
    </row>
    <row r="599" spans="1:20" ht="15.75" customHeight="1" outlineLevel="2" x14ac:dyDescent="0.35">
      <c r="A599" s="25" t="s">
        <v>1794</v>
      </c>
      <c r="B599" s="25" t="s">
        <v>2499</v>
      </c>
      <c r="C599" s="26">
        <v>122466</v>
      </c>
      <c r="D599" s="25" t="s">
        <v>1819</v>
      </c>
      <c r="E599" s="25" t="s">
        <v>1820</v>
      </c>
      <c r="F599" s="26" t="s">
        <v>27</v>
      </c>
      <c r="G599" s="26" t="s">
        <v>27</v>
      </c>
      <c r="H599" s="26">
        <v>1</v>
      </c>
      <c r="I599" s="26">
        <v>4</v>
      </c>
      <c r="J599" s="26">
        <v>1</v>
      </c>
      <c r="K599" s="26">
        <v>138</v>
      </c>
      <c r="L599" s="26" t="s">
        <v>28</v>
      </c>
      <c r="M599" s="27">
        <v>1986</v>
      </c>
      <c r="N599" s="30">
        <v>408495.62</v>
      </c>
      <c r="O599" s="26" t="s">
        <v>29</v>
      </c>
      <c r="P599" s="29"/>
      <c r="Q599" s="6"/>
      <c r="R599" s="29"/>
      <c r="S599" s="10"/>
      <c r="T599" s="8">
        <v>1</v>
      </c>
    </row>
    <row r="600" spans="1:20" ht="15.75" customHeight="1" outlineLevel="2" x14ac:dyDescent="0.35">
      <c r="A600" s="25" t="s">
        <v>1794</v>
      </c>
      <c r="B600" s="25" t="s">
        <v>2499</v>
      </c>
      <c r="C600" s="26">
        <v>122468</v>
      </c>
      <c r="D600" s="25" t="s">
        <v>1821</v>
      </c>
      <c r="E600" s="25" t="s">
        <v>1812</v>
      </c>
      <c r="F600" s="26" t="s">
        <v>27</v>
      </c>
      <c r="G600" s="26" t="s">
        <v>27</v>
      </c>
      <c r="H600" s="26">
        <v>1</v>
      </c>
      <c r="I600" s="26">
        <v>1</v>
      </c>
      <c r="J600" s="26">
        <v>1</v>
      </c>
      <c r="K600" s="26">
        <v>138</v>
      </c>
      <c r="L600" s="26" t="s">
        <v>28</v>
      </c>
      <c r="M600" s="27">
        <v>1993</v>
      </c>
      <c r="N600" s="28">
        <v>195849.99</v>
      </c>
      <c r="O600" s="26" t="s">
        <v>29</v>
      </c>
      <c r="P600" s="29"/>
      <c r="Q600" s="6"/>
      <c r="R600" s="29"/>
      <c r="S600" s="10"/>
      <c r="T600" s="8">
        <v>1</v>
      </c>
    </row>
    <row r="601" spans="1:20" ht="15.75" customHeight="1" outlineLevel="2" x14ac:dyDescent="0.35">
      <c r="A601" s="25" t="s">
        <v>1794</v>
      </c>
      <c r="B601" s="25" t="s">
        <v>2499</v>
      </c>
      <c r="C601" s="26">
        <v>122469</v>
      </c>
      <c r="D601" s="25" t="s">
        <v>1822</v>
      </c>
      <c r="E601" s="25" t="s">
        <v>1812</v>
      </c>
      <c r="F601" s="26" t="s">
        <v>27</v>
      </c>
      <c r="G601" s="26" t="s">
        <v>27</v>
      </c>
      <c r="H601" s="26">
        <v>1</v>
      </c>
      <c r="I601" s="26">
        <v>4</v>
      </c>
      <c r="J601" s="26">
        <v>1</v>
      </c>
      <c r="K601" s="26">
        <v>138</v>
      </c>
      <c r="L601" s="26" t="s">
        <v>28</v>
      </c>
      <c r="M601" s="27">
        <v>1998</v>
      </c>
      <c r="N601" s="28">
        <v>401627.55</v>
      </c>
      <c r="O601" s="26" t="s">
        <v>29</v>
      </c>
      <c r="P601" s="29"/>
      <c r="Q601" s="6"/>
      <c r="R601" s="29"/>
      <c r="S601" s="10"/>
      <c r="T601" s="8">
        <v>1</v>
      </c>
    </row>
    <row r="602" spans="1:20" ht="15.75" customHeight="1" outlineLevel="2" x14ac:dyDescent="0.35">
      <c r="A602" s="25" t="s">
        <v>1794</v>
      </c>
      <c r="B602" s="25" t="s">
        <v>2499</v>
      </c>
      <c r="C602" s="26">
        <v>122472</v>
      </c>
      <c r="D602" s="25" t="s">
        <v>1823</v>
      </c>
      <c r="E602" s="25" t="s">
        <v>1812</v>
      </c>
      <c r="F602" s="26" t="s">
        <v>27</v>
      </c>
      <c r="G602" s="26" t="s">
        <v>27</v>
      </c>
      <c r="H602" s="26">
        <v>1</v>
      </c>
      <c r="I602" s="26">
        <v>5</v>
      </c>
      <c r="J602" s="26">
        <v>1</v>
      </c>
      <c r="K602" s="26">
        <v>138</v>
      </c>
      <c r="L602" s="26" t="s">
        <v>28</v>
      </c>
      <c r="M602" s="27">
        <v>2003</v>
      </c>
      <c r="N602" s="28">
        <v>477742.36</v>
      </c>
      <c r="O602" s="26" t="s">
        <v>29</v>
      </c>
      <c r="P602" s="29"/>
      <c r="Q602" s="6"/>
      <c r="R602" s="29"/>
      <c r="S602" s="10"/>
      <c r="T602" s="8">
        <v>1</v>
      </c>
    </row>
    <row r="603" spans="1:20" ht="15.75" customHeight="1" outlineLevel="2" x14ac:dyDescent="0.35">
      <c r="A603" s="25" t="s">
        <v>1794</v>
      </c>
      <c r="B603" s="25" t="s">
        <v>2499</v>
      </c>
      <c r="C603" s="26">
        <v>122474</v>
      </c>
      <c r="D603" s="25" t="s">
        <v>1824</v>
      </c>
      <c r="E603" s="25" t="s">
        <v>1825</v>
      </c>
      <c r="F603" s="26" t="s">
        <v>27</v>
      </c>
      <c r="G603" s="26" t="s">
        <v>27</v>
      </c>
      <c r="H603" s="26">
        <v>1</v>
      </c>
      <c r="I603" s="26">
        <v>1</v>
      </c>
      <c r="J603" s="26">
        <v>1</v>
      </c>
      <c r="K603" s="26">
        <v>138</v>
      </c>
      <c r="L603" s="26" t="s">
        <v>28</v>
      </c>
      <c r="M603" s="27">
        <v>1928</v>
      </c>
      <c r="N603" s="30">
        <v>178353.68</v>
      </c>
      <c r="O603" s="26" t="s">
        <v>29</v>
      </c>
      <c r="P603" s="29"/>
      <c r="Q603" s="6"/>
      <c r="R603" s="29"/>
      <c r="S603" s="10"/>
      <c r="T603" s="8">
        <v>1</v>
      </c>
    </row>
    <row r="604" spans="1:20" ht="15.75" customHeight="1" outlineLevel="2" x14ac:dyDescent="0.35">
      <c r="A604" s="25" t="s">
        <v>1794</v>
      </c>
      <c r="B604" s="25" t="s">
        <v>2499</v>
      </c>
      <c r="C604" s="26">
        <v>122477</v>
      </c>
      <c r="D604" s="25" t="s">
        <v>1826</v>
      </c>
      <c r="E604" s="25" t="s">
        <v>1827</v>
      </c>
      <c r="F604" s="26" t="s">
        <v>27</v>
      </c>
      <c r="G604" s="26" t="s">
        <v>27</v>
      </c>
      <c r="H604" s="26">
        <v>1</v>
      </c>
      <c r="I604" s="26">
        <v>1</v>
      </c>
      <c r="J604" s="26">
        <v>1</v>
      </c>
      <c r="K604" s="26">
        <v>138</v>
      </c>
      <c r="L604" s="26" t="s">
        <v>28</v>
      </c>
      <c r="M604" s="27">
        <v>1940</v>
      </c>
      <c r="N604" s="30">
        <v>169583.63</v>
      </c>
      <c r="O604" s="26" t="s">
        <v>29</v>
      </c>
      <c r="P604" s="29"/>
      <c r="Q604" s="6"/>
      <c r="R604" s="29"/>
      <c r="S604" s="10"/>
      <c r="T604" s="8">
        <v>1</v>
      </c>
    </row>
    <row r="605" spans="1:20" ht="15.75" customHeight="1" outlineLevel="2" x14ac:dyDescent="0.35">
      <c r="A605" s="25" t="s">
        <v>1794</v>
      </c>
      <c r="B605" s="25" t="s">
        <v>2499</v>
      </c>
      <c r="C605" s="26">
        <v>122478</v>
      </c>
      <c r="D605" s="25" t="s">
        <v>1828</v>
      </c>
      <c r="E605" s="25" t="s">
        <v>1825</v>
      </c>
      <c r="F605" s="26" t="s">
        <v>27</v>
      </c>
      <c r="G605" s="26" t="s">
        <v>27</v>
      </c>
      <c r="H605" s="26">
        <v>1</v>
      </c>
      <c r="I605" s="26">
        <v>1</v>
      </c>
      <c r="J605" s="26">
        <v>1</v>
      </c>
      <c r="K605" s="26">
        <v>138</v>
      </c>
      <c r="L605" s="26" t="s">
        <v>28</v>
      </c>
      <c r="M605" s="27">
        <v>1945</v>
      </c>
      <c r="N605" s="30">
        <v>187667.44</v>
      </c>
      <c r="O605" s="26" t="s">
        <v>29</v>
      </c>
      <c r="P605" s="29"/>
      <c r="Q605" s="6"/>
      <c r="R605" s="29"/>
      <c r="S605" s="10"/>
      <c r="T605" s="8">
        <v>1</v>
      </c>
    </row>
    <row r="606" spans="1:20" ht="15.75" customHeight="1" outlineLevel="2" x14ac:dyDescent="0.35">
      <c r="A606" s="25" t="s">
        <v>1794</v>
      </c>
      <c r="B606" s="25" t="s">
        <v>2499</v>
      </c>
      <c r="C606" s="26">
        <v>122487</v>
      </c>
      <c r="D606" s="25" t="s">
        <v>1829</v>
      </c>
      <c r="E606" s="25" t="s">
        <v>1825</v>
      </c>
      <c r="F606" s="26" t="s">
        <v>27</v>
      </c>
      <c r="G606" s="26" t="s">
        <v>27</v>
      </c>
      <c r="H606" s="26">
        <v>1</v>
      </c>
      <c r="I606" s="26">
        <v>1</v>
      </c>
      <c r="J606" s="26">
        <v>1</v>
      </c>
      <c r="K606" s="26">
        <v>138</v>
      </c>
      <c r="L606" s="26" t="s">
        <v>28</v>
      </c>
      <c r="M606" s="27">
        <v>1964</v>
      </c>
      <c r="N606" s="30">
        <v>180596.25</v>
      </c>
      <c r="O606" s="26" t="s">
        <v>29</v>
      </c>
      <c r="P606" s="29"/>
      <c r="Q606" s="6"/>
      <c r="R606" s="29"/>
      <c r="S606" s="10"/>
      <c r="T606" s="8">
        <v>1</v>
      </c>
    </row>
    <row r="607" spans="1:20" ht="15.75" customHeight="1" outlineLevel="2" x14ac:dyDescent="0.35">
      <c r="A607" s="25" t="s">
        <v>1794</v>
      </c>
      <c r="B607" s="25" t="s">
        <v>2499</v>
      </c>
      <c r="C607" s="26">
        <v>122495</v>
      </c>
      <c r="D607" s="25" t="s">
        <v>1830</v>
      </c>
      <c r="E607" s="25" t="s">
        <v>1825</v>
      </c>
      <c r="F607" s="26" t="s">
        <v>27</v>
      </c>
      <c r="G607" s="26" t="s">
        <v>27</v>
      </c>
      <c r="H607" s="26">
        <v>1</v>
      </c>
      <c r="I607" s="26">
        <v>1</v>
      </c>
      <c r="J607" s="26">
        <v>1</v>
      </c>
      <c r="K607" s="26">
        <v>138</v>
      </c>
      <c r="L607" s="26" t="s">
        <v>28</v>
      </c>
      <c r="M607" s="27">
        <v>1976</v>
      </c>
      <c r="N607" s="30">
        <v>189824.69</v>
      </c>
      <c r="O607" s="26" t="s">
        <v>29</v>
      </c>
      <c r="P607" s="29"/>
      <c r="Q607" s="6"/>
      <c r="R607" s="29"/>
      <c r="S607" s="10"/>
      <c r="T607" s="8">
        <v>1</v>
      </c>
    </row>
    <row r="608" spans="1:20" ht="15.75" customHeight="1" outlineLevel="2" x14ac:dyDescent="0.35">
      <c r="A608" s="25" t="s">
        <v>1794</v>
      </c>
      <c r="B608" s="25" t="s">
        <v>2499</v>
      </c>
      <c r="C608" s="26">
        <v>122496</v>
      </c>
      <c r="D608" s="25" t="s">
        <v>1831</v>
      </c>
      <c r="E608" s="25" t="s">
        <v>1825</v>
      </c>
      <c r="F608" s="26" t="s">
        <v>27</v>
      </c>
      <c r="G608" s="26" t="s">
        <v>27</v>
      </c>
      <c r="H608" s="26">
        <v>1</v>
      </c>
      <c r="I608" s="26">
        <v>1</v>
      </c>
      <c r="J608" s="26">
        <v>1</v>
      </c>
      <c r="K608" s="26">
        <v>138</v>
      </c>
      <c r="L608" s="26" t="s">
        <v>28</v>
      </c>
      <c r="M608" s="27">
        <v>1980</v>
      </c>
      <c r="N608" s="30">
        <v>178540.55</v>
      </c>
      <c r="O608" s="26" t="s">
        <v>29</v>
      </c>
      <c r="P608" s="29"/>
      <c r="Q608" s="6"/>
      <c r="R608" s="29"/>
      <c r="S608" s="10"/>
      <c r="T608" s="8">
        <v>1</v>
      </c>
    </row>
    <row r="609" spans="1:20" ht="15.75" customHeight="1" outlineLevel="2" x14ac:dyDescent="0.35">
      <c r="A609" s="25" t="s">
        <v>1794</v>
      </c>
      <c r="B609" s="25" t="s">
        <v>2499</v>
      </c>
      <c r="C609" s="26">
        <v>122500</v>
      </c>
      <c r="D609" s="25" t="s">
        <v>300</v>
      </c>
      <c r="E609" s="25" t="s">
        <v>1825</v>
      </c>
      <c r="F609" s="26" t="s">
        <v>27</v>
      </c>
      <c r="G609" s="26" t="s">
        <v>27</v>
      </c>
      <c r="H609" s="26">
        <v>1</v>
      </c>
      <c r="I609" s="26">
        <v>1</v>
      </c>
      <c r="J609" s="26">
        <v>1</v>
      </c>
      <c r="K609" s="26">
        <v>138</v>
      </c>
      <c r="L609" s="26" t="s">
        <v>28</v>
      </c>
      <c r="M609" s="27">
        <v>1990</v>
      </c>
      <c r="N609" s="28">
        <v>195849.99</v>
      </c>
      <c r="O609" s="26" t="s">
        <v>29</v>
      </c>
      <c r="P609" s="29"/>
      <c r="Q609" s="6"/>
      <c r="R609" s="29"/>
      <c r="S609" s="10"/>
      <c r="T609" s="8">
        <v>1</v>
      </c>
    </row>
    <row r="610" spans="1:20" ht="15.75" customHeight="1" outlineLevel="2" x14ac:dyDescent="0.35">
      <c r="A610" s="25" t="s">
        <v>1794</v>
      </c>
      <c r="B610" s="25" t="s">
        <v>2499</v>
      </c>
      <c r="C610" s="26">
        <v>122515</v>
      </c>
      <c r="D610" s="25" t="s">
        <v>1833</v>
      </c>
      <c r="E610" s="25" t="s">
        <v>1834</v>
      </c>
      <c r="F610" s="26" t="s">
        <v>27</v>
      </c>
      <c r="G610" s="26" t="s">
        <v>27</v>
      </c>
      <c r="H610" s="26">
        <v>1</v>
      </c>
      <c r="I610" s="26">
        <v>3</v>
      </c>
      <c r="J610" s="26">
        <v>1</v>
      </c>
      <c r="K610" s="26">
        <v>138</v>
      </c>
      <c r="L610" s="26" t="s">
        <v>28</v>
      </c>
      <c r="M610" s="27">
        <v>1974</v>
      </c>
      <c r="N610" s="28">
        <v>323898.08</v>
      </c>
      <c r="O610" s="26" t="s">
        <v>29</v>
      </c>
      <c r="P610" s="29"/>
      <c r="Q610" s="6"/>
      <c r="R610" s="29"/>
      <c r="S610" s="10"/>
      <c r="T610" s="8">
        <v>1</v>
      </c>
    </row>
    <row r="611" spans="1:20" ht="15.75" customHeight="1" outlineLevel="2" x14ac:dyDescent="0.35">
      <c r="A611" s="25" t="s">
        <v>1794</v>
      </c>
      <c r="B611" s="25" t="s">
        <v>2499</v>
      </c>
      <c r="C611" s="26">
        <v>122517</v>
      </c>
      <c r="D611" s="39" t="s">
        <v>437</v>
      </c>
      <c r="E611" s="25" t="s">
        <v>1834</v>
      </c>
      <c r="F611" s="26" t="s">
        <v>27</v>
      </c>
      <c r="G611" s="26" t="s">
        <v>27</v>
      </c>
      <c r="H611" s="26">
        <v>1</v>
      </c>
      <c r="I611" s="26">
        <v>2</v>
      </c>
      <c r="J611" s="37">
        <v>224354.54</v>
      </c>
      <c r="K611" s="26">
        <v>138</v>
      </c>
      <c r="L611" s="26" t="s">
        <v>28</v>
      </c>
      <c r="M611" s="27">
        <v>1987</v>
      </c>
      <c r="N611" s="30">
        <v>224354.54</v>
      </c>
      <c r="O611" s="26" t="s">
        <v>29</v>
      </c>
      <c r="P611" s="29"/>
      <c r="Q611" s="6"/>
      <c r="R611" s="29"/>
      <c r="S611" s="10"/>
      <c r="T611" s="8">
        <v>1</v>
      </c>
    </row>
    <row r="612" spans="1:20" ht="15.75" customHeight="1" outlineLevel="2" x14ac:dyDescent="0.35">
      <c r="A612" s="25" t="s">
        <v>1794</v>
      </c>
      <c r="B612" s="25" t="s">
        <v>2499</v>
      </c>
      <c r="C612" s="26">
        <v>122534</v>
      </c>
      <c r="D612" s="25" t="s">
        <v>388</v>
      </c>
      <c r="E612" s="25" t="s">
        <v>1835</v>
      </c>
      <c r="F612" s="26" t="s">
        <v>27</v>
      </c>
      <c r="G612" s="26" t="s">
        <v>27</v>
      </c>
      <c r="H612" s="26">
        <v>1</v>
      </c>
      <c r="I612" s="26">
        <v>6</v>
      </c>
      <c r="J612" s="26">
        <v>1</v>
      </c>
      <c r="K612" s="26">
        <v>138</v>
      </c>
      <c r="L612" s="26" t="s">
        <v>28</v>
      </c>
      <c r="M612" s="27">
        <v>1931</v>
      </c>
      <c r="N612" s="28">
        <v>502965.21</v>
      </c>
      <c r="O612" s="26" t="s">
        <v>29</v>
      </c>
      <c r="P612" s="29"/>
      <c r="Q612" s="6"/>
      <c r="R612" s="29"/>
      <c r="S612" s="10"/>
      <c r="T612" s="8">
        <v>1</v>
      </c>
    </row>
    <row r="613" spans="1:20" ht="15.75" customHeight="1" outlineLevel="2" x14ac:dyDescent="0.35">
      <c r="A613" s="25" t="s">
        <v>1794</v>
      </c>
      <c r="B613" s="25" t="s">
        <v>2499</v>
      </c>
      <c r="C613" s="26">
        <v>122535</v>
      </c>
      <c r="D613" s="25" t="s">
        <v>1836</v>
      </c>
      <c r="E613" s="25" t="s">
        <v>1837</v>
      </c>
      <c r="F613" s="26" t="s">
        <v>27</v>
      </c>
      <c r="G613" s="26" t="s">
        <v>27</v>
      </c>
      <c r="H613" s="26">
        <v>1</v>
      </c>
      <c r="I613" s="26">
        <v>4</v>
      </c>
      <c r="J613" s="26">
        <v>1</v>
      </c>
      <c r="K613" s="26">
        <v>138</v>
      </c>
      <c r="L613" s="26" t="s">
        <v>28</v>
      </c>
      <c r="M613" s="27">
        <v>1933</v>
      </c>
      <c r="N613" s="28">
        <v>372480.66</v>
      </c>
      <c r="O613" s="26" t="s">
        <v>29</v>
      </c>
      <c r="P613" s="29"/>
      <c r="Q613" s="6"/>
      <c r="R613" s="29"/>
      <c r="S613" s="10"/>
      <c r="T613" s="8">
        <v>1</v>
      </c>
    </row>
    <row r="614" spans="1:20" ht="15.75" customHeight="1" outlineLevel="2" x14ac:dyDescent="0.35">
      <c r="A614" s="25" t="s">
        <v>1794</v>
      </c>
      <c r="B614" s="25" t="s">
        <v>2499</v>
      </c>
      <c r="C614" s="26">
        <v>122539</v>
      </c>
      <c r="D614" s="25" t="s">
        <v>1838</v>
      </c>
      <c r="E614" s="25" t="s">
        <v>1837</v>
      </c>
      <c r="F614" s="26" t="s">
        <v>27</v>
      </c>
      <c r="G614" s="26" t="s">
        <v>27</v>
      </c>
      <c r="H614" s="26">
        <v>1</v>
      </c>
      <c r="I614" s="26">
        <v>1</v>
      </c>
      <c r="J614" s="26">
        <v>1</v>
      </c>
      <c r="K614" s="26">
        <v>138</v>
      </c>
      <c r="L614" s="26" t="s">
        <v>28</v>
      </c>
      <c r="M614" s="27">
        <v>1939</v>
      </c>
      <c r="N614" s="30">
        <v>170555.27</v>
      </c>
      <c r="O614" s="26" t="s">
        <v>29</v>
      </c>
      <c r="P614" s="29"/>
      <c r="Q614" s="6"/>
      <c r="R614" s="29"/>
      <c r="S614" s="10"/>
      <c r="T614" s="8">
        <v>1</v>
      </c>
    </row>
    <row r="615" spans="1:20" ht="15.75" customHeight="1" outlineLevel="2" x14ac:dyDescent="0.35">
      <c r="A615" s="25" t="s">
        <v>1794</v>
      </c>
      <c r="B615" s="25" t="s">
        <v>2499</v>
      </c>
      <c r="C615" s="26">
        <v>122547</v>
      </c>
      <c r="D615" s="25" t="s">
        <v>1840</v>
      </c>
      <c r="E615" s="25" t="s">
        <v>1835</v>
      </c>
      <c r="F615" s="26" t="s">
        <v>27</v>
      </c>
      <c r="G615" s="26" t="s">
        <v>27</v>
      </c>
      <c r="H615" s="26">
        <v>1</v>
      </c>
      <c r="I615" s="26">
        <v>1</v>
      </c>
      <c r="J615" s="26">
        <v>1</v>
      </c>
      <c r="K615" s="26">
        <v>138</v>
      </c>
      <c r="L615" s="26" t="s">
        <v>28</v>
      </c>
      <c r="M615" s="27">
        <v>1981</v>
      </c>
      <c r="N615" s="30">
        <v>169079.12</v>
      </c>
      <c r="O615" s="26" t="s">
        <v>29</v>
      </c>
      <c r="P615" s="29"/>
      <c r="Q615" s="6"/>
      <c r="R615" s="29"/>
      <c r="S615" s="10"/>
      <c r="T615" s="8">
        <v>1</v>
      </c>
    </row>
    <row r="616" spans="1:20" ht="15.75" customHeight="1" outlineLevel="2" x14ac:dyDescent="0.35">
      <c r="A616" s="25" t="s">
        <v>1794</v>
      </c>
      <c r="B616" s="25" t="s">
        <v>2499</v>
      </c>
      <c r="C616" s="26">
        <v>122550</v>
      </c>
      <c r="D616" s="25" t="s">
        <v>300</v>
      </c>
      <c r="E616" s="25" t="s">
        <v>1837</v>
      </c>
      <c r="F616" s="26" t="s">
        <v>27</v>
      </c>
      <c r="G616" s="26" t="s">
        <v>27</v>
      </c>
      <c r="H616" s="26">
        <v>1</v>
      </c>
      <c r="I616" s="26">
        <v>3</v>
      </c>
      <c r="J616" s="26">
        <v>1</v>
      </c>
      <c r="K616" s="26">
        <v>138</v>
      </c>
      <c r="L616" s="26" t="s">
        <v>28</v>
      </c>
      <c r="M616" s="27">
        <v>1991</v>
      </c>
      <c r="N616" s="28">
        <v>299085.39</v>
      </c>
      <c r="O616" s="26" t="s">
        <v>29</v>
      </c>
      <c r="P616" s="29"/>
      <c r="Q616" s="6"/>
      <c r="R616" s="29"/>
      <c r="S616" s="10"/>
      <c r="T616" s="8">
        <v>1</v>
      </c>
    </row>
    <row r="617" spans="1:20" ht="15.75" customHeight="1" outlineLevel="2" x14ac:dyDescent="0.35">
      <c r="A617" s="25" t="s">
        <v>1794</v>
      </c>
      <c r="B617" s="25" t="s">
        <v>2499</v>
      </c>
      <c r="C617" s="26">
        <v>122553</v>
      </c>
      <c r="D617" s="25" t="s">
        <v>1714</v>
      </c>
      <c r="E617" s="25" t="s">
        <v>1835</v>
      </c>
      <c r="F617" s="26" t="s">
        <v>27</v>
      </c>
      <c r="G617" s="26" t="s">
        <v>27</v>
      </c>
      <c r="H617" s="26">
        <v>1</v>
      </c>
      <c r="I617" s="26">
        <v>6</v>
      </c>
      <c r="J617" s="26">
        <v>1</v>
      </c>
      <c r="K617" s="26">
        <v>138</v>
      </c>
      <c r="L617" s="26" t="s">
        <v>28</v>
      </c>
      <c r="M617" s="27">
        <v>2001</v>
      </c>
      <c r="N617" s="28">
        <v>558391.64</v>
      </c>
      <c r="O617" s="26" t="s">
        <v>29</v>
      </c>
      <c r="P617" s="29"/>
      <c r="Q617" s="6"/>
      <c r="R617" s="29"/>
      <c r="S617" s="10"/>
      <c r="T617" s="8">
        <v>1</v>
      </c>
    </row>
    <row r="618" spans="1:20" ht="15.75" customHeight="1" outlineLevel="2" x14ac:dyDescent="0.35">
      <c r="A618" s="25" t="s">
        <v>1794</v>
      </c>
      <c r="B618" s="25" t="s">
        <v>2499</v>
      </c>
      <c r="C618" s="26">
        <v>122573</v>
      </c>
      <c r="D618" s="25" t="s">
        <v>1841</v>
      </c>
      <c r="E618" s="25" t="s">
        <v>1842</v>
      </c>
      <c r="F618" s="26" t="s">
        <v>27</v>
      </c>
      <c r="G618" s="26" t="s">
        <v>27</v>
      </c>
      <c r="H618" s="26">
        <v>1</v>
      </c>
      <c r="I618" s="26">
        <v>2</v>
      </c>
      <c r="J618" s="26">
        <v>1</v>
      </c>
      <c r="K618" s="26">
        <v>138</v>
      </c>
      <c r="L618" s="26" t="s">
        <v>28</v>
      </c>
      <c r="M618" s="27">
        <v>1950</v>
      </c>
      <c r="N618" s="30">
        <v>224661.33</v>
      </c>
      <c r="O618" s="26" t="s">
        <v>29</v>
      </c>
      <c r="P618" s="29"/>
      <c r="Q618" s="6"/>
      <c r="R618" s="29"/>
      <c r="S618" s="10"/>
      <c r="T618" s="8">
        <v>1</v>
      </c>
    </row>
    <row r="619" spans="1:20" ht="15.75" customHeight="1" outlineLevel="2" x14ac:dyDescent="0.35">
      <c r="A619" s="25" t="s">
        <v>1794</v>
      </c>
      <c r="B619" s="25" t="s">
        <v>2499</v>
      </c>
      <c r="C619" s="26">
        <v>122576</v>
      </c>
      <c r="D619" s="25" t="s">
        <v>1843</v>
      </c>
      <c r="E619" s="25" t="s">
        <v>1842</v>
      </c>
      <c r="F619" s="26" t="s">
        <v>27</v>
      </c>
      <c r="G619" s="26" t="s">
        <v>27</v>
      </c>
      <c r="H619" s="26">
        <v>1</v>
      </c>
      <c r="I619" s="26">
        <v>2</v>
      </c>
      <c r="J619" s="26">
        <v>1</v>
      </c>
      <c r="K619" s="26">
        <v>138</v>
      </c>
      <c r="L619" s="26" t="s">
        <v>28</v>
      </c>
      <c r="M619" s="27">
        <v>1961</v>
      </c>
      <c r="N619" s="30">
        <v>224988.77</v>
      </c>
      <c r="O619" s="26" t="s">
        <v>29</v>
      </c>
      <c r="P619" s="29"/>
      <c r="Q619" s="6"/>
      <c r="R619" s="29"/>
      <c r="S619" s="10"/>
      <c r="T619" s="8">
        <v>1</v>
      </c>
    </row>
    <row r="620" spans="1:20" ht="15.75" customHeight="1" outlineLevel="2" x14ac:dyDescent="0.35">
      <c r="A620" s="25" t="s">
        <v>1794</v>
      </c>
      <c r="B620" s="25" t="s">
        <v>2499</v>
      </c>
      <c r="C620" s="26">
        <v>122577</v>
      </c>
      <c r="D620" s="25" t="s">
        <v>326</v>
      </c>
      <c r="E620" s="25" t="s">
        <v>1842</v>
      </c>
      <c r="F620" s="26" t="s">
        <v>27</v>
      </c>
      <c r="G620" s="26" t="s">
        <v>27</v>
      </c>
      <c r="H620" s="26">
        <v>1</v>
      </c>
      <c r="I620" s="26">
        <v>3</v>
      </c>
      <c r="J620" s="26">
        <v>1</v>
      </c>
      <c r="K620" s="26">
        <v>138</v>
      </c>
      <c r="L620" s="26" t="s">
        <v>28</v>
      </c>
      <c r="M620" s="27">
        <v>1966</v>
      </c>
      <c r="N620" s="28">
        <v>312132.55</v>
      </c>
      <c r="O620" s="26" t="s">
        <v>29</v>
      </c>
      <c r="P620" s="29"/>
      <c r="Q620" s="6"/>
      <c r="R620" s="29"/>
      <c r="S620" s="10"/>
      <c r="T620" s="8">
        <v>1</v>
      </c>
    </row>
    <row r="621" spans="1:20" ht="15.75" customHeight="1" outlineLevel="2" x14ac:dyDescent="0.35">
      <c r="A621" s="25" t="s">
        <v>1794</v>
      </c>
      <c r="B621" s="25" t="s">
        <v>2499</v>
      </c>
      <c r="C621" s="26">
        <v>122580</v>
      </c>
      <c r="D621" s="25" t="s">
        <v>1844</v>
      </c>
      <c r="E621" s="25" t="s">
        <v>1842</v>
      </c>
      <c r="F621" s="26" t="s">
        <v>27</v>
      </c>
      <c r="G621" s="26" t="s">
        <v>27</v>
      </c>
      <c r="H621" s="26">
        <v>1</v>
      </c>
      <c r="I621" s="26">
        <v>2</v>
      </c>
      <c r="J621" s="26">
        <v>1</v>
      </c>
      <c r="K621" s="26">
        <v>138</v>
      </c>
      <c r="L621" s="26" t="s">
        <v>28</v>
      </c>
      <c r="M621" s="27">
        <v>1977</v>
      </c>
      <c r="N621" s="30">
        <v>233222.41</v>
      </c>
      <c r="O621" s="26" t="s">
        <v>29</v>
      </c>
      <c r="P621" s="29"/>
      <c r="Q621" s="6"/>
      <c r="R621" s="29"/>
      <c r="S621" s="10"/>
      <c r="T621" s="8">
        <v>1</v>
      </c>
    </row>
    <row r="622" spans="1:20" ht="15.75" customHeight="1" outlineLevel="2" x14ac:dyDescent="0.35">
      <c r="A622" s="25" t="s">
        <v>1794</v>
      </c>
      <c r="B622" s="25" t="s">
        <v>2499</v>
      </c>
      <c r="C622" s="26">
        <v>122581</v>
      </c>
      <c r="D622" s="25" t="s">
        <v>1845</v>
      </c>
      <c r="E622" s="25" t="s">
        <v>1842</v>
      </c>
      <c r="F622" s="26" t="s">
        <v>27</v>
      </c>
      <c r="G622" s="26" t="s">
        <v>27</v>
      </c>
      <c r="H622" s="26">
        <v>1</v>
      </c>
      <c r="I622" s="26">
        <v>3</v>
      </c>
      <c r="J622" s="26">
        <v>1</v>
      </c>
      <c r="K622" s="26">
        <v>138</v>
      </c>
      <c r="L622" s="26" t="s">
        <v>28</v>
      </c>
      <c r="M622" s="27">
        <v>1979</v>
      </c>
      <c r="N622" s="28">
        <v>329283.84999999998</v>
      </c>
      <c r="O622" s="26" t="s">
        <v>29</v>
      </c>
      <c r="P622" s="29"/>
      <c r="Q622" s="6"/>
      <c r="R622" s="29"/>
      <c r="S622" s="10"/>
      <c r="T622" s="8">
        <v>1</v>
      </c>
    </row>
    <row r="623" spans="1:20" ht="15.75" customHeight="1" outlineLevel="2" x14ac:dyDescent="0.35">
      <c r="A623" s="25" t="s">
        <v>1794</v>
      </c>
      <c r="B623" s="25" t="s">
        <v>2499</v>
      </c>
      <c r="C623" s="26">
        <v>122582</v>
      </c>
      <c r="D623" s="25" t="s">
        <v>216</v>
      </c>
      <c r="E623" s="25" t="s">
        <v>1842</v>
      </c>
      <c r="F623" s="26" t="s">
        <v>27</v>
      </c>
      <c r="G623" s="26" t="s">
        <v>27</v>
      </c>
      <c r="H623" s="26">
        <v>1</v>
      </c>
      <c r="I623" s="26">
        <v>5</v>
      </c>
      <c r="J623" s="26">
        <v>1</v>
      </c>
      <c r="K623" s="26">
        <v>138</v>
      </c>
      <c r="L623" s="26" t="s">
        <v>28</v>
      </c>
      <c r="M623" s="27">
        <v>1989</v>
      </c>
      <c r="N623" s="28">
        <v>459544.25</v>
      </c>
      <c r="O623" s="26" t="s">
        <v>29</v>
      </c>
      <c r="P623" s="29"/>
      <c r="Q623" s="6"/>
      <c r="R623" s="29"/>
      <c r="S623" s="10"/>
      <c r="T623" s="8">
        <v>1</v>
      </c>
    </row>
    <row r="624" spans="1:20" ht="15.75" customHeight="1" outlineLevel="2" x14ac:dyDescent="0.35">
      <c r="A624" s="25" t="s">
        <v>1794</v>
      </c>
      <c r="B624" s="25" t="s">
        <v>2499</v>
      </c>
      <c r="C624" s="26">
        <v>122615</v>
      </c>
      <c r="D624" s="25" t="s">
        <v>1811</v>
      </c>
      <c r="E624" s="25" t="s">
        <v>1846</v>
      </c>
      <c r="F624" s="26" t="s">
        <v>27</v>
      </c>
      <c r="G624" s="26" t="s">
        <v>27</v>
      </c>
      <c r="H624" s="26">
        <v>1</v>
      </c>
      <c r="I624" s="26">
        <v>2</v>
      </c>
      <c r="J624" s="26">
        <v>1</v>
      </c>
      <c r="K624" s="26">
        <v>138</v>
      </c>
      <c r="L624" s="26" t="s">
        <v>28</v>
      </c>
      <c r="M624" s="27">
        <v>1954</v>
      </c>
      <c r="N624" s="30">
        <v>223783.25</v>
      </c>
      <c r="O624" s="26" t="s">
        <v>29</v>
      </c>
      <c r="P624" s="29"/>
      <c r="Q624" s="6"/>
      <c r="R624" s="29"/>
      <c r="S624" s="10"/>
      <c r="T624" s="8">
        <v>1</v>
      </c>
    </row>
    <row r="625" spans="1:20" ht="15.75" customHeight="1" outlineLevel="2" x14ac:dyDescent="0.35">
      <c r="A625" s="25" t="s">
        <v>1794</v>
      </c>
      <c r="B625" s="25" t="s">
        <v>2499</v>
      </c>
      <c r="C625" s="26">
        <v>122629</v>
      </c>
      <c r="D625" s="25" t="s">
        <v>1847</v>
      </c>
      <c r="E625" s="25" t="s">
        <v>1846</v>
      </c>
      <c r="F625" s="26" t="s">
        <v>27</v>
      </c>
      <c r="G625" s="26" t="s">
        <v>27</v>
      </c>
      <c r="H625" s="26">
        <v>1</v>
      </c>
      <c r="I625" s="26">
        <v>3</v>
      </c>
      <c r="J625" s="26">
        <v>1</v>
      </c>
      <c r="K625" s="26">
        <v>138</v>
      </c>
      <c r="L625" s="26" t="s">
        <v>28</v>
      </c>
      <c r="M625" s="27">
        <v>1982</v>
      </c>
      <c r="N625" s="28">
        <v>303314.44</v>
      </c>
      <c r="O625" s="26" t="s">
        <v>29</v>
      </c>
      <c r="P625" s="29"/>
      <c r="Q625" s="6"/>
      <c r="R625" s="29"/>
      <c r="S625" s="10"/>
      <c r="T625" s="8">
        <v>1</v>
      </c>
    </row>
    <row r="626" spans="1:20" ht="15.75" customHeight="1" outlineLevel="2" x14ac:dyDescent="0.35">
      <c r="A626" s="25" t="s">
        <v>1794</v>
      </c>
      <c r="B626" s="25" t="s">
        <v>2499</v>
      </c>
      <c r="C626" s="26">
        <v>122652</v>
      </c>
      <c r="D626" s="25" t="s">
        <v>1849</v>
      </c>
      <c r="E626" s="25" t="s">
        <v>1850</v>
      </c>
      <c r="F626" s="26" t="s">
        <v>27</v>
      </c>
      <c r="G626" s="26" t="s">
        <v>27</v>
      </c>
      <c r="H626" s="26">
        <v>1</v>
      </c>
      <c r="I626" s="26">
        <v>6</v>
      </c>
      <c r="J626" s="26">
        <v>1</v>
      </c>
      <c r="K626" s="26">
        <v>138</v>
      </c>
      <c r="L626" s="26" t="s">
        <v>28</v>
      </c>
      <c r="M626" s="27">
        <v>1926</v>
      </c>
      <c r="N626" s="28">
        <v>553874.61</v>
      </c>
      <c r="O626" s="26" t="s">
        <v>29</v>
      </c>
      <c r="P626" s="29"/>
      <c r="Q626" s="6"/>
      <c r="R626" s="29"/>
      <c r="S626" s="10"/>
      <c r="T626" s="8">
        <v>1</v>
      </c>
    </row>
    <row r="627" spans="1:20" ht="15.75" customHeight="1" outlineLevel="2" x14ac:dyDescent="0.35">
      <c r="A627" s="25" t="s">
        <v>1794</v>
      </c>
      <c r="B627" s="25" t="s">
        <v>2499</v>
      </c>
      <c r="C627" s="26">
        <v>122653</v>
      </c>
      <c r="D627" s="25" t="s">
        <v>1824</v>
      </c>
      <c r="E627" s="25" t="s">
        <v>1850</v>
      </c>
      <c r="F627" s="26" t="s">
        <v>27</v>
      </c>
      <c r="G627" s="26" t="s">
        <v>27</v>
      </c>
      <c r="H627" s="26">
        <v>1</v>
      </c>
      <c r="I627" s="26">
        <v>2</v>
      </c>
      <c r="J627" s="26">
        <v>1</v>
      </c>
      <c r="K627" s="26">
        <v>138</v>
      </c>
      <c r="L627" s="26" t="s">
        <v>28</v>
      </c>
      <c r="M627" s="27">
        <v>1929</v>
      </c>
      <c r="N627" s="30">
        <v>234478.86</v>
      </c>
      <c r="O627" s="26" t="s">
        <v>29</v>
      </c>
      <c r="P627" s="29"/>
      <c r="Q627" s="6"/>
      <c r="R627" s="29"/>
      <c r="S627" s="10"/>
      <c r="T627" s="8">
        <v>1</v>
      </c>
    </row>
    <row r="628" spans="1:20" ht="15.75" customHeight="1" outlineLevel="2" x14ac:dyDescent="0.35">
      <c r="A628" s="25" t="s">
        <v>1794</v>
      </c>
      <c r="B628" s="25" t="s">
        <v>2499</v>
      </c>
      <c r="C628" s="26">
        <v>122655</v>
      </c>
      <c r="D628" s="25" t="s">
        <v>1851</v>
      </c>
      <c r="E628" s="25" t="s">
        <v>1850</v>
      </c>
      <c r="F628" s="26" t="s">
        <v>27</v>
      </c>
      <c r="G628" s="26" t="s">
        <v>27</v>
      </c>
      <c r="H628" s="26">
        <v>1</v>
      </c>
      <c r="I628" s="26">
        <v>3</v>
      </c>
      <c r="J628" s="26">
        <v>1</v>
      </c>
      <c r="K628" s="26">
        <v>138</v>
      </c>
      <c r="L628" s="26" t="s">
        <v>28</v>
      </c>
      <c r="M628" s="27">
        <v>1930</v>
      </c>
      <c r="N628" s="28">
        <v>392928.66</v>
      </c>
      <c r="O628" s="26" t="s">
        <v>29</v>
      </c>
      <c r="P628" s="29"/>
      <c r="Q628" s="6"/>
      <c r="R628" s="29"/>
      <c r="S628" s="10"/>
      <c r="T628" s="8">
        <v>1</v>
      </c>
    </row>
    <row r="629" spans="1:20" ht="15.75" customHeight="1" outlineLevel="2" x14ac:dyDescent="0.35">
      <c r="A629" s="25" t="s">
        <v>1794</v>
      </c>
      <c r="B629" s="25" t="s">
        <v>2499</v>
      </c>
      <c r="C629" s="26">
        <v>122664</v>
      </c>
      <c r="D629" s="25" t="s">
        <v>1852</v>
      </c>
      <c r="E629" s="25" t="s">
        <v>1850</v>
      </c>
      <c r="F629" s="26" t="s">
        <v>27</v>
      </c>
      <c r="G629" s="26" t="s">
        <v>27</v>
      </c>
      <c r="H629" s="26">
        <v>1</v>
      </c>
      <c r="I629" s="26">
        <v>2</v>
      </c>
      <c r="J629" s="26">
        <v>1</v>
      </c>
      <c r="K629" s="26">
        <v>138</v>
      </c>
      <c r="L629" s="26" t="s">
        <v>28</v>
      </c>
      <c r="M629" s="27">
        <v>1956</v>
      </c>
      <c r="N629" s="30">
        <v>219556.54</v>
      </c>
      <c r="O629" s="26" t="s">
        <v>29</v>
      </c>
      <c r="P629" s="29"/>
      <c r="Q629" s="6"/>
      <c r="R629" s="29"/>
      <c r="S629" s="10"/>
      <c r="T629" s="8">
        <v>1</v>
      </c>
    </row>
    <row r="630" spans="1:20" ht="15.75" customHeight="1" outlineLevel="2" x14ac:dyDescent="0.35">
      <c r="A630" s="25" t="s">
        <v>1794</v>
      </c>
      <c r="B630" s="25" t="s">
        <v>2499</v>
      </c>
      <c r="C630" s="26">
        <v>122667</v>
      </c>
      <c r="D630" s="25" t="s">
        <v>1853</v>
      </c>
      <c r="E630" s="25" t="s">
        <v>1850</v>
      </c>
      <c r="F630" s="26" t="s">
        <v>27</v>
      </c>
      <c r="G630" s="26" t="s">
        <v>27</v>
      </c>
      <c r="H630" s="26">
        <v>1</v>
      </c>
      <c r="I630" s="26">
        <v>3</v>
      </c>
      <c r="J630" s="26">
        <v>1</v>
      </c>
      <c r="K630" s="26">
        <v>138</v>
      </c>
      <c r="L630" s="26" t="s">
        <v>28</v>
      </c>
      <c r="M630" s="27">
        <v>1969</v>
      </c>
      <c r="N630" s="28">
        <v>323913.65000000002</v>
      </c>
      <c r="O630" s="26" t="s">
        <v>29</v>
      </c>
      <c r="P630" s="29"/>
      <c r="Q630" s="6"/>
      <c r="R630" s="29"/>
      <c r="S630" s="10"/>
      <c r="T630" s="8">
        <v>1</v>
      </c>
    </row>
    <row r="631" spans="1:20" ht="15.75" customHeight="1" outlineLevel="2" x14ac:dyDescent="0.35">
      <c r="A631" s="25" t="s">
        <v>1794</v>
      </c>
      <c r="B631" s="25" t="s">
        <v>2499</v>
      </c>
      <c r="C631" s="26">
        <v>122669</v>
      </c>
      <c r="D631" s="25" t="s">
        <v>940</v>
      </c>
      <c r="E631" s="25" t="s">
        <v>1850</v>
      </c>
      <c r="F631" s="26" t="s">
        <v>27</v>
      </c>
      <c r="G631" s="26" t="s">
        <v>27</v>
      </c>
      <c r="H631" s="26">
        <v>1</v>
      </c>
      <c r="I631" s="26">
        <v>5</v>
      </c>
      <c r="J631" s="26">
        <v>1</v>
      </c>
      <c r="K631" s="26">
        <v>138</v>
      </c>
      <c r="L631" s="26" t="s">
        <v>28</v>
      </c>
      <c r="M631" s="27">
        <v>1978</v>
      </c>
      <c r="N631" s="28">
        <v>469541.73</v>
      </c>
      <c r="O631" s="26" t="s">
        <v>29</v>
      </c>
      <c r="P631" s="29"/>
      <c r="Q631" s="6"/>
      <c r="R631" s="29"/>
      <c r="S631" s="10"/>
      <c r="T631" s="8">
        <v>1</v>
      </c>
    </row>
    <row r="632" spans="1:20" ht="15.75" customHeight="1" outlineLevel="2" x14ac:dyDescent="0.35">
      <c r="A632" s="25" t="s">
        <v>1794</v>
      </c>
      <c r="B632" s="25" t="s">
        <v>2499</v>
      </c>
      <c r="C632" s="26">
        <v>122677</v>
      </c>
      <c r="D632" s="25" t="s">
        <v>1854</v>
      </c>
      <c r="E632" s="25" t="s">
        <v>1855</v>
      </c>
      <c r="F632" s="26" t="s">
        <v>27</v>
      </c>
      <c r="G632" s="26" t="s">
        <v>27</v>
      </c>
      <c r="H632" s="26">
        <v>1</v>
      </c>
      <c r="I632" s="26">
        <v>2</v>
      </c>
      <c r="J632" s="26">
        <v>1</v>
      </c>
      <c r="K632" s="26">
        <v>138</v>
      </c>
      <c r="L632" s="26" t="s">
        <v>28</v>
      </c>
      <c r="M632" s="27">
        <v>1947</v>
      </c>
      <c r="N632" s="30">
        <v>230252.7</v>
      </c>
      <c r="O632" s="26" t="s">
        <v>29</v>
      </c>
      <c r="P632" s="29"/>
      <c r="Q632" s="6"/>
      <c r="R632" s="29"/>
      <c r="S632" s="10"/>
      <c r="T632" s="8">
        <v>1</v>
      </c>
    </row>
    <row r="633" spans="1:20" ht="15.75" customHeight="1" outlineLevel="2" x14ac:dyDescent="0.35">
      <c r="A633" s="25" t="s">
        <v>1794</v>
      </c>
      <c r="B633" s="25" t="s">
        <v>2499</v>
      </c>
      <c r="C633" s="26">
        <v>122678</v>
      </c>
      <c r="D633" s="25" t="s">
        <v>1856</v>
      </c>
      <c r="E633" s="25" t="s">
        <v>1855</v>
      </c>
      <c r="F633" s="26" t="s">
        <v>27</v>
      </c>
      <c r="G633" s="26" t="s">
        <v>27</v>
      </c>
      <c r="H633" s="26">
        <v>1</v>
      </c>
      <c r="I633" s="26">
        <v>1</v>
      </c>
      <c r="J633" s="26">
        <v>1</v>
      </c>
      <c r="K633" s="26">
        <v>138</v>
      </c>
      <c r="L633" s="26" t="s">
        <v>28</v>
      </c>
      <c r="M633" s="27">
        <v>1949</v>
      </c>
      <c r="N633" s="30">
        <v>168901.65</v>
      </c>
      <c r="O633" s="26" t="s">
        <v>29</v>
      </c>
      <c r="P633" s="29"/>
      <c r="Q633" s="6"/>
      <c r="R633" s="29"/>
      <c r="S633" s="10"/>
      <c r="T633" s="8">
        <v>1</v>
      </c>
    </row>
    <row r="634" spans="1:20" ht="15.75" customHeight="1" outlineLevel="2" x14ac:dyDescent="0.35">
      <c r="A634" s="25" t="s">
        <v>1794</v>
      </c>
      <c r="B634" s="25" t="s">
        <v>2499</v>
      </c>
      <c r="C634" s="26">
        <v>122717</v>
      </c>
      <c r="D634" s="25" t="s">
        <v>1857</v>
      </c>
      <c r="E634" s="25" t="s">
        <v>1858</v>
      </c>
      <c r="F634" s="26" t="s">
        <v>27</v>
      </c>
      <c r="G634" s="26" t="s">
        <v>27</v>
      </c>
      <c r="H634" s="26">
        <v>1</v>
      </c>
      <c r="I634" s="26">
        <v>3</v>
      </c>
      <c r="J634" s="26">
        <v>1</v>
      </c>
      <c r="K634" s="26">
        <v>138</v>
      </c>
      <c r="L634" s="26" t="s">
        <v>28</v>
      </c>
      <c r="M634" s="27">
        <v>1968</v>
      </c>
      <c r="N634" s="28">
        <v>336540.42</v>
      </c>
      <c r="O634" s="26" t="s">
        <v>29</v>
      </c>
      <c r="P634" s="29"/>
      <c r="Q634" s="6"/>
      <c r="R634" s="29"/>
      <c r="S634" s="10"/>
      <c r="T634" s="8">
        <v>1</v>
      </c>
    </row>
    <row r="635" spans="1:20" ht="15.75" customHeight="1" outlineLevel="2" x14ac:dyDescent="0.35">
      <c r="A635" s="25" t="s">
        <v>1794</v>
      </c>
      <c r="B635" s="25" t="s">
        <v>2499</v>
      </c>
      <c r="C635" s="26">
        <v>122735</v>
      </c>
      <c r="D635" s="25" t="s">
        <v>1859</v>
      </c>
      <c r="E635" s="25" t="s">
        <v>1860</v>
      </c>
      <c r="F635" s="26" t="s">
        <v>27</v>
      </c>
      <c r="G635" s="26" t="s">
        <v>27</v>
      </c>
      <c r="H635" s="26">
        <v>1</v>
      </c>
      <c r="I635" s="26">
        <v>1</v>
      </c>
      <c r="J635" s="26">
        <v>1</v>
      </c>
      <c r="K635" s="26">
        <v>138</v>
      </c>
      <c r="L635" s="26" t="s">
        <v>28</v>
      </c>
      <c r="M635" s="27">
        <v>1932</v>
      </c>
      <c r="N635" s="30">
        <v>170555.27</v>
      </c>
      <c r="O635" s="26" t="s">
        <v>29</v>
      </c>
      <c r="P635" s="29"/>
      <c r="Q635" s="6"/>
      <c r="R635" s="29"/>
      <c r="S635" s="10"/>
      <c r="T635" s="8">
        <v>1</v>
      </c>
    </row>
    <row r="636" spans="1:20" ht="15.75" customHeight="1" outlineLevel="2" x14ac:dyDescent="0.35">
      <c r="A636" s="25" t="s">
        <v>1794</v>
      </c>
      <c r="B636" s="25" t="s">
        <v>2499</v>
      </c>
      <c r="C636" s="26">
        <v>122743</v>
      </c>
      <c r="D636" s="25" t="s">
        <v>1861</v>
      </c>
      <c r="E636" s="25" t="s">
        <v>1860</v>
      </c>
      <c r="F636" s="26" t="s">
        <v>27</v>
      </c>
      <c r="G636" s="26" t="s">
        <v>27</v>
      </c>
      <c r="H636" s="26">
        <v>1</v>
      </c>
      <c r="I636" s="26">
        <v>2</v>
      </c>
      <c r="J636" s="26">
        <v>1</v>
      </c>
      <c r="K636" s="26">
        <v>138</v>
      </c>
      <c r="L636" s="26" t="s">
        <v>28</v>
      </c>
      <c r="M636" s="27">
        <v>1994</v>
      </c>
      <c r="N636" s="28">
        <v>218776.35</v>
      </c>
      <c r="O636" s="26" t="s">
        <v>29</v>
      </c>
      <c r="P636" s="29"/>
      <c r="Q636" s="6"/>
      <c r="R636" s="29"/>
      <c r="S636" s="10"/>
      <c r="T636" s="8">
        <v>1</v>
      </c>
    </row>
    <row r="637" spans="1:20" ht="15.75" customHeight="1" outlineLevel="2" x14ac:dyDescent="0.35">
      <c r="A637" s="25" t="s">
        <v>1794</v>
      </c>
      <c r="B637" s="25" t="s">
        <v>2499</v>
      </c>
      <c r="C637" s="26">
        <v>122748</v>
      </c>
      <c r="D637" s="25" t="s">
        <v>1862</v>
      </c>
      <c r="E637" s="25" t="s">
        <v>1863</v>
      </c>
      <c r="F637" s="26" t="s">
        <v>27</v>
      </c>
      <c r="G637" s="26" t="s">
        <v>27</v>
      </c>
      <c r="H637" s="26">
        <v>1</v>
      </c>
      <c r="I637" s="26">
        <v>1</v>
      </c>
      <c r="J637" s="26">
        <v>1</v>
      </c>
      <c r="K637" s="26">
        <v>138</v>
      </c>
      <c r="L637" s="26" t="s">
        <v>28</v>
      </c>
      <c r="M637" s="27">
        <v>1962</v>
      </c>
      <c r="N637" s="30">
        <v>186023.48</v>
      </c>
      <c r="O637" s="26" t="s">
        <v>29</v>
      </c>
      <c r="P637" s="29"/>
      <c r="Q637" s="6"/>
      <c r="R637" s="29"/>
      <c r="S637" s="10"/>
      <c r="T637" s="8">
        <v>1</v>
      </c>
    </row>
    <row r="638" spans="1:20" ht="15.75" customHeight="1" outlineLevel="2" x14ac:dyDescent="0.35">
      <c r="A638" s="25" t="s">
        <v>1794</v>
      </c>
      <c r="B638" s="25" t="s">
        <v>2499</v>
      </c>
      <c r="C638" s="26">
        <v>122749</v>
      </c>
      <c r="D638" s="25" t="s">
        <v>1864</v>
      </c>
      <c r="E638" s="25" t="s">
        <v>1863</v>
      </c>
      <c r="F638" s="26" t="s">
        <v>27</v>
      </c>
      <c r="G638" s="26" t="s">
        <v>27</v>
      </c>
      <c r="H638" s="26">
        <v>1</v>
      </c>
      <c r="I638" s="26">
        <v>4</v>
      </c>
      <c r="J638" s="26">
        <v>1</v>
      </c>
      <c r="K638" s="26">
        <v>138</v>
      </c>
      <c r="L638" s="26" t="s">
        <v>28</v>
      </c>
      <c r="M638" s="27">
        <v>1965</v>
      </c>
      <c r="N638" s="28">
        <v>387754.43</v>
      </c>
      <c r="O638" s="26" t="s">
        <v>29</v>
      </c>
      <c r="P638" s="29"/>
      <c r="Q638" s="6"/>
      <c r="R638" s="29"/>
      <c r="S638" s="10"/>
      <c r="T638" s="8">
        <v>1</v>
      </c>
    </row>
    <row r="639" spans="1:20" ht="15.75" customHeight="1" outlineLevel="2" x14ac:dyDescent="0.35">
      <c r="A639" s="25" t="s">
        <v>1794</v>
      </c>
      <c r="B639" s="25" t="s">
        <v>2499</v>
      </c>
      <c r="C639" s="26">
        <v>122760</v>
      </c>
      <c r="D639" s="25" t="s">
        <v>1865</v>
      </c>
      <c r="E639" s="25" t="s">
        <v>1866</v>
      </c>
      <c r="F639" s="26" t="s">
        <v>27</v>
      </c>
      <c r="G639" s="26" t="s">
        <v>27</v>
      </c>
      <c r="H639" s="26">
        <v>1</v>
      </c>
      <c r="I639" s="26">
        <v>2</v>
      </c>
      <c r="J639" s="26">
        <v>1</v>
      </c>
      <c r="K639" s="26">
        <v>138</v>
      </c>
      <c r="L639" s="26" t="s">
        <v>28</v>
      </c>
      <c r="M639" s="27">
        <v>1935</v>
      </c>
      <c r="N639" s="30">
        <v>213897.81</v>
      </c>
      <c r="O639" s="26" t="s">
        <v>29</v>
      </c>
      <c r="P639" s="29"/>
      <c r="Q639" s="6"/>
      <c r="R639" s="29"/>
      <c r="S639" s="10"/>
      <c r="T639" s="8">
        <v>1</v>
      </c>
    </row>
    <row r="640" spans="1:20" ht="15.75" customHeight="1" outlineLevel="2" x14ac:dyDescent="0.35">
      <c r="A640" s="25" t="s">
        <v>1794</v>
      </c>
      <c r="B640" s="25" t="s">
        <v>2499</v>
      </c>
      <c r="C640" s="26">
        <v>122762</v>
      </c>
      <c r="D640" s="25" t="s">
        <v>1867</v>
      </c>
      <c r="E640" s="25" t="s">
        <v>1866</v>
      </c>
      <c r="F640" s="26" t="s">
        <v>27</v>
      </c>
      <c r="G640" s="26" t="s">
        <v>27</v>
      </c>
      <c r="H640" s="26">
        <v>1</v>
      </c>
      <c r="I640" s="26">
        <v>2</v>
      </c>
      <c r="J640" s="26">
        <v>1</v>
      </c>
      <c r="K640" s="26">
        <v>138</v>
      </c>
      <c r="L640" s="26" t="s">
        <v>28</v>
      </c>
      <c r="M640" s="27">
        <v>1937</v>
      </c>
      <c r="N640" s="30">
        <v>241138.48</v>
      </c>
      <c r="O640" s="26" t="s">
        <v>29</v>
      </c>
      <c r="P640" s="29"/>
      <c r="Q640" s="6"/>
      <c r="R640" s="29"/>
      <c r="S640" s="10"/>
      <c r="T640" s="8">
        <v>1</v>
      </c>
    </row>
    <row r="641" spans="1:26" ht="15.75" customHeight="1" outlineLevel="2" x14ac:dyDescent="0.35">
      <c r="A641" s="25" t="s">
        <v>1794</v>
      </c>
      <c r="B641" s="25" t="s">
        <v>2499</v>
      </c>
      <c r="C641" s="26">
        <v>122764</v>
      </c>
      <c r="D641" s="25" t="s">
        <v>1264</v>
      </c>
      <c r="E641" s="25" t="s">
        <v>1866</v>
      </c>
      <c r="F641" s="26" t="s">
        <v>27</v>
      </c>
      <c r="G641" s="26" t="s">
        <v>27</v>
      </c>
      <c r="H641" s="26">
        <v>1</v>
      </c>
      <c r="I641" s="26">
        <v>2</v>
      </c>
      <c r="J641" s="26">
        <v>1</v>
      </c>
      <c r="K641" s="26">
        <v>138</v>
      </c>
      <c r="L641" s="26" t="s">
        <v>28</v>
      </c>
      <c r="M641" s="27">
        <v>1952</v>
      </c>
      <c r="N641" s="30">
        <v>225506.12</v>
      </c>
      <c r="O641" s="26" t="s">
        <v>29</v>
      </c>
      <c r="P641" s="29"/>
      <c r="Q641" s="6"/>
      <c r="R641" s="29"/>
      <c r="S641" s="10"/>
      <c r="T641" s="8">
        <v>1</v>
      </c>
    </row>
    <row r="642" spans="1:26" ht="15.75" customHeight="1" outlineLevel="2" x14ac:dyDescent="0.35">
      <c r="A642" s="25" t="s">
        <v>1794</v>
      </c>
      <c r="B642" s="25" t="s">
        <v>2499</v>
      </c>
      <c r="C642" s="26">
        <v>122765</v>
      </c>
      <c r="D642" s="25" t="s">
        <v>1868</v>
      </c>
      <c r="E642" s="25" t="s">
        <v>1866</v>
      </c>
      <c r="F642" s="26" t="s">
        <v>27</v>
      </c>
      <c r="G642" s="26" t="s">
        <v>27</v>
      </c>
      <c r="H642" s="26">
        <v>1</v>
      </c>
      <c r="I642" s="26">
        <v>3</v>
      </c>
      <c r="J642" s="26">
        <v>1</v>
      </c>
      <c r="K642" s="26">
        <v>138</v>
      </c>
      <c r="L642" s="26" t="s">
        <v>28</v>
      </c>
      <c r="M642" s="27">
        <v>1955</v>
      </c>
      <c r="N642" s="28">
        <v>308879.48</v>
      </c>
      <c r="O642" s="26" t="s">
        <v>29</v>
      </c>
      <c r="P642" s="29"/>
      <c r="Q642" s="6"/>
      <c r="R642" s="29"/>
      <c r="S642" s="10"/>
      <c r="T642" s="8">
        <v>1</v>
      </c>
    </row>
    <row r="643" spans="1:26" ht="15.75" customHeight="1" outlineLevel="2" x14ac:dyDescent="0.35">
      <c r="A643" s="25" t="s">
        <v>1794</v>
      </c>
      <c r="B643" s="25" t="s">
        <v>2499</v>
      </c>
      <c r="C643" s="26">
        <v>122766</v>
      </c>
      <c r="D643" s="25" t="s">
        <v>1869</v>
      </c>
      <c r="E643" s="25" t="s">
        <v>1866</v>
      </c>
      <c r="F643" s="26" t="s">
        <v>27</v>
      </c>
      <c r="G643" s="26" t="s">
        <v>27</v>
      </c>
      <c r="H643" s="26">
        <v>1</v>
      </c>
      <c r="I643" s="26">
        <v>1</v>
      </c>
      <c r="J643" s="26">
        <v>1</v>
      </c>
      <c r="K643" s="26">
        <v>138</v>
      </c>
      <c r="L643" s="26" t="s">
        <v>28</v>
      </c>
      <c r="M643" s="27">
        <v>1958</v>
      </c>
      <c r="N643" s="30">
        <v>169344.07</v>
      </c>
      <c r="O643" s="26" t="s">
        <v>29</v>
      </c>
      <c r="P643" s="29"/>
      <c r="Q643" s="6"/>
      <c r="R643" s="29"/>
      <c r="S643" s="10"/>
      <c r="T643" s="8">
        <v>1</v>
      </c>
    </row>
    <row r="644" spans="1:26" ht="15.75" customHeight="1" outlineLevel="2" x14ac:dyDescent="0.35">
      <c r="A644" s="25" t="s">
        <v>1794</v>
      </c>
      <c r="B644" s="25" t="s">
        <v>2499</v>
      </c>
      <c r="C644" s="26">
        <v>122774</v>
      </c>
      <c r="D644" s="25" t="s">
        <v>1643</v>
      </c>
      <c r="E644" s="25" t="s">
        <v>1866</v>
      </c>
      <c r="F644" s="26" t="s">
        <v>27</v>
      </c>
      <c r="G644" s="26" t="s">
        <v>27</v>
      </c>
      <c r="H644" s="26">
        <v>1</v>
      </c>
      <c r="I644" s="26">
        <v>2</v>
      </c>
      <c r="J644" s="26">
        <v>1</v>
      </c>
      <c r="K644" s="26">
        <v>138</v>
      </c>
      <c r="L644" s="26" t="s">
        <v>28</v>
      </c>
      <c r="M644" s="27">
        <v>1988</v>
      </c>
      <c r="N644" s="28">
        <v>243122.67</v>
      </c>
      <c r="O644" s="26" t="s">
        <v>29</v>
      </c>
      <c r="P644" s="29"/>
      <c r="Q644" s="6"/>
      <c r="R644" s="29"/>
      <c r="S644" s="10"/>
      <c r="T644" s="8">
        <v>1</v>
      </c>
    </row>
    <row r="645" spans="1:26" ht="15.75" customHeight="1" outlineLevel="2" x14ac:dyDescent="0.35">
      <c r="A645" s="25" t="s">
        <v>1794</v>
      </c>
      <c r="B645" s="25" t="s">
        <v>2499</v>
      </c>
      <c r="C645" s="26">
        <v>192501</v>
      </c>
      <c r="D645" s="25" t="s">
        <v>1870</v>
      </c>
      <c r="E645" s="25" t="s">
        <v>1799</v>
      </c>
      <c r="F645" s="26" t="s">
        <v>27</v>
      </c>
      <c r="G645" s="26" t="s">
        <v>27</v>
      </c>
      <c r="H645" s="26">
        <v>1</v>
      </c>
      <c r="I645" s="26">
        <v>1</v>
      </c>
      <c r="J645" s="26">
        <v>1</v>
      </c>
      <c r="K645" s="26">
        <v>138</v>
      </c>
      <c r="L645" s="26" t="s">
        <v>28</v>
      </c>
      <c r="M645" s="27">
        <v>1959</v>
      </c>
      <c r="N645" s="30">
        <v>168654.72</v>
      </c>
      <c r="O645" s="26" t="s">
        <v>29</v>
      </c>
      <c r="P645" s="29"/>
      <c r="Q645" s="6"/>
      <c r="R645" s="29"/>
      <c r="S645" s="10"/>
      <c r="T645" s="8">
        <v>1</v>
      </c>
    </row>
    <row r="646" spans="1:26" ht="15.75" customHeight="1" outlineLevel="2" x14ac:dyDescent="0.35">
      <c r="A646" s="25" t="s">
        <v>1794</v>
      </c>
      <c r="B646" s="25" t="s">
        <v>2499</v>
      </c>
      <c r="C646" s="26">
        <v>192502</v>
      </c>
      <c r="D646" s="25" t="s">
        <v>1871</v>
      </c>
      <c r="E646" s="25" t="s">
        <v>1825</v>
      </c>
      <c r="F646" s="26" t="s">
        <v>27</v>
      </c>
      <c r="G646" s="26" t="s">
        <v>27</v>
      </c>
      <c r="H646" s="26">
        <v>1</v>
      </c>
      <c r="I646" s="26">
        <v>1</v>
      </c>
      <c r="J646" s="26">
        <v>1</v>
      </c>
      <c r="K646" s="26">
        <v>138</v>
      </c>
      <c r="L646" s="26" t="s">
        <v>28</v>
      </c>
      <c r="M646" s="27">
        <v>1960</v>
      </c>
      <c r="N646" s="30">
        <v>168161.09</v>
      </c>
      <c r="O646" s="26" t="s">
        <v>29</v>
      </c>
      <c r="P646" s="29"/>
      <c r="Q646" s="6"/>
      <c r="R646" s="29"/>
      <c r="S646" s="10"/>
      <c r="T646" s="8">
        <v>1</v>
      </c>
    </row>
    <row r="647" spans="1:26" ht="15.75" customHeight="1" outlineLevel="2" x14ac:dyDescent="0.35">
      <c r="A647" s="25" t="s">
        <v>1794</v>
      </c>
      <c r="B647" s="25" t="s">
        <v>2499</v>
      </c>
      <c r="C647" s="26">
        <v>192505</v>
      </c>
      <c r="D647" s="25" t="s">
        <v>1872</v>
      </c>
      <c r="E647" s="25" t="s">
        <v>1812</v>
      </c>
      <c r="F647" s="26" t="s">
        <v>27</v>
      </c>
      <c r="G647" s="26" t="s">
        <v>27</v>
      </c>
      <c r="H647" s="26">
        <v>1</v>
      </c>
      <c r="I647" s="26">
        <v>3</v>
      </c>
      <c r="J647" s="26">
        <v>1</v>
      </c>
      <c r="K647" s="26">
        <v>138</v>
      </c>
      <c r="L647" s="26" t="s">
        <v>28</v>
      </c>
      <c r="M647" s="27">
        <v>1975</v>
      </c>
      <c r="N647" s="28">
        <v>312518.46999999997</v>
      </c>
      <c r="O647" s="26" t="s">
        <v>29</v>
      </c>
      <c r="P647" s="29"/>
      <c r="Q647" s="6"/>
      <c r="R647" s="29"/>
      <c r="S647" s="10"/>
      <c r="T647" s="8">
        <v>1</v>
      </c>
    </row>
    <row r="648" spans="1:26" ht="15.75" customHeight="1" outlineLevel="2" x14ac:dyDescent="0.35">
      <c r="A648" s="25" t="s">
        <v>1794</v>
      </c>
      <c r="B648" s="25" t="s">
        <v>2499</v>
      </c>
      <c r="C648" s="26">
        <v>192509</v>
      </c>
      <c r="D648" s="25" t="s">
        <v>1873</v>
      </c>
      <c r="E648" s="25" t="s">
        <v>1866</v>
      </c>
      <c r="F648" s="26" t="s">
        <v>27</v>
      </c>
      <c r="G648" s="26" t="s">
        <v>27</v>
      </c>
      <c r="H648" s="26">
        <v>1</v>
      </c>
      <c r="I648" s="26">
        <v>2</v>
      </c>
      <c r="J648" s="26">
        <v>1</v>
      </c>
      <c r="K648" s="26">
        <v>138</v>
      </c>
      <c r="L648" s="26" t="s">
        <v>28</v>
      </c>
      <c r="M648" s="27">
        <v>1972</v>
      </c>
      <c r="N648" s="30">
        <v>227008.72</v>
      </c>
      <c r="O648" s="26" t="s">
        <v>29</v>
      </c>
      <c r="P648" s="29"/>
      <c r="Q648" s="6"/>
      <c r="R648" s="29"/>
      <c r="S648" s="10"/>
      <c r="T648" s="8">
        <v>1</v>
      </c>
    </row>
    <row r="649" spans="1:26" ht="15.75" customHeight="1" outlineLevel="2" x14ac:dyDescent="0.35">
      <c r="A649" s="25" t="s">
        <v>1794</v>
      </c>
      <c r="B649" s="25" t="s">
        <v>2499</v>
      </c>
      <c r="C649" s="26">
        <v>192511</v>
      </c>
      <c r="D649" s="25" t="s">
        <v>1874</v>
      </c>
      <c r="E649" s="25" t="s">
        <v>1812</v>
      </c>
      <c r="F649" s="26" t="s">
        <v>27</v>
      </c>
      <c r="G649" s="26" t="s">
        <v>27</v>
      </c>
      <c r="H649" s="26">
        <v>1</v>
      </c>
      <c r="I649" s="26">
        <v>3</v>
      </c>
      <c r="J649" s="26">
        <v>1</v>
      </c>
      <c r="K649" s="26">
        <v>138</v>
      </c>
      <c r="L649" s="26" t="s">
        <v>28</v>
      </c>
      <c r="M649" s="27">
        <v>1941</v>
      </c>
      <c r="N649" s="28">
        <v>324124.37</v>
      </c>
      <c r="O649" s="26" t="s">
        <v>29</v>
      </c>
      <c r="P649" s="29"/>
      <c r="Q649" s="6"/>
      <c r="R649" s="29"/>
      <c r="S649" s="10"/>
      <c r="T649" s="8">
        <v>1</v>
      </c>
    </row>
    <row r="650" spans="1:26" ht="15.75" customHeight="1" outlineLevel="2" x14ac:dyDescent="0.35">
      <c r="A650" s="25" t="s">
        <v>1794</v>
      </c>
      <c r="B650" s="25" t="s">
        <v>2499</v>
      </c>
      <c r="C650" s="26">
        <v>192515</v>
      </c>
      <c r="D650" s="25" t="s">
        <v>1875</v>
      </c>
      <c r="E650" s="25" t="s">
        <v>1820</v>
      </c>
      <c r="F650" s="26" t="s">
        <v>27</v>
      </c>
      <c r="G650" s="26" t="s">
        <v>27</v>
      </c>
      <c r="H650" s="26">
        <v>1</v>
      </c>
      <c r="I650" s="26">
        <v>2</v>
      </c>
      <c r="J650" s="26">
        <v>1</v>
      </c>
      <c r="K650" s="26">
        <v>138</v>
      </c>
      <c r="L650" s="26" t="s">
        <v>28</v>
      </c>
      <c r="M650" s="27">
        <v>1999</v>
      </c>
      <c r="N650" s="28">
        <v>222349.09</v>
      </c>
      <c r="O650" s="26" t="s">
        <v>29</v>
      </c>
      <c r="P650" s="29"/>
      <c r="Q650" s="6"/>
      <c r="R650" s="29"/>
      <c r="S650" s="10"/>
      <c r="T650" s="8">
        <v>1</v>
      </c>
    </row>
    <row r="651" spans="1:26" ht="15.75" customHeight="1" outlineLevel="2" x14ac:dyDescent="0.35">
      <c r="A651" s="25" t="s">
        <v>1794</v>
      </c>
      <c r="B651" s="25" t="s">
        <v>2499</v>
      </c>
      <c r="C651" s="26">
        <v>192518</v>
      </c>
      <c r="D651" s="25" t="s">
        <v>1876</v>
      </c>
      <c r="E651" s="25" t="s">
        <v>1835</v>
      </c>
      <c r="F651" s="26" t="s">
        <v>27</v>
      </c>
      <c r="G651" s="26" t="s">
        <v>27</v>
      </c>
      <c r="H651" s="26">
        <v>1</v>
      </c>
      <c r="I651" s="26">
        <v>1</v>
      </c>
      <c r="J651" s="26">
        <v>1</v>
      </c>
      <c r="K651" s="26">
        <v>138</v>
      </c>
      <c r="L651" s="26" t="s">
        <v>28</v>
      </c>
      <c r="M651" s="27">
        <v>1996</v>
      </c>
      <c r="N651" s="28">
        <v>176549.25</v>
      </c>
      <c r="O651" s="26" t="s">
        <v>29</v>
      </c>
      <c r="P651" s="29"/>
      <c r="Q651" s="6"/>
      <c r="R651" s="29"/>
      <c r="S651" s="10"/>
      <c r="T651" s="8">
        <v>1</v>
      </c>
    </row>
    <row r="652" spans="1:26" ht="15.75" customHeight="1" outlineLevel="2" x14ac:dyDescent="0.35">
      <c r="A652" s="25" t="s">
        <v>1794</v>
      </c>
      <c r="B652" s="25" t="s">
        <v>2499</v>
      </c>
      <c r="C652" s="26">
        <v>192519</v>
      </c>
      <c r="D652" s="25" t="s">
        <v>1877</v>
      </c>
      <c r="E652" s="25" t="s">
        <v>1835</v>
      </c>
      <c r="F652" s="26" t="s">
        <v>27</v>
      </c>
      <c r="G652" s="26" t="s">
        <v>27</v>
      </c>
      <c r="H652" s="26">
        <v>1</v>
      </c>
      <c r="I652" s="26">
        <v>2</v>
      </c>
      <c r="J652" s="26">
        <v>1</v>
      </c>
      <c r="K652" s="26">
        <v>138</v>
      </c>
      <c r="L652" s="26" t="s">
        <v>28</v>
      </c>
      <c r="M652" s="27">
        <v>1985</v>
      </c>
      <c r="N652" s="30">
        <v>224354.54</v>
      </c>
      <c r="O652" s="26" t="s">
        <v>29</v>
      </c>
      <c r="P652" s="29"/>
      <c r="Q652" s="6"/>
      <c r="R652" s="29"/>
      <c r="S652" s="10"/>
      <c r="T652" s="8">
        <v>1</v>
      </c>
    </row>
    <row r="653" spans="1:26" ht="15.75" customHeight="1" outlineLevel="1" x14ac:dyDescent="0.35">
      <c r="A653" s="25"/>
      <c r="B653" s="53" t="s">
        <v>2500</v>
      </c>
      <c r="C653" s="26"/>
      <c r="D653" s="25"/>
      <c r="E653" s="25"/>
      <c r="F653" s="26"/>
      <c r="G653" s="26"/>
      <c r="H653" s="26">
        <f t="shared" ref="H653:I653" si="35">SUBTOTAL(9,H580:H652)</f>
        <v>73</v>
      </c>
      <c r="I653" s="26">
        <f t="shared" si="35"/>
        <v>175</v>
      </c>
      <c r="J653" s="26"/>
      <c r="K653" s="26"/>
      <c r="L653" s="26"/>
      <c r="M653" s="27"/>
      <c r="N653" s="30">
        <f>SUBTOTAL(9,N580:N652)</f>
        <v>19990188.699999999</v>
      </c>
      <c r="O653" s="26"/>
      <c r="P653" s="29"/>
      <c r="Q653" s="6"/>
      <c r="R653" s="29"/>
      <c r="S653" s="10"/>
      <c r="T653" s="8"/>
    </row>
    <row r="654" spans="1:26" ht="25.5" customHeight="1" x14ac:dyDescent="0.35">
      <c r="A654" s="19"/>
      <c r="B654" s="19"/>
      <c r="C654" s="19"/>
      <c r="D654" s="50"/>
      <c r="E654" s="50"/>
      <c r="F654" s="19"/>
      <c r="G654" s="19"/>
      <c r="H654" s="48"/>
      <c r="I654" s="48"/>
      <c r="J654" s="19"/>
      <c r="K654" s="48"/>
      <c r="L654" s="54"/>
      <c r="M654" s="48"/>
      <c r="N654" s="48"/>
      <c r="O654" s="19"/>
      <c r="P654" s="45"/>
      <c r="Q654" s="51"/>
      <c r="R654" s="26"/>
      <c r="S654" s="55"/>
      <c r="T654" s="44"/>
      <c r="U654" s="54"/>
      <c r="V654" s="50"/>
      <c r="W654" s="19"/>
      <c r="X654" s="19"/>
      <c r="Y654" s="19"/>
      <c r="Z654" s="19"/>
    </row>
    <row r="655" spans="1:26" ht="25.5" customHeight="1" x14ac:dyDescent="0.35">
      <c r="A655" s="19"/>
      <c r="B655" s="56" t="s">
        <v>2377</v>
      </c>
      <c r="C655" s="19"/>
      <c r="D655" s="50"/>
      <c r="E655" s="50"/>
      <c r="F655" s="57"/>
      <c r="G655" s="57"/>
      <c r="H655" s="171" t="s">
        <v>2377</v>
      </c>
      <c r="I655" s="172"/>
      <c r="J655" s="19"/>
      <c r="K655" s="48"/>
      <c r="L655" s="54"/>
      <c r="M655" s="48"/>
      <c r="N655" s="48"/>
      <c r="O655" s="19"/>
      <c r="P655" s="51"/>
      <c r="Q655" s="51"/>
      <c r="R655" s="26"/>
      <c r="S655" s="55"/>
      <c r="T655" s="44"/>
      <c r="U655" s="54"/>
      <c r="V655" s="50"/>
      <c r="W655" s="19"/>
      <c r="X655" s="19"/>
      <c r="Y655" s="19"/>
      <c r="Z655" s="19"/>
    </row>
    <row r="656" spans="1:26" ht="25.5" customHeight="1" x14ac:dyDescent="0.35">
      <c r="A656" s="19"/>
      <c r="B656" s="19"/>
      <c r="C656" s="19"/>
      <c r="D656" s="50"/>
      <c r="E656" s="50"/>
      <c r="F656" s="19"/>
      <c r="G656" s="19"/>
      <c r="H656" s="19"/>
      <c r="I656" s="19"/>
      <c r="J656" s="19"/>
      <c r="K656" s="48"/>
      <c r="L656" s="54"/>
      <c r="M656" s="48"/>
      <c r="N656" s="48"/>
      <c r="O656" s="19"/>
      <c r="P656" s="51"/>
      <c r="Q656" s="51"/>
      <c r="R656" s="26"/>
      <c r="S656" s="55"/>
      <c r="T656" s="44"/>
      <c r="U656" s="54"/>
      <c r="V656" s="50"/>
      <c r="W656" s="19"/>
      <c r="X656" s="19"/>
      <c r="Y656" s="19"/>
      <c r="Z656" s="19"/>
    </row>
    <row r="657" spans="1:26" ht="25.5" customHeight="1" x14ac:dyDescent="0.35">
      <c r="A657" s="19"/>
      <c r="B657" s="19"/>
      <c r="C657" s="19"/>
      <c r="D657" s="50"/>
      <c r="E657" s="50"/>
      <c r="F657" s="19"/>
      <c r="G657" s="19"/>
      <c r="H657" s="48"/>
      <c r="I657" s="48"/>
      <c r="J657" s="19"/>
      <c r="K657" s="48"/>
      <c r="L657" s="54"/>
      <c r="M657" s="48"/>
      <c r="N657" s="48"/>
      <c r="O657" s="19"/>
      <c r="P657" s="51"/>
      <c r="Q657" s="51"/>
      <c r="R657" s="26"/>
      <c r="S657" s="55"/>
      <c r="T657" s="44"/>
      <c r="U657" s="54"/>
      <c r="V657" s="50"/>
      <c r="W657" s="19"/>
      <c r="X657" s="19"/>
      <c r="Y657" s="19"/>
      <c r="Z657" s="19"/>
    </row>
    <row r="658" spans="1:26" ht="25.5" customHeight="1" x14ac:dyDescent="0.35">
      <c r="A658" s="19"/>
      <c r="B658" s="19"/>
      <c r="C658" s="58"/>
      <c r="D658" s="78" t="s">
        <v>2432</v>
      </c>
      <c r="E658" s="50"/>
      <c r="F658" s="19"/>
      <c r="G658" s="19"/>
      <c r="H658" s="48"/>
      <c r="I658" s="48"/>
      <c r="J658" s="19"/>
      <c r="K658" s="48"/>
      <c r="L658" s="54"/>
      <c r="M658" s="173" t="s">
        <v>2433</v>
      </c>
      <c r="N658" s="172"/>
      <c r="O658" s="172"/>
      <c r="P658" s="51"/>
      <c r="Q658" s="51"/>
      <c r="R658" s="26"/>
      <c r="S658" s="55"/>
      <c r="T658" s="44"/>
      <c r="U658" s="54"/>
      <c r="V658" s="50"/>
      <c r="W658" s="19"/>
      <c r="X658" s="19"/>
      <c r="Y658" s="19"/>
      <c r="Z658" s="19"/>
    </row>
    <row r="659" spans="1:26" ht="29.25" customHeight="1" x14ac:dyDescent="0.35">
      <c r="A659" s="19"/>
      <c r="B659" s="19"/>
      <c r="C659" s="59"/>
      <c r="D659" s="56" t="s">
        <v>2434</v>
      </c>
      <c r="E659" s="60"/>
      <c r="F659" s="56"/>
      <c r="G659" s="56"/>
      <c r="H659" s="61"/>
      <c r="I659" s="61"/>
      <c r="J659" s="56"/>
      <c r="K659" s="61"/>
      <c r="L659" s="62"/>
      <c r="M659" s="174" t="s">
        <v>2435</v>
      </c>
      <c r="N659" s="172"/>
      <c r="O659" s="172"/>
      <c r="P659" s="63"/>
      <c r="Q659" s="51"/>
      <c r="R659" s="26"/>
      <c r="S659" s="55"/>
      <c r="T659" s="44"/>
      <c r="U659" s="54"/>
      <c r="V659" s="50"/>
      <c r="W659" s="19"/>
      <c r="X659" s="19"/>
      <c r="Y659" s="19"/>
      <c r="Z659" s="19"/>
    </row>
    <row r="660" spans="1:26" ht="15.75" customHeight="1" outlineLevel="2" x14ac:dyDescent="0.35">
      <c r="A660" s="25" t="s">
        <v>1894</v>
      </c>
      <c r="B660" s="25" t="s">
        <v>2501</v>
      </c>
      <c r="C660" s="26">
        <v>199541</v>
      </c>
      <c r="D660" s="25" t="s">
        <v>1896</v>
      </c>
      <c r="E660" s="25" t="s">
        <v>976</v>
      </c>
      <c r="F660" s="26" t="s">
        <v>491</v>
      </c>
      <c r="G660" s="26" t="s">
        <v>491</v>
      </c>
      <c r="H660" s="26">
        <v>1</v>
      </c>
      <c r="I660" s="26">
        <v>4</v>
      </c>
      <c r="J660" s="26">
        <v>1</v>
      </c>
      <c r="K660" s="26">
        <v>138</v>
      </c>
      <c r="L660" s="26" t="s">
        <v>28</v>
      </c>
      <c r="M660" s="27">
        <v>2012</v>
      </c>
      <c r="N660" s="28">
        <v>299968.2</v>
      </c>
      <c r="O660" s="26" t="s">
        <v>29</v>
      </c>
      <c r="P660" s="29"/>
      <c r="Q660" s="6"/>
      <c r="R660" s="29"/>
      <c r="S660" s="10"/>
      <c r="T660" s="8">
        <v>1</v>
      </c>
    </row>
    <row r="661" spans="1:26" ht="15.75" customHeight="1" outlineLevel="1" x14ac:dyDescent="0.35">
      <c r="A661" s="25"/>
      <c r="B661" s="53" t="s">
        <v>2502</v>
      </c>
      <c r="C661" s="26"/>
      <c r="D661" s="25"/>
      <c r="E661" s="25"/>
      <c r="F661" s="26"/>
      <c r="G661" s="26"/>
      <c r="H661" s="26">
        <f t="shared" ref="H661:I661" si="36">SUBTOTAL(9,H660)</f>
        <v>1</v>
      </c>
      <c r="I661" s="26">
        <f t="shared" si="36"/>
        <v>4</v>
      </c>
      <c r="J661" s="26"/>
      <c r="K661" s="26"/>
      <c r="L661" s="26"/>
      <c r="M661" s="27"/>
      <c r="N661" s="28">
        <f>SUBTOTAL(9,N660)</f>
        <v>299968.2</v>
      </c>
      <c r="O661" s="26"/>
      <c r="P661" s="29"/>
      <c r="Q661" s="6"/>
      <c r="R661" s="29"/>
      <c r="S661" s="10"/>
      <c r="T661" s="8"/>
    </row>
    <row r="662" spans="1:26" ht="25.5" customHeight="1" x14ac:dyDescent="0.35">
      <c r="A662" s="19"/>
      <c r="B662" s="19"/>
      <c r="C662" s="19"/>
      <c r="D662" s="50"/>
      <c r="E662" s="50"/>
      <c r="F662" s="19"/>
      <c r="G662" s="19"/>
      <c r="H662" s="48"/>
      <c r="I662" s="48"/>
      <c r="J662" s="19"/>
      <c r="K662" s="48"/>
      <c r="L662" s="54"/>
      <c r="M662" s="48"/>
      <c r="N662" s="48"/>
      <c r="O662" s="19"/>
      <c r="P662" s="45"/>
      <c r="Q662" s="51"/>
      <c r="R662" s="26"/>
      <c r="S662" s="55"/>
      <c r="T662" s="44"/>
      <c r="U662" s="54"/>
      <c r="V662" s="50"/>
      <c r="W662" s="19"/>
      <c r="X662" s="19"/>
      <c r="Y662" s="19"/>
      <c r="Z662" s="19"/>
    </row>
    <row r="663" spans="1:26" ht="25.5" customHeight="1" x14ac:dyDescent="0.35">
      <c r="A663" s="19"/>
      <c r="B663" s="56" t="s">
        <v>2377</v>
      </c>
      <c r="C663" s="19"/>
      <c r="D663" s="50"/>
      <c r="E663" s="50"/>
      <c r="F663" s="57"/>
      <c r="G663" s="57"/>
      <c r="H663" s="171" t="s">
        <v>2377</v>
      </c>
      <c r="I663" s="172"/>
      <c r="J663" s="19"/>
      <c r="K663" s="48"/>
      <c r="L663" s="54"/>
      <c r="M663" s="48"/>
      <c r="N663" s="48"/>
      <c r="O663" s="19"/>
      <c r="P663" s="51"/>
      <c r="Q663" s="51"/>
      <c r="R663" s="26"/>
      <c r="S663" s="55"/>
      <c r="T663" s="44"/>
      <c r="U663" s="54"/>
      <c r="V663" s="50"/>
      <c r="W663" s="19"/>
      <c r="X663" s="19"/>
      <c r="Y663" s="19"/>
      <c r="Z663" s="19"/>
    </row>
    <row r="664" spans="1:26" ht="25.5" customHeight="1" x14ac:dyDescent="0.35">
      <c r="A664" s="19"/>
      <c r="B664" s="19"/>
      <c r="C664" s="19"/>
      <c r="D664" s="50"/>
      <c r="E664" s="50"/>
      <c r="F664" s="19"/>
      <c r="G664" s="19"/>
      <c r="H664" s="19"/>
      <c r="I664" s="19"/>
      <c r="J664" s="19"/>
      <c r="K664" s="48"/>
      <c r="L664" s="54"/>
      <c r="M664" s="48"/>
      <c r="N664" s="48"/>
      <c r="O664" s="19"/>
      <c r="P664" s="51"/>
      <c r="Q664" s="51"/>
      <c r="R664" s="26"/>
      <c r="S664" s="55"/>
      <c r="T664" s="44"/>
      <c r="U664" s="54"/>
      <c r="V664" s="50"/>
      <c r="W664" s="19"/>
      <c r="X664" s="19"/>
      <c r="Y664" s="19"/>
      <c r="Z664" s="19"/>
    </row>
    <row r="665" spans="1:26" ht="25.5" customHeight="1" x14ac:dyDescent="0.35">
      <c r="A665" s="19"/>
      <c r="B665" s="19"/>
      <c r="C665" s="19"/>
      <c r="D665" s="50"/>
      <c r="E665" s="50"/>
      <c r="F665" s="19"/>
      <c r="G665" s="19"/>
      <c r="H665" s="48"/>
      <c r="I665" s="48"/>
      <c r="J665" s="19"/>
      <c r="K665" s="48"/>
      <c r="L665" s="54"/>
      <c r="M665" s="48"/>
      <c r="N665" s="48"/>
      <c r="O665" s="19"/>
      <c r="P665" s="51"/>
      <c r="Q665" s="51"/>
      <c r="R665" s="26"/>
      <c r="S665" s="55"/>
      <c r="T665" s="44"/>
      <c r="U665" s="54"/>
      <c r="V665" s="50"/>
      <c r="W665" s="19"/>
      <c r="X665" s="19"/>
      <c r="Y665" s="19"/>
      <c r="Z665" s="19"/>
    </row>
    <row r="666" spans="1:26" ht="25.5" customHeight="1" x14ac:dyDescent="0.35">
      <c r="A666" s="19"/>
      <c r="B666" s="19"/>
      <c r="C666" s="58"/>
      <c r="D666" s="78" t="s">
        <v>2432</v>
      </c>
      <c r="E666" s="50"/>
      <c r="F666" s="19"/>
      <c r="G666" s="19"/>
      <c r="H666" s="48"/>
      <c r="I666" s="48"/>
      <c r="J666" s="19"/>
      <c r="K666" s="48"/>
      <c r="L666" s="54"/>
      <c r="M666" s="173" t="s">
        <v>2433</v>
      </c>
      <c r="N666" s="172"/>
      <c r="O666" s="172"/>
      <c r="P666" s="51"/>
      <c r="Q666" s="51"/>
      <c r="R666" s="26"/>
      <c r="S666" s="55"/>
      <c r="T666" s="44"/>
      <c r="U666" s="54"/>
      <c r="V666" s="50"/>
      <c r="W666" s="19"/>
      <c r="X666" s="19"/>
      <c r="Y666" s="19"/>
      <c r="Z666" s="19"/>
    </row>
    <row r="667" spans="1:26" ht="29.25" customHeight="1" x14ac:dyDescent="0.35">
      <c r="A667" s="19"/>
      <c r="B667" s="19"/>
      <c r="C667" s="59"/>
      <c r="D667" s="56" t="s">
        <v>2434</v>
      </c>
      <c r="E667" s="60"/>
      <c r="F667" s="56"/>
      <c r="G667" s="56"/>
      <c r="H667" s="61"/>
      <c r="I667" s="61"/>
      <c r="J667" s="56"/>
      <c r="K667" s="61"/>
      <c r="L667" s="62"/>
      <c r="M667" s="174" t="s">
        <v>2435</v>
      </c>
      <c r="N667" s="172"/>
      <c r="O667" s="172"/>
      <c r="P667" s="63"/>
      <c r="Q667" s="51"/>
      <c r="R667" s="26"/>
      <c r="S667" s="55"/>
      <c r="T667" s="44"/>
      <c r="U667" s="54"/>
      <c r="V667" s="50"/>
      <c r="W667" s="19"/>
      <c r="X667" s="19"/>
      <c r="Y667" s="19"/>
      <c r="Z667" s="19"/>
    </row>
    <row r="668" spans="1:26" ht="15.75" customHeight="1" outlineLevel="2" x14ac:dyDescent="0.35">
      <c r="A668" s="25" t="s">
        <v>1894</v>
      </c>
      <c r="B668" s="25" t="s">
        <v>2503</v>
      </c>
      <c r="C668" s="26">
        <v>315003</v>
      </c>
      <c r="D668" s="39" t="s">
        <v>1898</v>
      </c>
      <c r="E668" s="25" t="s">
        <v>1899</v>
      </c>
      <c r="F668" s="26" t="s">
        <v>27</v>
      </c>
      <c r="G668" s="26" t="s">
        <v>27</v>
      </c>
      <c r="H668" s="26">
        <v>1</v>
      </c>
      <c r="I668" s="26">
        <v>6</v>
      </c>
      <c r="J668" s="26">
        <v>1</v>
      </c>
      <c r="K668" s="26">
        <v>138</v>
      </c>
      <c r="L668" s="26" t="s">
        <v>28</v>
      </c>
      <c r="M668" s="27">
        <v>2014</v>
      </c>
      <c r="N668" s="28">
        <v>276066</v>
      </c>
      <c r="O668" s="26" t="s">
        <v>29</v>
      </c>
      <c r="P668" s="29"/>
      <c r="Q668" s="6"/>
      <c r="R668" s="29"/>
      <c r="S668" s="10"/>
      <c r="T668" s="8">
        <v>1</v>
      </c>
    </row>
    <row r="669" spans="1:26" ht="15.75" customHeight="1" outlineLevel="2" x14ac:dyDescent="0.35">
      <c r="A669" s="25" t="s">
        <v>1894</v>
      </c>
      <c r="B669" s="25" t="s">
        <v>2503</v>
      </c>
      <c r="C669" s="26">
        <v>315004</v>
      </c>
      <c r="D669" s="39" t="s">
        <v>1900</v>
      </c>
      <c r="E669" s="25" t="s">
        <v>1901</v>
      </c>
      <c r="F669" s="26" t="s">
        <v>27</v>
      </c>
      <c r="G669" s="26" t="s">
        <v>27</v>
      </c>
      <c r="H669" s="26">
        <v>1</v>
      </c>
      <c r="I669" s="26">
        <v>1</v>
      </c>
      <c r="J669" s="26">
        <v>1</v>
      </c>
      <c r="K669" s="26">
        <v>138</v>
      </c>
      <c r="L669" s="26" t="s">
        <v>28</v>
      </c>
      <c r="M669" s="27">
        <v>2013</v>
      </c>
      <c r="N669" s="28">
        <v>286844.51</v>
      </c>
      <c r="O669" s="26" t="s">
        <v>29</v>
      </c>
      <c r="P669" s="29"/>
      <c r="Q669" s="6"/>
      <c r="R669" s="29"/>
      <c r="S669" s="10"/>
      <c r="T669" s="8">
        <v>1</v>
      </c>
    </row>
    <row r="670" spans="1:26" ht="15.75" customHeight="1" outlineLevel="1" x14ac:dyDescent="0.35">
      <c r="A670" s="25"/>
      <c r="B670" s="53" t="s">
        <v>2504</v>
      </c>
      <c r="C670" s="26"/>
      <c r="D670" s="39"/>
      <c r="E670" s="25"/>
      <c r="F670" s="26"/>
      <c r="G670" s="26"/>
      <c r="H670" s="26">
        <f t="shared" ref="H670:I670" si="37">SUBTOTAL(9,H668:H669)</f>
        <v>2</v>
      </c>
      <c r="I670" s="26">
        <f t="shared" si="37"/>
        <v>7</v>
      </c>
      <c r="J670" s="26"/>
      <c r="K670" s="26"/>
      <c r="L670" s="26"/>
      <c r="M670" s="27"/>
      <c r="N670" s="28">
        <f>SUBTOTAL(9,N668:N669)</f>
        <v>562910.51</v>
      </c>
      <c r="O670" s="26"/>
      <c r="P670" s="29"/>
      <c r="Q670" s="6"/>
      <c r="R670" s="29"/>
      <c r="S670" s="10"/>
      <c r="T670" s="8"/>
    </row>
    <row r="671" spans="1:26" ht="25.5" customHeight="1" x14ac:dyDescent="0.35">
      <c r="A671" s="19"/>
      <c r="B671" s="19"/>
      <c r="C671" s="19"/>
      <c r="D671" s="50"/>
      <c r="E671" s="50"/>
      <c r="F671" s="19"/>
      <c r="G671" s="19"/>
      <c r="H671" s="48"/>
      <c r="I671" s="48"/>
      <c r="J671" s="19"/>
      <c r="K671" s="48"/>
      <c r="L671" s="54"/>
      <c r="M671" s="48"/>
      <c r="N671" s="48"/>
      <c r="O671" s="19"/>
      <c r="P671" s="45"/>
      <c r="Q671" s="51"/>
      <c r="R671" s="26"/>
      <c r="S671" s="55"/>
      <c r="T671" s="44"/>
      <c r="U671" s="54"/>
      <c r="V671" s="50"/>
      <c r="W671" s="19"/>
      <c r="X671" s="19"/>
      <c r="Y671" s="19"/>
      <c r="Z671" s="19"/>
    </row>
    <row r="672" spans="1:26" ht="25.5" customHeight="1" x14ac:dyDescent="0.35">
      <c r="A672" s="19"/>
      <c r="B672" s="56" t="s">
        <v>2377</v>
      </c>
      <c r="C672" s="19"/>
      <c r="D672" s="50"/>
      <c r="E672" s="50"/>
      <c r="F672" s="57"/>
      <c r="G672" s="57"/>
      <c r="H672" s="171" t="s">
        <v>2377</v>
      </c>
      <c r="I672" s="172"/>
      <c r="J672" s="19"/>
      <c r="K672" s="48"/>
      <c r="L672" s="54"/>
      <c r="M672" s="48"/>
      <c r="N672" s="48"/>
      <c r="O672" s="19"/>
      <c r="P672" s="51"/>
      <c r="Q672" s="51"/>
      <c r="R672" s="26"/>
      <c r="S672" s="55"/>
      <c r="T672" s="44"/>
      <c r="U672" s="54"/>
      <c r="V672" s="50"/>
      <c r="W672" s="19"/>
      <c r="X672" s="19"/>
      <c r="Y672" s="19"/>
      <c r="Z672" s="19"/>
    </row>
    <row r="673" spans="1:26" ht="25.5" customHeight="1" x14ac:dyDescent="0.35">
      <c r="A673" s="19"/>
      <c r="B673" s="19"/>
      <c r="C673" s="19"/>
      <c r="D673" s="50"/>
      <c r="E673" s="50"/>
      <c r="F673" s="19"/>
      <c r="G673" s="19"/>
      <c r="H673" s="19"/>
      <c r="I673" s="19"/>
      <c r="J673" s="19"/>
      <c r="K673" s="48"/>
      <c r="L673" s="54"/>
      <c r="M673" s="48"/>
      <c r="N673" s="48"/>
      <c r="O673" s="19"/>
      <c r="P673" s="51"/>
      <c r="Q673" s="51"/>
      <c r="R673" s="26"/>
      <c r="S673" s="55"/>
      <c r="T673" s="44"/>
      <c r="U673" s="54"/>
      <c r="V673" s="50"/>
      <c r="W673" s="19"/>
      <c r="X673" s="19"/>
      <c r="Y673" s="19"/>
      <c r="Z673" s="19"/>
    </row>
    <row r="674" spans="1:26" ht="25.5" customHeight="1" x14ac:dyDescent="0.35">
      <c r="A674" s="19"/>
      <c r="B674" s="19"/>
      <c r="C674" s="19"/>
      <c r="D674" s="50"/>
      <c r="E674" s="50"/>
      <c r="F674" s="19"/>
      <c r="G674" s="19"/>
      <c r="H674" s="48"/>
      <c r="I674" s="48"/>
      <c r="J674" s="19"/>
      <c r="K674" s="48"/>
      <c r="L674" s="54"/>
      <c r="M674" s="48"/>
      <c r="N674" s="48"/>
      <c r="O674" s="19"/>
      <c r="P674" s="51"/>
      <c r="Q674" s="51"/>
      <c r="R674" s="26"/>
      <c r="S674" s="55"/>
      <c r="T674" s="44"/>
      <c r="U674" s="54"/>
      <c r="V674" s="50"/>
      <c r="W674" s="19"/>
      <c r="X674" s="19"/>
      <c r="Y674" s="19"/>
      <c r="Z674" s="19"/>
    </row>
    <row r="675" spans="1:26" ht="25.5" customHeight="1" x14ac:dyDescent="0.35">
      <c r="A675" s="19"/>
      <c r="B675" s="19"/>
      <c r="C675" s="58"/>
      <c r="D675" s="78" t="s">
        <v>2432</v>
      </c>
      <c r="E675" s="50"/>
      <c r="F675" s="19"/>
      <c r="G675" s="19"/>
      <c r="H675" s="48"/>
      <c r="I675" s="48"/>
      <c r="J675" s="19"/>
      <c r="K675" s="48"/>
      <c r="L675" s="54"/>
      <c r="M675" s="173" t="s">
        <v>2433</v>
      </c>
      <c r="N675" s="172"/>
      <c r="O675" s="172"/>
      <c r="P675" s="51"/>
      <c r="Q675" s="51"/>
      <c r="R675" s="26"/>
      <c r="S675" s="55"/>
      <c r="T675" s="44"/>
      <c r="U675" s="54"/>
      <c r="V675" s="50"/>
      <c r="W675" s="19"/>
      <c r="X675" s="19"/>
      <c r="Y675" s="19"/>
      <c r="Z675" s="19"/>
    </row>
    <row r="676" spans="1:26" ht="29.25" customHeight="1" x14ac:dyDescent="0.35">
      <c r="A676" s="19"/>
      <c r="B676" s="19"/>
      <c r="C676" s="59"/>
      <c r="D676" s="56" t="s">
        <v>2434</v>
      </c>
      <c r="E676" s="60"/>
      <c r="F676" s="56"/>
      <c r="G676" s="56"/>
      <c r="H676" s="61"/>
      <c r="I676" s="61"/>
      <c r="J676" s="56"/>
      <c r="K676" s="61"/>
      <c r="L676" s="62"/>
      <c r="M676" s="174" t="s">
        <v>2435</v>
      </c>
      <c r="N676" s="172"/>
      <c r="O676" s="172"/>
      <c r="P676" s="63"/>
      <c r="Q676" s="51"/>
      <c r="R676" s="26"/>
      <c r="S676" s="55"/>
      <c r="T676" s="44"/>
      <c r="U676" s="54"/>
      <c r="V676" s="50"/>
      <c r="W676" s="19"/>
      <c r="X676" s="19"/>
      <c r="Y676" s="19"/>
      <c r="Z676" s="19"/>
    </row>
    <row r="677" spans="1:26" ht="15.75" customHeight="1" outlineLevel="2" x14ac:dyDescent="0.35">
      <c r="A677" s="9" t="s">
        <v>1894</v>
      </c>
      <c r="B677" s="9" t="s">
        <v>1902</v>
      </c>
      <c r="C677" s="31">
        <v>127213</v>
      </c>
      <c r="D677" s="32" t="s">
        <v>1912</v>
      </c>
      <c r="E677" s="32" t="s">
        <v>1913</v>
      </c>
      <c r="F677" s="29">
        <v>1</v>
      </c>
      <c r="G677" s="33"/>
      <c r="H677" s="33">
        <v>1</v>
      </c>
      <c r="I677" s="47">
        <v>2</v>
      </c>
      <c r="J677" s="29"/>
      <c r="K677" s="10"/>
      <c r="L677" s="10"/>
      <c r="M677" s="11"/>
      <c r="N677" s="34">
        <v>1189918.94</v>
      </c>
      <c r="O677" s="26" t="s">
        <v>29</v>
      </c>
      <c r="P677" s="29" t="s">
        <v>163</v>
      </c>
      <c r="Q677" s="6"/>
      <c r="R677" s="29"/>
      <c r="S677" s="10"/>
      <c r="T677" s="8">
        <v>1</v>
      </c>
    </row>
    <row r="678" spans="1:26" ht="15.75" customHeight="1" outlineLevel="1" x14ac:dyDescent="0.35">
      <c r="A678" s="9"/>
      <c r="B678" s="65" t="s">
        <v>2505</v>
      </c>
      <c r="C678" s="31"/>
      <c r="D678" s="32"/>
      <c r="E678" s="32"/>
      <c r="F678" s="29"/>
      <c r="G678" s="33"/>
      <c r="H678" s="33">
        <f t="shared" ref="H678:I678" si="38">SUBTOTAL(9,H677)</f>
        <v>1</v>
      </c>
      <c r="I678" s="47">
        <f t="shared" si="38"/>
        <v>2</v>
      </c>
      <c r="J678" s="29"/>
      <c r="K678" s="10"/>
      <c r="L678" s="10"/>
      <c r="M678" s="11"/>
      <c r="N678" s="34">
        <f>SUBTOTAL(9,N677)</f>
        <v>1189918.94</v>
      </c>
      <c r="O678" s="26"/>
      <c r="P678" s="29"/>
      <c r="Q678" s="6"/>
      <c r="R678" s="29"/>
      <c r="S678" s="10"/>
      <c r="T678" s="8"/>
    </row>
    <row r="679" spans="1:26" ht="25.5" customHeight="1" x14ac:dyDescent="0.35">
      <c r="A679" s="19"/>
      <c r="B679" s="19"/>
      <c r="C679" s="19"/>
      <c r="D679" s="50"/>
      <c r="E679" s="50"/>
      <c r="F679" s="19"/>
      <c r="G679" s="19"/>
      <c r="H679" s="48"/>
      <c r="I679" s="48"/>
      <c r="J679" s="19"/>
      <c r="K679" s="48"/>
      <c r="L679" s="54"/>
      <c r="M679" s="48"/>
      <c r="N679" s="48"/>
      <c r="O679" s="19"/>
      <c r="P679" s="45"/>
      <c r="Q679" s="51"/>
      <c r="R679" s="26"/>
      <c r="S679" s="55"/>
      <c r="T679" s="44"/>
      <c r="U679" s="54"/>
      <c r="V679" s="50"/>
      <c r="W679" s="19"/>
      <c r="X679" s="19"/>
      <c r="Y679" s="19"/>
      <c r="Z679" s="19"/>
    </row>
    <row r="680" spans="1:26" ht="25.5" customHeight="1" x14ac:dyDescent="0.35">
      <c r="A680" s="19"/>
      <c r="B680" s="56" t="s">
        <v>2377</v>
      </c>
      <c r="C680" s="19"/>
      <c r="D680" s="50"/>
      <c r="E680" s="50"/>
      <c r="F680" s="57"/>
      <c r="G680" s="57"/>
      <c r="H680" s="171" t="s">
        <v>2377</v>
      </c>
      <c r="I680" s="172"/>
      <c r="J680" s="19"/>
      <c r="K680" s="48"/>
      <c r="L680" s="54"/>
      <c r="M680" s="48"/>
      <c r="N680" s="48"/>
      <c r="O680" s="19"/>
      <c r="P680" s="51"/>
      <c r="Q680" s="51"/>
      <c r="R680" s="26"/>
      <c r="S680" s="55"/>
      <c r="T680" s="44"/>
      <c r="U680" s="54"/>
      <c r="V680" s="50"/>
      <c r="W680" s="19"/>
      <c r="X680" s="19"/>
      <c r="Y680" s="19"/>
      <c r="Z680" s="19"/>
    </row>
    <row r="681" spans="1:26" ht="25.5" customHeight="1" x14ac:dyDescent="0.35">
      <c r="A681" s="19"/>
      <c r="B681" s="19"/>
      <c r="C681" s="19"/>
      <c r="D681" s="50"/>
      <c r="E681" s="50"/>
      <c r="F681" s="19"/>
      <c r="G681" s="19"/>
      <c r="H681" s="19"/>
      <c r="I681" s="19"/>
      <c r="J681" s="19"/>
      <c r="K681" s="48"/>
      <c r="L681" s="54"/>
      <c r="M681" s="48"/>
      <c r="N681" s="48"/>
      <c r="O681" s="19"/>
      <c r="P681" s="51"/>
      <c r="Q681" s="51"/>
      <c r="R681" s="26"/>
      <c r="S681" s="55"/>
      <c r="T681" s="44"/>
      <c r="U681" s="54"/>
      <c r="V681" s="50"/>
      <c r="W681" s="19"/>
      <c r="X681" s="19"/>
      <c r="Y681" s="19"/>
      <c r="Z681" s="19"/>
    </row>
    <row r="682" spans="1:26" ht="25.5" customHeight="1" x14ac:dyDescent="0.35">
      <c r="A682" s="19"/>
      <c r="B682" s="19"/>
      <c r="C682" s="19"/>
      <c r="D682" s="50"/>
      <c r="E682" s="50"/>
      <c r="F682" s="19"/>
      <c r="G682" s="19"/>
      <c r="H682" s="48"/>
      <c r="I682" s="48"/>
      <c r="J682" s="19"/>
      <c r="K682" s="48"/>
      <c r="L682" s="54"/>
      <c r="M682" s="48"/>
      <c r="N682" s="48"/>
      <c r="O682" s="19"/>
      <c r="P682" s="51"/>
      <c r="Q682" s="51"/>
      <c r="R682" s="26"/>
      <c r="S682" s="55"/>
      <c r="T682" s="44"/>
      <c r="U682" s="54"/>
      <c r="V682" s="50"/>
      <c r="W682" s="19"/>
      <c r="X682" s="19"/>
      <c r="Y682" s="19"/>
      <c r="Z682" s="19"/>
    </row>
    <row r="683" spans="1:26" ht="25.5" customHeight="1" x14ac:dyDescent="0.35">
      <c r="A683" s="19"/>
      <c r="B683" s="19"/>
      <c r="C683" s="58"/>
      <c r="D683" s="78" t="s">
        <v>2432</v>
      </c>
      <c r="E683" s="50"/>
      <c r="F683" s="19"/>
      <c r="G683" s="19"/>
      <c r="H683" s="48"/>
      <c r="I683" s="48"/>
      <c r="J683" s="19"/>
      <c r="K683" s="48"/>
      <c r="L683" s="54"/>
      <c r="M683" s="173" t="s">
        <v>2433</v>
      </c>
      <c r="N683" s="172"/>
      <c r="O683" s="172"/>
      <c r="P683" s="51"/>
      <c r="Q683" s="51"/>
      <c r="R683" s="26"/>
      <c r="S683" s="55"/>
      <c r="T683" s="44"/>
      <c r="U683" s="54"/>
      <c r="V683" s="50"/>
      <c r="W683" s="19"/>
      <c r="X683" s="19"/>
      <c r="Y683" s="19"/>
      <c r="Z683" s="19"/>
    </row>
    <row r="684" spans="1:26" ht="29.25" customHeight="1" x14ac:dyDescent="0.35">
      <c r="A684" s="19"/>
      <c r="B684" s="19"/>
      <c r="C684" s="59"/>
      <c r="D684" s="56" t="s">
        <v>2434</v>
      </c>
      <c r="E684" s="60"/>
      <c r="F684" s="56"/>
      <c r="G684" s="56"/>
      <c r="H684" s="61"/>
      <c r="I684" s="61"/>
      <c r="J684" s="56"/>
      <c r="K684" s="61"/>
      <c r="L684" s="62"/>
      <c r="M684" s="174" t="s">
        <v>2435</v>
      </c>
      <c r="N684" s="172"/>
      <c r="O684" s="172"/>
      <c r="P684" s="63"/>
      <c r="Q684" s="51"/>
      <c r="R684" s="26"/>
      <c r="S684" s="55"/>
      <c r="T684" s="44"/>
      <c r="U684" s="54"/>
      <c r="V684" s="50"/>
      <c r="W684" s="19"/>
      <c r="X684" s="19"/>
      <c r="Y684" s="19"/>
      <c r="Z684" s="19"/>
    </row>
    <row r="685" spans="1:26" ht="15.75" customHeight="1" outlineLevel="2" x14ac:dyDescent="0.35">
      <c r="A685" s="25" t="s">
        <v>1914</v>
      </c>
      <c r="B685" s="25" t="s">
        <v>2506</v>
      </c>
      <c r="C685" s="26">
        <v>128351</v>
      </c>
      <c r="D685" s="25" t="s">
        <v>1921</v>
      </c>
      <c r="E685" s="25" t="s">
        <v>1922</v>
      </c>
      <c r="F685" s="26" t="s">
        <v>90</v>
      </c>
      <c r="G685" s="26" t="s">
        <v>90</v>
      </c>
      <c r="H685" s="26">
        <v>1</v>
      </c>
      <c r="I685" s="26">
        <v>7</v>
      </c>
      <c r="J685" s="26">
        <v>1</v>
      </c>
      <c r="K685" s="26">
        <v>138</v>
      </c>
      <c r="L685" s="26" t="s">
        <v>28</v>
      </c>
      <c r="M685" s="27">
        <v>2038</v>
      </c>
      <c r="N685" s="28">
        <v>934118.77</v>
      </c>
      <c r="O685" s="26" t="s">
        <v>29</v>
      </c>
      <c r="P685" s="29"/>
      <c r="Q685" s="6"/>
      <c r="R685" s="29"/>
      <c r="S685" s="10"/>
      <c r="T685" s="8">
        <v>1</v>
      </c>
    </row>
    <row r="686" spans="1:26" ht="15.75" customHeight="1" outlineLevel="2" x14ac:dyDescent="0.35">
      <c r="A686" s="25" t="s">
        <v>1914</v>
      </c>
      <c r="B686" s="25" t="s">
        <v>2506</v>
      </c>
      <c r="C686" s="26">
        <v>128356</v>
      </c>
      <c r="D686" s="25" t="s">
        <v>1923</v>
      </c>
      <c r="E686" s="25" t="s">
        <v>1922</v>
      </c>
      <c r="F686" s="26" t="s">
        <v>90</v>
      </c>
      <c r="G686" s="26" t="s">
        <v>90</v>
      </c>
      <c r="H686" s="26">
        <v>1</v>
      </c>
      <c r="I686" s="26">
        <v>3</v>
      </c>
      <c r="J686" s="26">
        <v>1</v>
      </c>
      <c r="K686" s="26">
        <v>138</v>
      </c>
      <c r="L686" s="26" t="s">
        <v>28</v>
      </c>
      <c r="M686" s="27">
        <v>2046</v>
      </c>
      <c r="N686" s="28">
        <v>463178.19</v>
      </c>
      <c r="O686" s="26" t="s">
        <v>29</v>
      </c>
      <c r="P686" s="29"/>
      <c r="Q686" s="6"/>
      <c r="R686" s="29"/>
      <c r="S686" s="10"/>
      <c r="T686" s="8">
        <v>1</v>
      </c>
    </row>
    <row r="687" spans="1:26" ht="15.75" customHeight="1" outlineLevel="2" x14ac:dyDescent="0.35">
      <c r="A687" s="9" t="s">
        <v>1914</v>
      </c>
      <c r="B687" s="25" t="s">
        <v>2506</v>
      </c>
      <c r="C687" s="31">
        <v>128423</v>
      </c>
      <c r="D687" s="32" t="s">
        <v>1934</v>
      </c>
      <c r="E687" s="32" t="s">
        <v>1935</v>
      </c>
      <c r="F687" s="29">
        <v>1</v>
      </c>
      <c r="G687" s="33"/>
      <c r="H687" s="33">
        <v>1</v>
      </c>
      <c r="I687" s="47">
        <v>7</v>
      </c>
      <c r="J687" s="29"/>
      <c r="K687" s="10"/>
      <c r="L687" s="10"/>
      <c r="M687" s="11"/>
      <c r="N687" s="34">
        <v>818399.6</v>
      </c>
      <c r="O687" s="26" t="s">
        <v>29</v>
      </c>
      <c r="P687" s="29" t="s">
        <v>163</v>
      </c>
      <c r="Q687" s="6"/>
      <c r="R687" s="29"/>
      <c r="S687" s="10"/>
      <c r="T687" s="8">
        <v>1</v>
      </c>
    </row>
    <row r="688" spans="1:26" ht="15.75" customHeight="1" outlineLevel="2" x14ac:dyDescent="0.35">
      <c r="A688" s="25" t="s">
        <v>1914</v>
      </c>
      <c r="B688" s="25" t="s">
        <v>2506</v>
      </c>
      <c r="C688" s="26">
        <v>128467</v>
      </c>
      <c r="D688" s="25" t="s">
        <v>1936</v>
      </c>
      <c r="E688" s="25" t="s">
        <v>1937</v>
      </c>
      <c r="F688" s="26" t="s">
        <v>215</v>
      </c>
      <c r="G688" s="26" t="s">
        <v>215</v>
      </c>
      <c r="H688" s="26">
        <v>1</v>
      </c>
      <c r="I688" s="26">
        <v>3</v>
      </c>
      <c r="J688" s="26">
        <v>1</v>
      </c>
      <c r="K688" s="26">
        <v>138</v>
      </c>
      <c r="L688" s="26" t="s">
        <v>28</v>
      </c>
      <c r="M688" s="27">
        <v>2027</v>
      </c>
      <c r="N688" s="28">
        <v>420762.11</v>
      </c>
      <c r="O688" s="26" t="s">
        <v>29</v>
      </c>
      <c r="P688" s="29"/>
      <c r="Q688" s="6"/>
      <c r="R688" s="29"/>
      <c r="S688" s="10"/>
      <c r="T688" s="8">
        <v>1</v>
      </c>
    </row>
    <row r="689" spans="1:26" ht="15.75" customHeight="1" outlineLevel="2" x14ac:dyDescent="0.35">
      <c r="A689" s="25" t="s">
        <v>1914</v>
      </c>
      <c r="B689" s="25" t="s">
        <v>2506</v>
      </c>
      <c r="C689" s="26">
        <v>128510</v>
      </c>
      <c r="D689" s="25" t="s">
        <v>1939</v>
      </c>
      <c r="E689" s="25" t="s">
        <v>1940</v>
      </c>
      <c r="F689" s="26" t="s">
        <v>215</v>
      </c>
      <c r="G689" s="26" t="s">
        <v>215</v>
      </c>
      <c r="H689" s="26">
        <v>1</v>
      </c>
      <c r="I689" s="26">
        <v>15</v>
      </c>
      <c r="J689" s="26">
        <v>1</v>
      </c>
      <c r="K689" s="26">
        <v>138</v>
      </c>
      <c r="L689" s="26" t="s">
        <v>28</v>
      </c>
      <c r="M689" s="27">
        <v>2023</v>
      </c>
      <c r="N689" s="28">
        <v>668672.61</v>
      </c>
      <c r="O689" s="26" t="s">
        <v>29</v>
      </c>
      <c r="P689" s="29"/>
      <c r="Q689" s="6"/>
      <c r="R689" s="29"/>
      <c r="S689" s="10"/>
      <c r="T689" s="8">
        <v>1</v>
      </c>
    </row>
    <row r="690" spans="1:26" ht="15.75" customHeight="1" outlineLevel="2" x14ac:dyDescent="0.35">
      <c r="A690" s="25" t="s">
        <v>1914</v>
      </c>
      <c r="B690" s="25" t="s">
        <v>2506</v>
      </c>
      <c r="C690" s="26">
        <v>204019</v>
      </c>
      <c r="D690" s="25" t="s">
        <v>1955</v>
      </c>
      <c r="E690" s="25" t="s">
        <v>1937</v>
      </c>
      <c r="F690" s="26" t="s">
        <v>215</v>
      </c>
      <c r="G690" s="26" t="s">
        <v>215</v>
      </c>
      <c r="H690" s="26">
        <v>1</v>
      </c>
      <c r="I690" s="26">
        <v>4</v>
      </c>
      <c r="J690" s="26">
        <v>1</v>
      </c>
      <c r="K690" s="26">
        <v>138</v>
      </c>
      <c r="L690" s="26" t="s">
        <v>28</v>
      </c>
      <c r="M690" s="27">
        <v>2026</v>
      </c>
      <c r="N690" s="28">
        <v>575410.75</v>
      </c>
      <c r="O690" s="26" t="s">
        <v>29</v>
      </c>
      <c r="P690" s="29"/>
      <c r="Q690" s="6"/>
      <c r="R690" s="29"/>
      <c r="S690" s="10"/>
      <c r="T690" s="8">
        <v>1</v>
      </c>
    </row>
    <row r="691" spans="1:26" ht="15.75" customHeight="1" outlineLevel="2" x14ac:dyDescent="0.35">
      <c r="A691" s="25" t="s">
        <v>1914</v>
      </c>
      <c r="B691" s="25" t="s">
        <v>2506</v>
      </c>
      <c r="C691" s="26">
        <v>204022</v>
      </c>
      <c r="D691" s="25" t="s">
        <v>1956</v>
      </c>
      <c r="E691" s="25" t="s">
        <v>1918</v>
      </c>
      <c r="F691" s="26" t="s">
        <v>90</v>
      </c>
      <c r="G691" s="26" t="s">
        <v>90</v>
      </c>
      <c r="H691" s="26">
        <v>1</v>
      </c>
      <c r="I691" s="26">
        <v>3</v>
      </c>
      <c r="J691" s="26">
        <v>1</v>
      </c>
      <c r="K691" s="26">
        <v>138</v>
      </c>
      <c r="L691" s="26" t="s">
        <v>28</v>
      </c>
      <c r="M691" s="27">
        <v>2040</v>
      </c>
      <c r="N691" s="28">
        <v>632284.71</v>
      </c>
      <c r="O691" s="26" t="s">
        <v>29</v>
      </c>
      <c r="P691" s="29"/>
      <c r="Q691" s="6"/>
      <c r="R691" s="29"/>
      <c r="S691" s="10"/>
      <c r="T691" s="8">
        <v>1</v>
      </c>
    </row>
    <row r="692" spans="1:26" ht="15.75" customHeight="1" outlineLevel="1" x14ac:dyDescent="0.35">
      <c r="A692" s="25"/>
      <c r="B692" s="53" t="s">
        <v>2507</v>
      </c>
      <c r="C692" s="26"/>
      <c r="D692" s="25"/>
      <c r="E692" s="25"/>
      <c r="F692" s="26"/>
      <c r="G692" s="26"/>
      <c r="H692" s="26">
        <f t="shared" ref="H692:I692" si="39">SUBTOTAL(9,H685:H691)</f>
        <v>7</v>
      </c>
      <c r="I692" s="26">
        <f t="shared" si="39"/>
        <v>42</v>
      </c>
      <c r="J692" s="26"/>
      <c r="K692" s="26"/>
      <c r="L692" s="26"/>
      <c r="M692" s="27"/>
      <c r="N692" s="28">
        <f>SUBTOTAL(9,N685:N691)</f>
        <v>4512826.74</v>
      </c>
      <c r="O692" s="26"/>
      <c r="P692" s="29"/>
      <c r="Q692" s="6"/>
      <c r="R692" s="29"/>
      <c r="S692" s="10"/>
      <c r="T692" s="8"/>
    </row>
    <row r="693" spans="1:26" ht="25.5" customHeight="1" x14ac:dyDescent="0.35">
      <c r="A693" s="19"/>
      <c r="B693" s="19"/>
      <c r="C693" s="19"/>
      <c r="D693" s="50"/>
      <c r="E693" s="50"/>
      <c r="F693" s="19"/>
      <c r="G693" s="19"/>
      <c r="H693" s="48"/>
      <c r="I693" s="48"/>
      <c r="J693" s="19"/>
      <c r="K693" s="48"/>
      <c r="L693" s="54"/>
      <c r="M693" s="48"/>
      <c r="N693" s="48"/>
      <c r="O693" s="19"/>
      <c r="P693" s="45"/>
      <c r="Q693" s="51"/>
      <c r="R693" s="26"/>
      <c r="S693" s="55"/>
      <c r="T693" s="44"/>
      <c r="U693" s="54"/>
      <c r="V693" s="50"/>
      <c r="W693" s="19"/>
      <c r="X693" s="19"/>
      <c r="Y693" s="19"/>
      <c r="Z693" s="19"/>
    </row>
    <row r="694" spans="1:26" ht="25.5" customHeight="1" x14ac:dyDescent="0.35">
      <c r="A694" s="19"/>
      <c r="B694" s="56" t="s">
        <v>2377</v>
      </c>
      <c r="C694" s="19"/>
      <c r="D694" s="50"/>
      <c r="E694" s="50"/>
      <c r="F694" s="57"/>
      <c r="G694" s="57"/>
      <c r="H694" s="171" t="s">
        <v>2377</v>
      </c>
      <c r="I694" s="172"/>
      <c r="J694" s="19"/>
      <c r="K694" s="48"/>
      <c r="L694" s="54"/>
      <c r="M694" s="48"/>
      <c r="N694" s="48"/>
      <c r="O694" s="19"/>
      <c r="P694" s="51"/>
      <c r="Q694" s="51"/>
      <c r="R694" s="26"/>
      <c r="S694" s="55"/>
      <c r="T694" s="44"/>
      <c r="U694" s="54"/>
      <c r="V694" s="50"/>
      <c r="W694" s="19"/>
      <c r="X694" s="19"/>
      <c r="Y694" s="19"/>
      <c r="Z694" s="19"/>
    </row>
    <row r="695" spans="1:26" ht="25.5" customHeight="1" x14ac:dyDescent="0.35">
      <c r="A695" s="19"/>
      <c r="B695" s="19"/>
      <c r="C695" s="19"/>
      <c r="D695" s="50"/>
      <c r="E695" s="50"/>
      <c r="F695" s="19"/>
      <c r="G695" s="19"/>
      <c r="H695" s="19"/>
      <c r="I695" s="19"/>
      <c r="J695" s="19"/>
      <c r="K695" s="48"/>
      <c r="L695" s="54"/>
      <c r="M695" s="48"/>
      <c r="N695" s="48"/>
      <c r="O695" s="19"/>
      <c r="P695" s="51"/>
      <c r="Q695" s="51"/>
      <c r="R695" s="26"/>
      <c r="S695" s="55"/>
      <c r="T695" s="44"/>
      <c r="U695" s="54"/>
      <c r="V695" s="50"/>
      <c r="W695" s="19"/>
      <c r="X695" s="19"/>
      <c r="Y695" s="19"/>
      <c r="Z695" s="19"/>
    </row>
    <row r="696" spans="1:26" ht="25.5" customHeight="1" x14ac:dyDescent="0.35">
      <c r="A696" s="19"/>
      <c r="B696" s="19"/>
      <c r="C696" s="19"/>
      <c r="D696" s="50"/>
      <c r="E696" s="50"/>
      <c r="F696" s="19"/>
      <c r="G696" s="19"/>
      <c r="H696" s="48"/>
      <c r="I696" s="48"/>
      <c r="J696" s="19"/>
      <c r="K696" s="48"/>
      <c r="L696" s="54"/>
      <c r="M696" s="48"/>
      <c r="N696" s="48"/>
      <c r="O696" s="19"/>
      <c r="P696" s="51"/>
      <c r="Q696" s="51"/>
      <c r="R696" s="26"/>
      <c r="S696" s="55"/>
      <c r="T696" s="44"/>
      <c r="U696" s="54"/>
      <c r="V696" s="50"/>
      <c r="W696" s="19"/>
      <c r="X696" s="19"/>
      <c r="Y696" s="19"/>
      <c r="Z696" s="19"/>
    </row>
    <row r="697" spans="1:26" ht="25.5" customHeight="1" x14ac:dyDescent="0.35">
      <c r="A697" s="19"/>
      <c r="B697" s="19"/>
      <c r="C697" s="58"/>
      <c r="D697" s="78" t="s">
        <v>2432</v>
      </c>
      <c r="E697" s="50"/>
      <c r="F697" s="19"/>
      <c r="G697" s="19"/>
      <c r="H697" s="48"/>
      <c r="I697" s="48"/>
      <c r="J697" s="19"/>
      <c r="K697" s="48"/>
      <c r="L697" s="54"/>
      <c r="M697" s="173" t="s">
        <v>2433</v>
      </c>
      <c r="N697" s="172"/>
      <c r="O697" s="172"/>
      <c r="P697" s="51"/>
      <c r="Q697" s="51"/>
      <c r="R697" s="26"/>
      <c r="S697" s="55"/>
      <c r="T697" s="44"/>
      <c r="U697" s="54"/>
      <c r="V697" s="50"/>
      <c r="W697" s="19"/>
      <c r="X697" s="19"/>
      <c r="Y697" s="19"/>
      <c r="Z697" s="19"/>
    </row>
    <row r="698" spans="1:26" ht="29.25" customHeight="1" x14ac:dyDescent="0.35">
      <c r="A698" s="19"/>
      <c r="B698" s="19"/>
      <c r="C698" s="59"/>
      <c r="D698" s="56" t="s">
        <v>2434</v>
      </c>
      <c r="E698" s="60"/>
      <c r="F698" s="56"/>
      <c r="G698" s="56"/>
      <c r="H698" s="61"/>
      <c r="I698" s="61"/>
      <c r="J698" s="56"/>
      <c r="K698" s="61"/>
      <c r="L698" s="62"/>
      <c r="M698" s="174" t="s">
        <v>2435</v>
      </c>
      <c r="N698" s="172"/>
      <c r="O698" s="172"/>
      <c r="P698" s="63"/>
      <c r="Q698" s="51"/>
      <c r="R698" s="26"/>
      <c r="S698" s="55"/>
      <c r="T698" s="44"/>
      <c r="U698" s="54"/>
      <c r="V698" s="50"/>
      <c r="W698" s="19"/>
      <c r="X698" s="19"/>
      <c r="Y698" s="19"/>
      <c r="Z698" s="19"/>
    </row>
    <row r="699" spans="1:26" ht="15.75" customHeight="1" outlineLevel="2" x14ac:dyDescent="0.35">
      <c r="A699" s="25" t="s">
        <v>1914</v>
      </c>
      <c r="B699" s="25" t="s">
        <v>2508</v>
      </c>
      <c r="C699" s="26">
        <v>128580</v>
      </c>
      <c r="D699" s="25" t="s">
        <v>381</v>
      </c>
      <c r="E699" s="25" t="s">
        <v>1959</v>
      </c>
      <c r="F699" s="26" t="s">
        <v>215</v>
      </c>
      <c r="G699" s="26" t="s">
        <v>215</v>
      </c>
      <c r="H699" s="26">
        <v>1</v>
      </c>
      <c r="I699" s="26">
        <v>2</v>
      </c>
      <c r="J699" s="26">
        <v>1</v>
      </c>
      <c r="K699" s="26">
        <v>138</v>
      </c>
      <c r="L699" s="26" t="s">
        <v>28</v>
      </c>
      <c r="M699" s="27">
        <v>2056</v>
      </c>
      <c r="N699" s="28">
        <v>2067596.67</v>
      </c>
      <c r="O699" s="26" t="s">
        <v>29</v>
      </c>
      <c r="P699" s="29"/>
      <c r="Q699" s="6"/>
      <c r="R699" s="29"/>
      <c r="S699" s="10"/>
      <c r="T699" s="8">
        <v>1</v>
      </c>
    </row>
    <row r="700" spans="1:26" ht="15.75" customHeight="1" outlineLevel="2" x14ac:dyDescent="0.35">
      <c r="A700" s="25" t="s">
        <v>1914</v>
      </c>
      <c r="B700" s="25" t="s">
        <v>2508</v>
      </c>
      <c r="C700" s="26">
        <v>128707</v>
      </c>
      <c r="D700" s="25" t="s">
        <v>1960</v>
      </c>
      <c r="E700" s="25" t="s">
        <v>1961</v>
      </c>
      <c r="F700" s="26" t="s">
        <v>215</v>
      </c>
      <c r="G700" s="26" t="s">
        <v>215</v>
      </c>
      <c r="H700" s="26">
        <v>1</v>
      </c>
      <c r="I700" s="26">
        <v>4</v>
      </c>
      <c r="J700" s="26">
        <v>1</v>
      </c>
      <c r="K700" s="26">
        <v>138</v>
      </c>
      <c r="L700" s="26" t="s">
        <v>28</v>
      </c>
      <c r="M700" s="27">
        <v>2055</v>
      </c>
      <c r="N700" s="28">
        <v>3128902.13</v>
      </c>
      <c r="O700" s="26" t="s">
        <v>29</v>
      </c>
      <c r="P700" s="29"/>
      <c r="Q700" s="6"/>
      <c r="R700" s="29"/>
      <c r="S700" s="10"/>
      <c r="T700" s="8">
        <v>1</v>
      </c>
    </row>
    <row r="701" spans="1:26" ht="15.75" customHeight="1" outlineLevel="2" x14ac:dyDescent="0.35">
      <c r="A701" s="25" t="s">
        <v>1914</v>
      </c>
      <c r="B701" s="25" t="s">
        <v>2508</v>
      </c>
      <c r="C701" s="26">
        <v>128741</v>
      </c>
      <c r="D701" s="25" t="s">
        <v>2079</v>
      </c>
      <c r="E701" s="25" t="s">
        <v>2080</v>
      </c>
      <c r="F701" s="26" t="s">
        <v>90</v>
      </c>
      <c r="G701" s="26" t="s">
        <v>90</v>
      </c>
      <c r="H701" s="26">
        <v>1</v>
      </c>
      <c r="I701" s="26">
        <v>2</v>
      </c>
      <c r="J701" s="26">
        <v>1</v>
      </c>
      <c r="K701" s="26">
        <v>138</v>
      </c>
      <c r="L701" s="26" t="s">
        <v>28</v>
      </c>
      <c r="M701" s="27">
        <v>2155</v>
      </c>
      <c r="N701" s="28">
        <v>849741.28</v>
      </c>
      <c r="O701" s="26" t="s">
        <v>29</v>
      </c>
      <c r="P701" s="29"/>
      <c r="Q701" s="6"/>
      <c r="R701" s="29"/>
      <c r="S701" s="10"/>
      <c r="T701" s="8">
        <v>1</v>
      </c>
    </row>
    <row r="702" spans="1:26" ht="15.75" customHeight="1" outlineLevel="2" x14ac:dyDescent="0.35">
      <c r="A702" s="25" t="s">
        <v>1914</v>
      </c>
      <c r="B702" s="25" t="s">
        <v>2508</v>
      </c>
      <c r="C702" s="26">
        <v>128742</v>
      </c>
      <c r="D702" s="25" t="s">
        <v>2081</v>
      </c>
      <c r="E702" s="25" t="s">
        <v>2080</v>
      </c>
      <c r="F702" s="26" t="s">
        <v>90</v>
      </c>
      <c r="G702" s="26" t="s">
        <v>90</v>
      </c>
      <c r="H702" s="26">
        <v>1</v>
      </c>
      <c r="I702" s="26">
        <v>2</v>
      </c>
      <c r="J702" s="26">
        <v>1</v>
      </c>
      <c r="K702" s="26">
        <v>138</v>
      </c>
      <c r="L702" s="26" t="s">
        <v>28</v>
      </c>
      <c r="M702" s="27">
        <v>2156</v>
      </c>
      <c r="N702" s="28">
        <v>461553.36</v>
      </c>
      <c r="O702" s="26" t="s">
        <v>29</v>
      </c>
      <c r="P702" s="29"/>
      <c r="Q702" s="6"/>
      <c r="R702" s="29"/>
      <c r="S702" s="10"/>
      <c r="T702" s="8">
        <v>1</v>
      </c>
    </row>
    <row r="703" spans="1:26" ht="15.75" customHeight="1" outlineLevel="2" x14ac:dyDescent="0.35">
      <c r="A703" s="25" t="s">
        <v>1914</v>
      </c>
      <c r="B703" s="25" t="s">
        <v>2508</v>
      </c>
      <c r="C703" s="26">
        <v>128805</v>
      </c>
      <c r="D703" s="25" t="s">
        <v>1962</v>
      </c>
      <c r="E703" s="25" t="s">
        <v>1963</v>
      </c>
      <c r="F703" s="26" t="s">
        <v>215</v>
      </c>
      <c r="G703" s="26" t="s">
        <v>215</v>
      </c>
      <c r="H703" s="26">
        <v>1</v>
      </c>
      <c r="I703" s="26">
        <v>6</v>
      </c>
      <c r="J703" s="26">
        <v>1</v>
      </c>
      <c r="K703" s="26">
        <v>138</v>
      </c>
      <c r="L703" s="26" t="s">
        <v>28</v>
      </c>
      <c r="M703" s="27">
        <v>2057</v>
      </c>
      <c r="N703" s="28">
        <v>2573784.66</v>
      </c>
      <c r="O703" s="26" t="s">
        <v>29</v>
      </c>
      <c r="P703" s="29"/>
      <c r="Q703" s="6"/>
      <c r="R703" s="29"/>
      <c r="S703" s="10"/>
      <c r="T703" s="8">
        <v>1</v>
      </c>
    </row>
    <row r="704" spans="1:26" ht="15.75" customHeight="1" outlineLevel="1" x14ac:dyDescent="0.35">
      <c r="A704" s="25"/>
      <c r="B704" s="53" t="s">
        <v>2509</v>
      </c>
      <c r="C704" s="26"/>
      <c r="D704" s="25"/>
      <c r="E704" s="25"/>
      <c r="F704" s="26"/>
      <c r="G704" s="26"/>
      <c r="H704" s="26">
        <f t="shared" ref="H704:I704" si="40">SUBTOTAL(9,H699:H703)</f>
        <v>5</v>
      </c>
      <c r="I704" s="26">
        <f t="shared" si="40"/>
        <v>16</v>
      </c>
      <c r="J704" s="26"/>
      <c r="K704" s="26"/>
      <c r="L704" s="26"/>
      <c r="M704" s="27"/>
      <c r="N704" s="28">
        <f>SUBTOTAL(9,N699:N703)</f>
        <v>9081578.1000000015</v>
      </c>
      <c r="O704" s="26"/>
      <c r="P704" s="29"/>
      <c r="Q704" s="6"/>
      <c r="R704" s="29"/>
      <c r="S704" s="10"/>
      <c r="T704" s="8"/>
    </row>
    <row r="705" spans="1:26" ht="25.5" customHeight="1" x14ac:dyDescent="0.35">
      <c r="A705" s="19"/>
      <c r="B705" s="19"/>
      <c r="C705" s="19"/>
      <c r="D705" s="50"/>
      <c r="E705" s="50"/>
      <c r="F705" s="19"/>
      <c r="G705" s="19"/>
      <c r="H705" s="48"/>
      <c r="I705" s="48"/>
      <c r="J705" s="19"/>
      <c r="K705" s="48"/>
      <c r="L705" s="54"/>
      <c r="M705" s="48"/>
      <c r="N705" s="48"/>
      <c r="O705" s="19"/>
      <c r="P705" s="45"/>
      <c r="Q705" s="51"/>
      <c r="R705" s="26"/>
      <c r="S705" s="55"/>
      <c r="T705" s="44"/>
      <c r="U705" s="54"/>
      <c r="V705" s="50"/>
      <c r="W705" s="19"/>
      <c r="X705" s="19"/>
      <c r="Y705" s="19"/>
      <c r="Z705" s="19"/>
    </row>
    <row r="706" spans="1:26" ht="25.5" customHeight="1" x14ac:dyDescent="0.35">
      <c r="A706" s="19"/>
      <c r="B706" s="56" t="s">
        <v>2377</v>
      </c>
      <c r="C706" s="19"/>
      <c r="D706" s="50"/>
      <c r="E706" s="50"/>
      <c r="F706" s="57"/>
      <c r="G706" s="57"/>
      <c r="H706" s="171" t="s">
        <v>2377</v>
      </c>
      <c r="I706" s="172"/>
      <c r="J706" s="19"/>
      <c r="K706" s="48"/>
      <c r="L706" s="54"/>
      <c r="M706" s="48"/>
      <c r="N706" s="48"/>
      <c r="O706" s="19"/>
      <c r="P706" s="51"/>
      <c r="Q706" s="51"/>
      <c r="R706" s="26"/>
      <c r="S706" s="55"/>
      <c r="T706" s="44"/>
      <c r="U706" s="54"/>
      <c r="V706" s="50"/>
      <c r="W706" s="19"/>
      <c r="X706" s="19"/>
      <c r="Y706" s="19"/>
      <c r="Z706" s="19"/>
    </row>
    <row r="707" spans="1:26" ht="25.5" customHeight="1" x14ac:dyDescent="0.35">
      <c r="A707" s="19"/>
      <c r="B707" s="19"/>
      <c r="C707" s="19"/>
      <c r="D707" s="50"/>
      <c r="E707" s="50"/>
      <c r="F707" s="19"/>
      <c r="G707" s="19"/>
      <c r="H707" s="19"/>
      <c r="I707" s="19"/>
      <c r="J707" s="19"/>
      <c r="K707" s="48"/>
      <c r="L707" s="54"/>
      <c r="M707" s="48"/>
      <c r="N707" s="48"/>
      <c r="O707" s="19"/>
      <c r="P707" s="51"/>
      <c r="Q707" s="51"/>
      <c r="R707" s="26"/>
      <c r="S707" s="55"/>
      <c r="T707" s="44"/>
      <c r="U707" s="54"/>
      <c r="V707" s="50"/>
      <c r="W707" s="19"/>
      <c r="X707" s="19"/>
      <c r="Y707" s="19"/>
      <c r="Z707" s="19"/>
    </row>
    <row r="708" spans="1:26" ht="25.5" customHeight="1" x14ac:dyDescent="0.35">
      <c r="A708" s="19"/>
      <c r="B708" s="19"/>
      <c r="C708" s="19"/>
      <c r="D708" s="50"/>
      <c r="E708" s="50"/>
      <c r="F708" s="19"/>
      <c r="G708" s="19"/>
      <c r="H708" s="48"/>
      <c r="I708" s="48"/>
      <c r="J708" s="19"/>
      <c r="K708" s="48"/>
      <c r="L708" s="54"/>
      <c r="M708" s="48"/>
      <c r="N708" s="48"/>
      <c r="O708" s="19"/>
      <c r="P708" s="51"/>
      <c r="Q708" s="51"/>
      <c r="R708" s="26"/>
      <c r="S708" s="55"/>
      <c r="T708" s="44"/>
      <c r="U708" s="54"/>
      <c r="V708" s="50"/>
      <c r="W708" s="19"/>
      <c r="X708" s="19"/>
      <c r="Y708" s="19"/>
      <c r="Z708" s="19"/>
    </row>
    <row r="709" spans="1:26" ht="25.5" customHeight="1" x14ac:dyDescent="0.35">
      <c r="A709" s="19"/>
      <c r="B709" s="19"/>
      <c r="C709" s="58"/>
      <c r="D709" s="78" t="s">
        <v>2432</v>
      </c>
      <c r="E709" s="50"/>
      <c r="F709" s="19"/>
      <c r="G709" s="19"/>
      <c r="H709" s="48"/>
      <c r="I709" s="48"/>
      <c r="J709" s="19"/>
      <c r="K709" s="48"/>
      <c r="L709" s="54"/>
      <c r="M709" s="173" t="s">
        <v>2433</v>
      </c>
      <c r="N709" s="172"/>
      <c r="O709" s="172"/>
      <c r="P709" s="51"/>
      <c r="Q709" s="51"/>
      <c r="R709" s="26"/>
      <c r="S709" s="55"/>
      <c r="T709" s="44"/>
      <c r="U709" s="54"/>
      <c r="V709" s="50"/>
      <c r="W709" s="19"/>
      <c r="X709" s="19"/>
      <c r="Y709" s="19"/>
      <c r="Z709" s="19"/>
    </row>
    <row r="710" spans="1:26" ht="29.25" customHeight="1" x14ac:dyDescent="0.35">
      <c r="A710" s="19"/>
      <c r="B710" s="19"/>
      <c r="C710" s="59"/>
      <c r="D710" s="56" t="s">
        <v>2434</v>
      </c>
      <c r="E710" s="60"/>
      <c r="F710" s="56"/>
      <c r="G710" s="56"/>
      <c r="H710" s="61"/>
      <c r="I710" s="61"/>
      <c r="J710" s="56"/>
      <c r="K710" s="61"/>
      <c r="L710" s="62"/>
      <c r="M710" s="174" t="s">
        <v>2435</v>
      </c>
      <c r="N710" s="172"/>
      <c r="O710" s="172"/>
      <c r="P710" s="63"/>
      <c r="Q710" s="51"/>
      <c r="R710" s="26"/>
      <c r="S710" s="55"/>
      <c r="T710" s="44"/>
      <c r="U710" s="54"/>
      <c r="V710" s="50"/>
      <c r="W710" s="19"/>
      <c r="X710" s="19"/>
      <c r="Y710" s="19"/>
      <c r="Z710" s="19"/>
    </row>
    <row r="711" spans="1:26" ht="15.75" customHeight="1" outlineLevel="2" x14ac:dyDescent="0.35">
      <c r="A711" s="25" t="s">
        <v>1914</v>
      </c>
      <c r="B711" s="25" t="s">
        <v>2510</v>
      </c>
      <c r="C711" s="26">
        <v>128885</v>
      </c>
      <c r="D711" s="25" t="s">
        <v>1970</v>
      </c>
      <c r="E711" s="25" t="s">
        <v>1971</v>
      </c>
      <c r="F711" s="26" t="s">
        <v>90</v>
      </c>
      <c r="G711" s="26" t="s">
        <v>90</v>
      </c>
      <c r="H711" s="26">
        <v>1</v>
      </c>
      <c r="I711" s="26">
        <v>13</v>
      </c>
      <c r="J711" s="26">
        <v>1</v>
      </c>
      <c r="K711" s="26">
        <v>138</v>
      </c>
      <c r="L711" s="26" t="s">
        <v>28</v>
      </c>
      <c r="M711" s="27">
        <v>2085</v>
      </c>
      <c r="N711" s="28">
        <v>1692446.88</v>
      </c>
      <c r="O711" s="26" t="s">
        <v>29</v>
      </c>
      <c r="P711" s="29"/>
      <c r="Q711" s="6"/>
      <c r="R711" s="29"/>
      <c r="S711" s="10"/>
      <c r="T711" s="8">
        <v>1</v>
      </c>
    </row>
    <row r="712" spans="1:26" ht="15.75" customHeight="1" outlineLevel="2" x14ac:dyDescent="0.35">
      <c r="A712" s="9" t="s">
        <v>1914</v>
      </c>
      <c r="B712" s="25" t="s">
        <v>2510</v>
      </c>
      <c r="C712" s="31">
        <v>128890</v>
      </c>
      <c r="D712" s="32" t="s">
        <v>1012</v>
      </c>
      <c r="E712" s="32" t="s">
        <v>1971</v>
      </c>
      <c r="F712" s="29">
        <v>2</v>
      </c>
      <c r="G712" s="33"/>
      <c r="H712" s="33">
        <v>1</v>
      </c>
      <c r="I712" s="47">
        <v>16</v>
      </c>
      <c r="J712" s="29"/>
      <c r="K712" s="10"/>
      <c r="L712" s="10"/>
      <c r="M712" s="11"/>
      <c r="N712" s="34">
        <v>404576.81</v>
      </c>
      <c r="O712" s="26" t="s">
        <v>29</v>
      </c>
      <c r="P712" s="29" t="s">
        <v>163</v>
      </c>
      <c r="Q712" s="6"/>
      <c r="R712" s="29"/>
      <c r="S712" s="10"/>
      <c r="T712" s="8">
        <v>1</v>
      </c>
    </row>
    <row r="713" spans="1:26" ht="15.75" customHeight="1" outlineLevel="2" x14ac:dyDescent="0.35">
      <c r="A713" s="9" t="s">
        <v>1914</v>
      </c>
      <c r="B713" s="25" t="s">
        <v>2510</v>
      </c>
      <c r="C713" s="31">
        <v>129083</v>
      </c>
      <c r="D713" s="32" t="s">
        <v>1992</v>
      </c>
      <c r="E713" s="32" t="s">
        <v>759</v>
      </c>
      <c r="F713" s="29">
        <v>1</v>
      </c>
      <c r="G713" s="33"/>
      <c r="H713" s="33">
        <v>1</v>
      </c>
      <c r="I713" s="47">
        <v>5</v>
      </c>
      <c r="J713" s="29"/>
      <c r="K713" s="10"/>
      <c r="L713" s="10"/>
      <c r="M713" s="11"/>
      <c r="N713" s="34">
        <v>737544.94</v>
      </c>
      <c r="O713" s="26" t="s">
        <v>29</v>
      </c>
      <c r="P713" s="29" t="s">
        <v>163</v>
      </c>
      <c r="Q713" s="6"/>
      <c r="R713" s="29"/>
      <c r="S713" s="10"/>
      <c r="T713" s="8">
        <v>1</v>
      </c>
    </row>
    <row r="714" spans="1:26" ht="15.75" customHeight="1" outlineLevel="2" x14ac:dyDescent="0.35">
      <c r="A714" s="25" t="s">
        <v>1914</v>
      </c>
      <c r="B714" s="25" t="s">
        <v>2510</v>
      </c>
      <c r="C714" s="26">
        <v>129087</v>
      </c>
      <c r="D714" s="25" t="s">
        <v>1993</v>
      </c>
      <c r="E714" s="25" t="s">
        <v>759</v>
      </c>
      <c r="F714" s="26" t="s">
        <v>215</v>
      </c>
      <c r="G714" s="26" t="s">
        <v>215</v>
      </c>
      <c r="H714" s="26">
        <v>1</v>
      </c>
      <c r="I714" s="26">
        <v>4</v>
      </c>
      <c r="J714" s="26">
        <v>1</v>
      </c>
      <c r="K714" s="26">
        <v>138</v>
      </c>
      <c r="L714" s="26" t="s">
        <v>28</v>
      </c>
      <c r="M714" s="27">
        <v>2061</v>
      </c>
      <c r="N714" s="28">
        <v>1713885.41</v>
      </c>
      <c r="O714" s="26" t="s">
        <v>29</v>
      </c>
      <c r="P714" s="29"/>
      <c r="Q714" s="6"/>
      <c r="R714" s="29"/>
      <c r="S714" s="10"/>
      <c r="T714" s="8">
        <v>1</v>
      </c>
    </row>
    <row r="715" spans="1:26" ht="15.75" customHeight="1" outlineLevel="2" x14ac:dyDescent="0.35">
      <c r="A715" s="9" t="s">
        <v>1914</v>
      </c>
      <c r="B715" s="25" t="s">
        <v>2510</v>
      </c>
      <c r="C715" s="31">
        <v>129096</v>
      </c>
      <c r="D715" s="32" t="s">
        <v>1994</v>
      </c>
      <c r="E715" s="32" t="s">
        <v>759</v>
      </c>
      <c r="F715" s="29">
        <v>1</v>
      </c>
      <c r="G715" s="33"/>
      <c r="H715" s="33">
        <v>1</v>
      </c>
      <c r="I715" s="47">
        <v>16</v>
      </c>
      <c r="J715" s="29"/>
      <c r="K715" s="10"/>
      <c r="L715" s="10"/>
      <c r="M715" s="11"/>
      <c r="N715" s="34">
        <v>842005.11</v>
      </c>
      <c r="O715" s="26" t="s">
        <v>29</v>
      </c>
      <c r="P715" s="29" t="s">
        <v>163</v>
      </c>
      <c r="Q715" s="6"/>
      <c r="R715" s="29"/>
      <c r="S715" s="10"/>
      <c r="T715" s="8">
        <v>1</v>
      </c>
    </row>
    <row r="716" spans="1:26" ht="15.75" customHeight="1" outlineLevel="2" x14ac:dyDescent="0.35">
      <c r="A716" s="25" t="s">
        <v>1914</v>
      </c>
      <c r="B716" s="25" t="s">
        <v>2510</v>
      </c>
      <c r="C716" s="26">
        <v>205056</v>
      </c>
      <c r="D716" s="25" t="s">
        <v>2012</v>
      </c>
      <c r="E716" s="25" t="s">
        <v>1976</v>
      </c>
      <c r="F716" s="26" t="s">
        <v>90</v>
      </c>
      <c r="G716" s="26" t="s">
        <v>90</v>
      </c>
      <c r="H716" s="26">
        <v>1</v>
      </c>
      <c r="I716" s="26">
        <v>2</v>
      </c>
      <c r="J716" s="26">
        <v>1</v>
      </c>
      <c r="K716" s="26">
        <v>138</v>
      </c>
      <c r="L716" s="26" t="s">
        <v>28</v>
      </c>
      <c r="M716" s="27">
        <v>2083</v>
      </c>
      <c r="N716" s="28">
        <v>821644.79</v>
      </c>
      <c r="O716" s="26" t="s">
        <v>29</v>
      </c>
      <c r="P716" s="29"/>
      <c r="Q716" s="6"/>
      <c r="R716" s="29"/>
      <c r="S716" s="10"/>
      <c r="T716" s="8">
        <v>1</v>
      </c>
    </row>
    <row r="717" spans="1:26" ht="15.75" customHeight="1" outlineLevel="1" x14ac:dyDescent="0.35">
      <c r="A717" s="25"/>
      <c r="B717" s="53" t="s">
        <v>2511</v>
      </c>
      <c r="C717" s="26"/>
      <c r="D717" s="25"/>
      <c r="E717" s="25"/>
      <c r="F717" s="26"/>
      <c r="G717" s="26"/>
      <c r="H717" s="26">
        <f t="shared" ref="H717:I717" si="41">SUBTOTAL(9,H711:H716)</f>
        <v>6</v>
      </c>
      <c r="I717" s="26">
        <f t="shared" si="41"/>
        <v>56</v>
      </c>
      <c r="J717" s="26"/>
      <c r="K717" s="26"/>
      <c r="L717" s="26"/>
      <c r="M717" s="27"/>
      <c r="N717" s="28">
        <f>SUBTOTAL(9,N711:N716)</f>
        <v>6212103.9400000004</v>
      </c>
      <c r="O717" s="26"/>
      <c r="P717" s="29"/>
      <c r="Q717" s="6"/>
      <c r="R717" s="29"/>
      <c r="S717" s="10"/>
      <c r="T717" s="8"/>
    </row>
    <row r="718" spans="1:26" ht="25.5" customHeight="1" x14ac:dyDescent="0.35">
      <c r="A718" s="19"/>
      <c r="B718" s="19"/>
      <c r="C718" s="19"/>
      <c r="D718" s="50"/>
      <c r="E718" s="50"/>
      <c r="F718" s="19"/>
      <c r="G718" s="19"/>
      <c r="H718" s="48"/>
      <c r="I718" s="48"/>
      <c r="J718" s="19"/>
      <c r="K718" s="48"/>
      <c r="L718" s="54"/>
      <c r="M718" s="48"/>
      <c r="N718" s="48"/>
      <c r="O718" s="19"/>
      <c r="P718" s="45"/>
      <c r="Q718" s="51"/>
      <c r="R718" s="26"/>
      <c r="S718" s="55"/>
      <c r="T718" s="44"/>
      <c r="U718" s="54"/>
      <c r="V718" s="50"/>
      <c r="W718" s="19"/>
      <c r="X718" s="19"/>
      <c r="Y718" s="19"/>
      <c r="Z718" s="19"/>
    </row>
    <row r="719" spans="1:26" ht="25.5" customHeight="1" x14ac:dyDescent="0.35">
      <c r="A719" s="19"/>
      <c r="B719" s="56" t="s">
        <v>2377</v>
      </c>
      <c r="C719" s="19"/>
      <c r="D719" s="50"/>
      <c r="E719" s="50"/>
      <c r="F719" s="57"/>
      <c r="G719" s="57"/>
      <c r="H719" s="171" t="s">
        <v>2377</v>
      </c>
      <c r="I719" s="172"/>
      <c r="J719" s="19"/>
      <c r="K719" s="48"/>
      <c r="L719" s="54"/>
      <c r="M719" s="48"/>
      <c r="N719" s="48"/>
      <c r="O719" s="19"/>
      <c r="P719" s="51"/>
      <c r="Q719" s="51"/>
      <c r="R719" s="26"/>
      <c r="S719" s="55"/>
      <c r="T719" s="44"/>
      <c r="U719" s="54"/>
      <c r="V719" s="50"/>
      <c r="W719" s="19"/>
      <c r="X719" s="19"/>
      <c r="Y719" s="19"/>
      <c r="Z719" s="19"/>
    </row>
    <row r="720" spans="1:26" ht="25.5" customHeight="1" x14ac:dyDescent="0.35">
      <c r="A720" s="19"/>
      <c r="B720" s="19"/>
      <c r="C720" s="19"/>
      <c r="D720" s="50"/>
      <c r="E720" s="50"/>
      <c r="F720" s="19"/>
      <c r="G720" s="19"/>
      <c r="H720" s="19"/>
      <c r="I720" s="19"/>
      <c r="J720" s="19"/>
      <c r="K720" s="48"/>
      <c r="L720" s="54"/>
      <c r="M720" s="48"/>
      <c r="N720" s="48"/>
      <c r="O720" s="19"/>
      <c r="P720" s="51"/>
      <c r="Q720" s="51"/>
      <c r="R720" s="26"/>
      <c r="S720" s="55"/>
      <c r="T720" s="44"/>
      <c r="U720" s="54"/>
      <c r="V720" s="50"/>
      <c r="W720" s="19"/>
      <c r="X720" s="19"/>
      <c r="Y720" s="19"/>
      <c r="Z720" s="19"/>
    </row>
    <row r="721" spans="1:26" ht="25.5" customHeight="1" x14ac:dyDescent="0.35">
      <c r="A721" s="19"/>
      <c r="B721" s="19"/>
      <c r="C721" s="19"/>
      <c r="D721" s="50"/>
      <c r="E721" s="50"/>
      <c r="F721" s="19"/>
      <c r="G721" s="19"/>
      <c r="H721" s="48"/>
      <c r="I721" s="48"/>
      <c r="J721" s="19"/>
      <c r="K721" s="48"/>
      <c r="L721" s="54"/>
      <c r="M721" s="48"/>
      <c r="N721" s="48"/>
      <c r="O721" s="19"/>
      <c r="P721" s="51"/>
      <c r="Q721" s="51"/>
      <c r="R721" s="26"/>
      <c r="S721" s="55"/>
      <c r="T721" s="44"/>
      <c r="U721" s="54"/>
      <c r="V721" s="50"/>
      <c r="W721" s="19"/>
      <c r="X721" s="19"/>
      <c r="Y721" s="19"/>
      <c r="Z721" s="19"/>
    </row>
    <row r="722" spans="1:26" ht="25.5" customHeight="1" x14ac:dyDescent="0.35">
      <c r="A722" s="19"/>
      <c r="B722" s="19"/>
      <c r="C722" s="58"/>
      <c r="D722" s="78" t="s">
        <v>2432</v>
      </c>
      <c r="E722" s="50"/>
      <c r="F722" s="19"/>
      <c r="G722" s="19"/>
      <c r="H722" s="48"/>
      <c r="I722" s="48"/>
      <c r="J722" s="19"/>
      <c r="K722" s="48"/>
      <c r="L722" s="54"/>
      <c r="M722" s="173" t="s">
        <v>2433</v>
      </c>
      <c r="N722" s="172"/>
      <c r="O722" s="172"/>
      <c r="P722" s="51"/>
      <c r="Q722" s="51"/>
      <c r="R722" s="26"/>
      <c r="S722" s="55"/>
      <c r="T722" s="44"/>
      <c r="U722" s="54"/>
      <c r="V722" s="50"/>
      <c r="W722" s="19"/>
      <c r="X722" s="19"/>
      <c r="Y722" s="19"/>
      <c r="Z722" s="19"/>
    </row>
    <row r="723" spans="1:26" ht="29.25" customHeight="1" x14ac:dyDescent="0.35">
      <c r="A723" s="19"/>
      <c r="B723" s="19"/>
      <c r="C723" s="59"/>
      <c r="D723" s="56" t="s">
        <v>2434</v>
      </c>
      <c r="E723" s="60"/>
      <c r="F723" s="56"/>
      <c r="G723" s="56"/>
      <c r="H723" s="61"/>
      <c r="I723" s="61"/>
      <c r="J723" s="56"/>
      <c r="K723" s="61"/>
      <c r="L723" s="62"/>
      <c r="M723" s="174" t="s">
        <v>2435</v>
      </c>
      <c r="N723" s="172"/>
      <c r="O723" s="172"/>
      <c r="P723" s="63"/>
      <c r="Q723" s="51"/>
      <c r="R723" s="26"/>
      <c r="S723" s="55"/>
      <c r="T723" s="44"/>
      <c r="U723" s="54"/>
      <c r="V723" s="50"/>
      <c r="W723" s="19"/>
      <c r="X723" s="19"/>
      <c r="Y723" s="19"/>
      <c r="Z723" s="19"/>
    </row>
    <row r="724" spans="1:26" ht="15.75" customHeight="1" outlineLevel="2" x14ac:dyDescent="0.35">
      <c r="A724" s="25" t="s">
        <v>1914</v>
      </c>
      <c r="B724" s="25" t="s">
        <v>2512</v>
      </c>
      <c r="C724" s="26">
        <v>129201</v>
      </c>
      <c r="D724" s="25" t="s">
        <v>2025</v>
      </c>
      <c r="E724" s="25" t="s">
        <v>2021</v>
      </c>
      <c r="F724" s="26" t="s">
        <v>215</v>
      </c>
      <c r="G724" s="26" t="s">
        <v>215</v>
      </c>
      <c r="H724" s="26">
        <v>1</v>
      </c>
      <c r="I724" s="26">
        <v>6</v>
      </c>
      <c r="J724" s="26">
        <v>1</v>
      </c>
      <c r="K724" s="26">
        <v>138</v>
      </c>
      <c r="L724" s="26" t="s">
        <v>28</v>
      </c>
      <c r="M724" s="27">
        <v>2121</v>
      </c>
      <c r="N724" s="28">
        <v>745934.81</v>
      </c>
      <c r="O724" s="26" t="s">
        <v>29</v>
      </c>
      <c r="P724" s="29"/>
      <c r="Q724" s="6"/>
      <c r="R724" s="29"/>
      <c r="S724" s="10"/>
      <c r="T724" s="8">
        <v>1</v>
      </c>
    </row>
    <row r="725" spans="1:26" ht="15.75" customHeight="1" outlineLevel="2" x14ac:dyDescent="0.35">
      <c r="A725" s="25" t="s">
        <v>1914</v>
      </c>
      <c r="B725" s="25" t="s">
        <v>2512</v>
      </c>
      <c r="C725" s="26">
        <v>129230</v>
      </c>
      <c r="D725" s="25" t="s">
        <v>2031</v>
      </c>
      <c r="E725" s="25" t="s">
        <v>205</v>
      </c>
      <c r="F725" s="26" t="s">
        <v>215</v>
      </c>
      <c r="G725" s="26" t="s">
        <v>215</v>
      </c>
      <c r="H725" s="26">
        <v>1</v>
      </c>
      <c r="I725" s="26">
        <v>2</v>
      </c>
      <c r="J725" s="26">
        <v>1</v>
      </c>
      <c r="K725" s="26">
        <v>138</v>
      </c>
      <c r="L725" s="26" t="s">
        <v>28</v>
      </c>
      <c r="M725" s="27">
        <v>2108</v>
      </c>
      <c r="N725" s="28">
        <v>437974.54</v>
      </c>
      <c r="O725" s="26" t="s">
        <v>29</v>
      </c>
      <c r="P725" s="29"/>
      <c r="Q725" s="6"/>
      <c r="R725" s="29"/>
      <c r="S725" s="10"/>
      <c r="T725" s="8">
        <v>1</v>
      </c>
    </row>
    <row r="726" spans="1:26" ht="15.75" customHeight="1" outlineLevel="1" x14ac:dyDescent="0.35">
      <c r="A726" s="25"/>
      <c r="B726" s="53" t="s">
        <v>2513</v>
      </c>
      <c r="C726" s="26"/>
      <c r="D726" s="25"/>
      <c r="E726" s="25"/>
      <c r="F726" s="26"/>
      <c r="G726" s="26"/>
      <c r="H726" s="26">
        <f t="shared" ref="H726:I726" si="42">SUBTOTAL(9,H724:H725)</f>
        <v>2</v>
      </c>
      <c r="I726" s="26">
        <f t="shared" si="42"/>
        <v>8</v>
      </c>
      <c r="J726" s="26"/>
      <c r="K726" s="26"/>
      <c r="L726" s="26"/>
      <c r="M726" s="27"/>
      <c r="N726" s="28">
        <f>SUBTOTAL(9,N724:N725)</f>
        <v>1183909.3500000001</v>
      </c>
      <c r="O726" s="26"/>
      <c r="P726" s="29"/>
      <c r="Q726" s="6"/>
      <c r="R726" s="29"/>
      <c r="S726" s="10"/>
      <c r="T726" s="8"/>
    </row>
    <row r="727" spans="1:26" ht="25.5" customHeight="1" x14ac:dyDescent="0.35">
      <c r="A727" s="19"/>
      <c r="B727" s="19"/>
      <c r="C727" s="19"/>
      <c r="D727" s="50"/>
      <c r="E727" s="50"/>
      <c r="F727" s="19"/>
      <c r="G727" s="19"/>
      <c r="H727" s="48"/>
      <c r="I727" s="48"/>
      <c r="J727" s="19"/>
      <c r="K727" s="48"/>
      <c r="L727" s="54"/>
      <c r="M727" s="48"/>
      <c r="N727" s="48"/>
      <c r="O727" s="19"/>
      <c r="P727" s="45"/>
      <c r="Q727" s="51"/>
      <c r="R727" s="26"/>
      <c r="S727" s="55"/>
      <c r="T727" s="44"/>
      <c r="U727" s="54"/>
      <c r="V727" s="50"/>
      <c r="W727" s="19"/>
      <c r="X727" s="19"/>
      <c r="Y727" s="19"/>
      <c r="Z727" s="19"/>
    </row>
    <row r="728" spans="1:26" ht="25.5" customHeight="1" x14ac:dyDescent="0.35">
      <c r="A728" s="19"/>
      <c r="B728" s="56" t="s">
        <v>2377</v>
      </c>
      <c r="C728" s="19"/>
      <c r="D728" s="50"/>
      <c r="E728" s="50"/>
      <c r="F728" s="57"/>
      <c r="G728" s="57"/>
      <c r="H728" s="171" t="s">
        <v>2377</v>
      </c>
      <c r="I728" s="172"/>
      <c r="J728" s="19"/>
      <c r="K728" s="48"/>
      <c r="L728" s="54"/>
      <c r="M728" s="48"/>
      <c r="N728" s="48"/>
      <c r="O728" s="19"/>
      <c r="P728" s="51"/>
      <c r="Q728" s="51"/>
      <c r="R728" s="26"/>
      <c r="S728" s="55"/>
      <c r="T728" s="44"/>
      <c r="U728" s="54"/>
      <c r="V728" s="50"/>
      <c r="W728" s="19"/>
      <c r="X728" s="19"/>
      <c r="Y728" s="19"/>
      <c r="Z728" s="19"/>
    </row>
    <row r="729" spans="1:26" ht="25.5" customHeight="1" x14ac:dyDescent="0.35">
      <c r="A729" s="19"/>
      <c r="B729" s="19"/>
      <c r="C729" s="19"/>
      <c r="D729" s="50"/>
      <c r="E729" s="50"/>
      <c r="F729" s="19"/>
      <c r="G729" s="19"/>
      <c r="H729" s="19"/>
      <c r="I729" s="19"/>
      <c r="J729" s="19"/>
      <c r="K729" s="48"/>
      <c r="L729" s="54"/>
      <c r="M729" s="48"/>
      <c r="N729" s="48"/>
      <c r="O729" s="19"/>
      <c r="P729" s="51"/>
      <c r="Q729" s="51"/>
      <c r="R729" s="26"/>
      <c r="S729" s="55"/>
      <c r="T729" s="44"/>
      <c r="U729" s="54"/>
      <c r="V729" s="50"/>
      <c r="W729" s="19"/>
      <c r="X729" s="19"/>
      <c r="Y729" s="19"/>
      <c r="Z729" s="19"/>
    </row>
    <row r="730" spans="1:26" ht="25.5" customHeight="1" x14ac:dyDescent="0.35">
      <c r="A730" s="19"/>
      <c r="B730" s="19"/>
      <c r="C730" s="19"/>
      <c r="D730" s="50"/>
      <c r="E730" s="50"/>
      <c r="F730" s="19"/>
      <c r="G730" s="19"/>
      <c r="H730" s="48"/>
      <c r="I730" s="48"/>
      <c r="J730" s="19"/>
      <c r="K730" s="48"/>
      <c r="L730" s="54"/>
      <c r="M730" s="48"/>
      <c r="N730" s="48"/>
      <c r="O730" s="19"/>
      <c r="P730" s="51"/>
      <c r="Q730" s="51"/>
      <c r="R730" s="26"/>
      <c r="S730" s="55"/>
      <c r="T730" s="44"/>
      <c r="U730" s="54"/>
      <c r="V730" s="50"/>
      <c r="W730" s="19"/>
      <c r="X730" s="19"/>
      <c r="Y730" s="19"/>
      <c r="Z730" s="19"/>
    </row>
    <row r="731" spans="1:26" ht="25.5" customHeight="1" x14ac:dyDescent="0.35">
      <c r="A731" s="19"/>
      <c r="B731" s="19"/>
      <c r="C731" s="58"/>
      <c r="D731" s="78" t="s">
        <v>2432</v>
      </c>
      <c r="E731" s="50"/>
      <c r="F731" s="19"/>
      <c r="G731" s="19"/>
      <c r="H731" s="48"/>
      <c r="I731" s="48"/>
      <c r="J731" s="19"/>
      <c r="K731" s="48"/>
      <c r="L731" s="54"/>
      <c r="M731" s="173" t="s">
        <v>2433</v>
      </c>
      <c r="N731" s="172"/>
      <c r="O731" s="172"/>
      <c r="P731" s="51"/>
      <c r="Q731" s="51"/>
      <c r="R731" s="26"/>
      <c r="S731" s="55"/>
      <c r="T731" s="44"/>
      <c r="U731" s="54"/>
      <c r="V731" s="50"/>
      <c r="W731" s="19"/>
      <c r="X731" s="19"/>
      <c r="Y731" s="19"/>
      <c r="Z731" s="19"/>
    </row>
    <row r="732" spans="1:26" ht="29.25" customHeight="1" x14ac:dyDescent="0.35">
      <c r="A732" s="19"/>
      <c r="B732" s="19"/>
      <c r="C732" s="59"/>
      <c r="D732" s="56" t="s">
        <v>2434</v>
      </c>
      <c r="E732" s="60"/>
      <c r="F732" s="56"/>
      <c r="G732" s="56"/>
      <c r="H732" s="61"/>
      <c r="I732" s="61"/>
      <c r="J732" s="56"/>
      <c r="K732" s="61"/>
      <c r="L732" s="62"/>
      <c r="M732" s="174" t="s">
        <v>2435</v>
      </c>
      <c r="N732" s="172"/>
      <c r="O732" s="172"/>
      <c r="P732" s="63"/>
      <c r="Q732" s="51"/>
      <c r="R732" s="26"/>
      <c r="S732" s="55"/>
      <c r="T732" s="44"/>
      <c r="U732" s="54"/>
      <c r="V732" s="50"/>
      <c r="W732" s="19"/>
      <c r="X732" s="19"/>
      <c r="Y732" s="19"/>
      <c r="Z732" s="19"/>
    </row>
    <row r="733" spans="1:26" ht="15.75" customHeight="1" outlineLevel="2" x14ac:dyDescent="0.35">
      <c r="A733" s="25" t="s">
        <v>2084</v>
      </c>
      <c r="B733" s="25" t="s">
        <v>2514</v>
      </c>
      <c r="C733" s="26">
        <v>129829</v>
      </c>
      <c r="D733" s="25" t="s">
        <v>2095</v>
      </c>
      <c r="E733" s="25" t="s">
        <v>2096</v>
      </c>
      <c r="F733" s="26" t="s">
        <v>215</v>
      </c>
      <c r="G733" s="26" t="s">
        <v>215</v>
      </c>
      <c r="H733" s="26">
        <v>1</v>
      </c>
      <c r="I733" s="26">
        <v>1</v>
      </c>
      <c r="J733" s="26">
        <v>1</v>
      </c>
      <c r="K733" s="26">
        <v>138</v>
      </c>
      <c r="L733" s="26" t="s">
        <v>28</v>
      </c>
      <c r="M733" s="27">
        <v>2200</v>
      </c>
      <c r="N733" s="28">
        <v>130441.77</v>
      </c>
      <c r="O733" s="26" t="s">
        <v>29</v>
      </c>
      <c r="P733" s="29"/>
      <c r="Q733" s="6"/>
      <c r="R733" s="29"/>
      <c r="S733" s="10"/>
      <c r="T733" s="8">
        <v>1</v>
      </c>
    </row>
    <row r="734" spans="1:26" ht="15.75" customHeight="1" outlineLevel="2" x14ac:dyDescent="0.35">
      <c r="A734" s="25" t="s">
        <v>2084</v>
      </c>
      <c r="B734" s="25" t="s">
        <v>2514</v>
      </c>
      <c r="C734" s="26">
        <v>129860</v>
      </c>
      <c r="D734" s="25" t="s">
        <v>2097</v>
      </c>
      <c r="E734" s="25" t="s">
        <v>2098</v>
      </c>
      <c r="F734" s="26" t="s">
        <v>215</v>
      </c>
      <c r="G734" s="26" t="s">
        <v>215</v>
      </c>
      <c r="H734" s="26">
        <v>1</v>
      </c>
      <c r="I734" s="26">
        <v>3</v>
      </c>
      <c r="J734" s="26">
        <v>1</v>
      </c>
      <c r="K734" s="26">
        <v>138</v>
      </c>
      <c r="L734" s="26" t="s">
        <v>28</v>
      </c>
      <c r="M734" s="27">
        <v>2182</v>
      </c>
      <c r="N734" s="28">
        <v>271936.64000000001</v>
      </c>
      <c r="O734" s="26" t="s">
        <v>29</v>
      </c>
      <c r="P734" s="29"/>
      <c r="Q734" s="6"/>
      <c r="R734" s="29"/>
      <c r="S734" s="10"/>
      <c r="T734" s="8">
        <v>1</v>
      </c>
    </row>
    <row r="735" spans="1:26" ht="15.75" customHeight="1" outlineLevel="2" x14ac:dyDescent="0.35">
      <c r="A735" s="25" t="s">
        <v>2084</v>
      </c>
      <c r="B735" s="25" t="s">
        <v>2514</v>
      </c>
      <c r="C735" s="26">
        <v>129882</v>
      </c>
      <c r="D735" s="25" t="s">
        <v>2099</v>
      </c>
      <c r="E735" s="25" t="s">
        <v>2100</v>
      </c>
      <c r="F735" s="26" t="s">
        <v>90</v>
      </c>
      <c r="G735" s="26" t="s">
        <v>90</v>
      </c>
      <c r="H735" s="26">
        <v>1</v>
      </c>
      <c r="I735" s="26">
        <v>1</v>
      </c>
      <c r="J735" s="26">
        <v>1</v>
      </c>
      <c r="K735" s="26">
        <v>138</v>
      </c>
      <c r="L735" s="26" t="s">
        <v>28</v>
      </c>
      <c r="M735" s="27">
        <v>2229</v>
      </c>
      <c r="N735" s="30">
        <v>130441.77</v>
      </c>
      <c r="O735" s="26" t="s">
        <v>29</v>
      </c>
      <c r="P735" s="29"/>
      <c r="Q735" s="6"/>
      <c r="R735" s="29"/>
      <c r="S735" s="10"/>
      <c r="T735" s="8">
        <v>1</v>
      </c>
    </row>
    <row r="736" spans="1:26" ht="15.75" customHeight="1" outlineLevel="2" x14ac:dyDescent="0.35">
      <c r="A736" s="25" t="s">
        <v>2084</v>
      </c>
      <c r="B736" s="25" t="s">
        <v>2514</v>
      </c>
      <c r="C736" s="26">
        <v>129894</v>
      </c>
      <c r="D736" s="25" t="s">
        <v>2101</v>
      </c>
      <c r="E736" s="25" t="s">
        <v>2102</v>
      </c>
      <c r="F736" s="26" t="s">
        <v>90</v>
      </c>
      <c r="G736" s="26" t="s">
        <v>90</v>
      </c>
      <c r="H736" s="26">
        <v>1</v>
      </c>
      <c r="I736" s="26">
        <v>1</v>
      </c>
      <c r="J736" s="26">
        <v>1</v>
      </c>
      <c r="K736" s="26">
        <v>138</v>
      </c>
      <c r="L736" s="26" t="s">
        <v>28</v>
      </c>
      <c r="M736" s="27">
        <v>2219</v>
      </c>
      <c r="N736" s="28">
        <v>130441.77</v>
      </c>
      <c r="O736" s="26" t="s">
        <v>29</v>
      </c>
      <c r="P736" s="29"/>
      <c r="Q736" s="6"/>
      <c r="R736" s="29"/>
      <c r="S736" s="10"/>
      <c r="T736" s="8">
        <v>1</v>
      </c>
    </row>
    <row r="737" spans="1:20" ht="15.75" customHeight="1" outlineLevel="2" x14ac:dyDescent="0.35">
      <c r="A737" s="25" t="s">
        <v>2084</v>
      </c>
      <c r="B737" s="25" t="s">
        <v>2514</v>
      </c>
      <c r="C737" s="26">
        <v>129907</v>
      </c>
      <c r="D737" s="25" t="s">
        <v>2103</v>
      </c>
      <c r="E737" s="25" t="s">
        <v>2102</v>
      </c>
      <c r="F737" s="26" t="s">
        <v>90</v>
      </c>
      <c r="G737" s="26" t="s">
        <v>90</v>
      </c>
      <c r="H737" s="26">
        <v>1</v>
      </c>
      <c r="I737" s="26">
        <v>1</v>
      </c>
      <c r="J737" s="26">
        <v>1</v>
      </c>
      <c r="K737" s="26">
        <v>138</v>
      </c>
      <c r="L737" s="26" t="s">
        <v>28</v>
      </c>
      <c r="M737" s="27">
        <v>2238</v>
      </c>
      <c r="N737" s="30">
        <v>130441.77</v>
      </c>
      <c r="O737" s="26" t="s">
        <v>29</v>
      </c>
      <c r="P737" s="29"/>
      <c r="Q737" s="6"/>
      <c r="R737" s="29"/>
      <c r="S737" s="10"/>
      <c r="T737" s="8">
        <v>1</v>
      </c>
    </row>
    <row r="738" spans="1:20" ht="15.75" customHeight="1" outlineLevel="2" x14ac:dyDescent="0.35">
      <c r="A738" s="25" t="s">
        <v>2084</v>
      </c>
      <c r="B738" s="25" t="s">
        <v>2514</v>
      </c>
      <c r="C738" s="26">
        <v>129908</v>
      </c>
      <c r="D738" s="25" t="s">
        <v>2104</v>
      </c>
      <c r="E738" s="25" t="s">
        <v>2102</v>
      </c>
      <c r="F738" s="26" t="s">
        <v>90</v>
      </c>
      <c r="G738" s="26" t="s">
        <v>90</v>
      </c>
      <c r="H738" s="26">
        <v>1</v>
      </c>
      <c r="I738" s="26">
        <v>3</v>
      </c>
      <c r="J738" s="26">
        <v>1</v>
      </c>
      <c r="K738" s="26">
        <v>138</v>
      </c>
      <c r="L738" s="26" t="s">
        <v>28</v>
      </c>
      <c r="M738" s="27">
        <v>2239</v>
      </c>
      <c r="N738" s="30">
        <v>271936.64000000001</v>
      </c>
      <c r="O738" s="26" t="s">
        <v>29</v>
      </c>
      <c r="P738" s="29"/>
      <c r="Q738" s="6"/>
      <c r="R738" s="29"/>
      <c r="S738" s="10"/>
      <c r="T738" s="8">
        <v>1</v>
      </c>
    </row>
    <row r="739" spans="1:20" ht="15.75" customHeight="1" outlineLevel="2" x14ac:dyDescent="0.35">
      <c r="A739" s="25" t="s">
        <v>2084</v>
      </c>
      <c r="B739" s="25" t="s">
        <v>2514</v>
      </c>
      <c r="C739" s="26">
        <v>129910</v>
      </c>
      <c r="D739" s="25" t="s">
        <v>2105</v>
      </c>
      <c r="E739" s="25" t="s">
        <v>2102</v>
      </c>
      <c r="F739" s="26" t="s">
        <v>90</v>
      </c>
      <c r="G739" s="26" t="s">
        <v>90</v>
      </c>
      <c r="H739" s="26">
        <v>1</v>
      </c>
      <c r="I739" s="26">
        <v>1</v>
      </c>
      <c r="J739" s="26">
        <v>1</v>
      </c>
      <c r="K739" s="26">
        <v>138</v>
      </c>
      <c r="L739" s="26" t="s">
        <v>28</v>
      </c>
      <c r="M739" s="27">
        <v>2240</v>
      </c>
      <c r="N739" s="30">
        <v>130441.77</v>
      </c>
      <c r="O739" s="26" t="s">
        <v>29</v>
      </c>
      <c r="P739" s="29"/>
      <c r="Q739" s="6"/>
      <c r="R739" s="29"/>
      <c r="S739" s="10"/>
      <c r="T739" s="8">
        <v>1</v>
      </c>
    </row>
    <row r="740" spans="1:20" ht="15.75" customHeight="1" outlineLevel="2" x14ac:dyDescent="0.35">
      <c r="A740" s="25" t="s">
        <v>2084</v>
      </c>
      <c r="B740" s="25" t="s">
        <v>2514</v>
      </c>
      <c r="C740" s="26">
        <v>129913</v>
      </c>
      <c r="D740" s="25" t="s">
        <v>2106</v>
      </c>
      <c r="E740" s="25" t="s">
        <v>2102</v>
      </c>
      <c r="F740" s="26" t="s">
        <v>90</v>
      </c>
      <c r="G740" s="26" t="s">
        <v>90</v>
      </c>
      <c r="H740" s="26">
        <v>1</v>
      </c>
      <c r="I740" s="26">
        <v>1</v>
      </c>
      <c r="J740" s="26">
        <v>1</v>
      </c>
      <c r="K740" s="26">
        <v>138</v>
      </c>
      <c r="L740" s="26" t="s">
        <v>28</v>
      </c>
      <c r="M740" s="27">
        <v>2242</v>
      </c>
      <c r="N740" s="30">
        <v>130441.77</v>
      </c>
      <c r="O740" s="26" t="s">
        <v>29</v>
      </c>
      <c r="P740" s="29"/>
      <c r="Q740" s="6"/>
      <c r="R740" s="29"/>
      <c r="S740" s="10"/>
      <c r="T740" s="8">
        <v>1</v>
      </c>
    </row>
    <row r="741" spans="1:20" ht="15.75" customHeight="1" outlineLevel="2" x14ac:dyDescent="0.35">
      <c r="A741" s="25" t="s">
        <v>2084</v>
      </c>
      <c r="B741" s="25" t="s">
        <v>2514</v>
      </c>
      <c r="C741" s="26">
        <v>129916</v>
      </c>
      <c r="D741" s="25" t="s">
        <v>2107</v>
      </c>
      <c r="E741" s="25" t="s">
        <v>2102</v>
      </c>
      <c r="F741" s="26" t="s">
        <v>90</v>
      </c>
      <c r="G741" s="26" t="s">
        <v>90</v>
      </c>
      <c r="H741" s="26">
        <v>1</v>
      </c>
      <c r="I741" s="26">
        <v>1</v>
      </c>
      <c r="J741" s="26">
        <v>1</v>
      </c>
      <c r="K741" s="26">
        <v>138</v>
      </c>
      <c r="L741" s="26" t="s">
        <v>28</v>
      </c>
      <c r="M741" s="27">
        <v>2249</v>
      </c>
      <c r="N741" s="30">
        <v>130441.77</v>
      </c>
      <c r="O741" s="26" t="s">
        <v>29</v>
      </c>
      <c r="P741" s="29"/>
      <c r="Q741" s="6"/>
      <c r="R741" s="29"/>
      <c r="S741" s="10"/>
      <c r="T741" s="8">
        <v>1</v>
      </c>
    </row>
    <row r="742" spans="1:20" ht="15.75" customHeight="1" outlineLevel="2" x14ac:dyDescent="0.35">
      <c r="A742" s="25" t="s">
        <v>2084</v>
      </c>
      <c r="B742" s="25" t="s">
        <v>2514</v>
      </c>
      <c r="C742" s="26">
        <v>129931</v>
      </c>
      <c r="D742" s="25" t="s">
        <v>2108</v>
      </c>
      <c r="E742" s="25" t="s">
        <v>2109</v>
      </c>
      <c r="F742" s="26" t="s">
        <v>215</v>
      </c>
      <c r="G742" s="26" t="s">
        <v>215</v>
      </c>
      <c r="H742" s="26">
        <v>1</v>
      </c>
      <c r="I742" s="26">
        <v>1</v>
      </c>
      <c r="J742" s="26">
        <v>1</v>
      </c>
      <c r="K742" s="26">
        <v>138</v>
      </c>
      <c r="L742" s="26" t="s">
        <v>28</v>
      </c>
      <c r="M742" s="27">
        <v>2171</v>
      </c>
      <c r="N742" s="28">
        <v>130441.77</v>
      </c>
      <c r="O742" s="26" t="s">
        <v>29</v>
      </c>
      <c r="P742" s="29"/>
      <c r="Q742" s="6"/>
      <c r="R742" s="29"/>
      <c r="S742" s="10"/>
      <c r="T742" s="8">
        <v>1</v>
      </c>
    </row>
    <row r="743" spans="1:20" ht="15.75" customHeight="1" outlineLevel="2" x14ac:dyDescent="0.35">
      <c r="A743" s="25" t="s">
        <v>2084</v>
      </c>
      <c r="B743" s="25" t="s">
        <v>2514</v>
      </c>
      <c r="C743" s="26">
        <v>129939</v>
      </c>
      <c r="D743" s="25" t="s">
        <v>2110</v>
      </c>
      <c r="E743" s="25" t="s">
        <v>2109</v>
      </c>
      <c r="F743" s="26" t="s">
        <v>215</v>
      </c>
      <c r="G743" s="26" t="s">
        <v>215</v>
      </c>
      <c r="H743" s="26">
        <v>1</v>
      </c>
      <c r="I743" s="26">
        <v>1</v>
      </c>
      <c r="J743" s="26">
        <v>1</v>
      </c>
      <c r="K743" s="26">
        <v>138</v>
      </c>
      <c r="L743" s="26" t="s">
        <v>28</v>
      </c>
      <c r="M743" s="27">
        <v>2192</v>
      </c>
      <c r="N743" s="28">
        <v>130441.77</v>
      </c>
      <c r="O743" s="26" t="s">
        <v>29</v>
      </c>
      <c r="P743" s="29"/>
      <c r="Q743" s="6"/>
      <c r="R743" s="29"/>
      <c r="S743" s="10"/>
      <c r="T743" s="8">
        <v>1</v>
      </c>
    </row>
    <row r="744" spans="1:20" ht="15.75" customHeight="1" outlineLevel="2" x14ac:dyDescent="0.35">
      <c r="A744" s="25" t="s">
        <v>2084</v>
      </c>
      <c r="B744" s="25" t="s">
        <v>2514</v>
      </c>
      <c r="C744" s="26">
        <v>129950</v>
      </c>
      <c r="D744" s="25" t="s">
        <v>2111</v>
      </c>
      <c r="E744" s="25" t="s">
        <v>2109</v>
      </c>
      <c r="F744" s="26" t="s">
        <v>215</v>
      </c>
      <c r="G744" s="26" t="s">
        <v>215</v>
      </c>
      <c r="H744" s="26">
        <v>1</v>
      </c>
      <c r="I744" s="26">
        <v>1</v>
      </c>
      <c r="J744" s="26">
        <v>1</v>
      </c>
      <c r="K744" s="26">
        <v>138</v>
      </c>
      <c r="L744" s="26" t="s">
        <v>28</v>
      </c>
      <c r="M744" s="27">
        <v>2209</v>
      </c>
      <c r="N744" s="28">
        <v>130441.77</v>
      </c>
      <c r="O744" s="26" t="s">
        <v>29</v>
      </c>
      <c r="P744" s="29"/>
      <c r="Q744" s="6"/>
      <c r="R744" s="29"/>
      <c r="S744" s="10"/>
      <c r="T744" s="8">
        <v>1</v>
      </c>
    </row>
    <row r="745" spans="1:20" ht="15.75" customHeight="1" outlineLevel="2" x14ac:dyDescent="0.35">
      <c r="A745" s="25" t="s">
        <v>2084</v>
      </c>
      <c r="B745" s="25" t="s">
        <v>2514</v>
      </c>
      <c r="C745" s="26">
        <v>129957</v>
      </c>
      <c r="D745" s="25" t="s">
        <v>2112</v>
      </c>
      <c r="E745" s="25" t="s">
        <v>208</v>
      </c>
      <c r="F745" s="26" t="s">
        <v>215</v>
      </c>
      <c r="G745" s="26" t="s">
        <v>215</v>
      </c>
      <c r="H745" s="26">
        <v>1</v>
      </c>
      <c r="I745" s="26">
        <v>1</v>
      </c>
      <c r="J745" s="26">
        <v>1</v>
      </c>
      <c r="K745" s="26">
        <v>138</v>
      </c>
      <c r="L745" s="26" t="s">
        <v>28</v>
      </c>
      <c r="M745" s="27">
        <v>2173</v>
      </c>
      <c r="N745" s="28">
        <v>130441.77</v>
      </c>
      <c r="O745" s="26" t="s">
        <v>29</v>
      </c>
      <c r="P745" s="29"/>
      <c r="Q745" s="6"/>
      <c r="R745" s="29"/>
      <c r="S745" s="10"/>
      <c r="T745" s="8">
        <v>1</v>
      </c>
    </row>
    <row r="746" spans="1:20" ht="15.75" customHeight="1" outlineLevel="2" x14ac:dyDescent="0.35">
      <c r="A746" s="25" t="s">
        <v>2084</v>
      </c>
      <c r="B746" s="25" t="s">
        <v>2514</v>
      </c>
      <c r="C746" s="26">
        <v>129964</v>
      </c>
      <c r="D746" s="25" t="s">
        <v>2113</v>
      </c>
      <c r="E746" s="25" t="s">
        <v>208</v>
      </c>
      <c r="F746" s="26" t="s">
        <v>215</v>
      </c>
      <c r="G746" s="26" t="s">
        <v>215</v>
      </c>
      <c r="H746" s="26">
        <v>1</v>
      </c>
      <c r="I746" s="26">
        <v>1</v>
      </c>
      <c r="J746" s="26">
        <v>1</v>
      </c>
      <c r="K746" s="26">
        <v>138</v>
      </c>
      <c r="L746" s="26" t="s">
        <v>28</v>
      </c>
      <c r="M746" s="27">
        <v>2196</v>
      </c>
      <c r="N746" s="28">
        <v>130441.77</v>
      </c>
      <c r="O746" s="26" t="s">
        <v>29</v>
      </c>
      <c r="P746" s="29"/>
      <c r="Q746" s="6"/>
      <c r="R746" s="29"/>
      <c r="S746" s="10"/>
      <c r="T746" s="8">
        <v>1</v>
      </c>
    </row>
    <row r="747" spans="1:20" ht="15.75" customHeight="1" outlineLevel="2" x14ac:dyDescent="0.35">
      <c r="A747" s="25" t="s">
        <v>2084</v>
      </c>
      <c r="B747" s="25" t="s">
        <v>2514</v>
      </c>
      <c r="C747" s="26">
        <v>129969</v>
      </c>
      <c r="D747" s="25" t="s">
        <v>2114</v>
      </c>
      <c r="E747" s="25" t="s">
        <v>208</v>
      </c>
      <c r="F747" s="26" t="s">
        <v>215</v>
      </c>
      <c r="G747" s="26" t="s">
        <v>215</v>
      </c>
      <c r="H747" s="26">
        <v>1</v>
      </c>
      <c r="I747" s="26">
        <v>1</v>
      </c>
      <c r="J747" s="26">
        <v>1</v>
      </c>
      <c r="K747" s="26">
        <v>138</v>
      </c>
      <c r="L747" s="26" t="s">
        <v>28</v>
      </c>
      <c r="M747" s="27">
        <v>2203</v>
      </c>
      <c r="N747" s="28">
        <v>130441.77</v>
      </c>
      <c r="O747" s="26" t="s">
        <v>29</v>
      </c>
      <c r="P747" s="29"/>
      <c r="Q747" s="6"/>
      <c r="R747" s="29"/>
      <c r="S747" s="10"/>
      <c r="T747" s="8">
        <v>1</v>
      </c>
    </row>
    <row r="748" spans="1:20" ht="15.75" customHeight="1" outlineLevel="2" x14ac:dyDescent="0.35">
      <c r="A748" s="25" t="s">
        <v>2084</v>
      </c>
      <c r="B748" s="25" t="s">
        <v>2514</v>
      </c>
      <c r="C748" s="26">
        <v>129970</v>
      </c>
      <c r="D748" s="25" t="s">
        <v>2115</v>
      </c>
      <c r="E748" s="25" t="s">
        <v>208</v>
      </c>
      <c r="F748" s="26" t="s">
        <v>215</v>
      </c>
      <c r="G748" s="26" t="s">
        <v>215</v>
      </c>
      <c r="H748" s="26">
        <v>1</v>
      </c>
      <c r="I748" s="26">
        <v>1</v>
      </c>
      <c r="J748" s="26">
        <v>1</v>
      </c>
      <c r="K748" s="26">
        <v>138</v>
      </c>
      <c r="L748" s="26" t="s">
        <v>28</v>
      </c>
      <c r="M748" s="27">
        <v>2205</v>
      </c>
      <c r="N748" s="28">
        <v>130441.77</v>
      </c>
      <c r="O748" s="26" t="s">
        <v>29</v>
      </c>
      <c r="P748" s="29"/>
      <c r="Q748" s="6"/>
      <c r="R748" s="29"/>
      <c r="S748" s="10"/>
      <c r="T748" s="8">
        <v>1</v>
      </c>
    </row>
    <row r="749" spans="1:20" ht="15.75" customHeight="1" outlineLevel="2" x14ac:dyDescent="0.35">
      <c r="A749" s="25" t="s">
        <v>2084</v>
      </c>
      <c r="B749" s="25" t="s">
        <v>2514</v>
      </c>
      <c r="C749" s="26">
        <v>129971</v>
      </c>
      <c r="D749" s="25" t="s">
        <v>2116</v>
      </c>
      <c r="E749" s="25" t="s">
        <v>208</v>
      </c>
      <c r="F749" s="26" t="s">
        <v>215</v>
      </c>
      <c r="G749" s="26" t="s">
        <v>215</v>
      </c>
      <c r="H749" s="26">
        <v>1</v>
      </c>
      <c r="I749" s="26">
        <v>1</v>
      </c>
      <c r="J749" s="26">
        <v>1</v>
      </c>
      <c r="K749" s="26">
        <v>138</v>
      </c>
      <c r="L749" s="26" t="s">
        <v>28</v>
      </c>
      <c r="M749" s="27">
        <v>2206</v>
      </c>
      <c r="N749" s="28">
        <v>130441.77</v>
      </c>
      <c r="O749" s="26" t="s">
        <v>29</v>
      </c>
      <c r="P749" s="29"/>
      <c r="Q749" s="6"/>
      <c r="R749" s="29"/>
      <c r="S749" s="10"/>
      <c r="T749" s="8">
        <v>1</v>
      </c>
    </row>
    <row r="750" spans="1:20" ht="15.75" customHeight="1" outlineLevel="2" x14ac:dyDescent="0.35">
      <c r="A750" s="25" t="s">
        <v>2084</v>
      </c>
      <c r="B750" s="25" t="s">
        <v>2514</v>
      </c>
      <c r="C750" s="26">
        <v>129974</v>
      </c>
      <c r="D750" s="25" t="s">
        <v>2117</v>
      </c>
      <c r="E750" s="25" t="s">
        <v>208</v>
      </c>
      <c r="F750" s="26" t="s">
        <v>215</v>
      </c>
      <c r="G750" s="26" t="s">
        <v>215</v>
      </c>
      <c r="H750" s="26">
        <v>1</v>
      </c>
      <c r="I750" s="26">
        <v>1</v>
      </c>
      <c r="J750" s="26">
        <v>1</v>
      </c>
      <c r="K750" s="26">
        <v>138</v>
      </c>
      <c r="L750" s="26" t="s">
        <v>28</v>
      </c>
      <c r="M750" s="27">
        <v>2216</v>
      </c>
      <c r="N750" s="30">
        <v>130441.77</v>
      </c>
      <c r="O750" s="26" t="s">
        <v>29</v>
      </c>
      <c r="P750" s="29"/>
      <c r="Q750" s="6"/>
      <c r="R750" s="29"/>
      <c r="S750" s="10"/>
      <c r="T750" s="8">
        <v>1</v>
      </c>
    </row>
    <row r="751" spans="1:20" ht="15.75" customHeight="1" outlineLevel="2" x14ac:dyDescent="0.35">
      <c r="A751" s="25" t="s">
        <v>2084</v>
      </c>
      <c r="B751" s="25" t="s">
        <v>2514</v>
      </c>
      <c r="C751" s="26">
        <v>129976</v>
      </c>
      <c r="D751" s="25" t="s">
        <v>2118</v>
      </c>
      <c r="E751" s="25" t="s">
        <v>208</v>
      </c>
      <c r="F751" s="26" t="s">
        <v>215</v>
      </c>
      <c r="G751" s="26" t="s">
        <v>215</v>
      </c>
      <c r="H751" s="26">
        <v>1</v>
      </c>
      <c r="I751" s="26">
        <v>1</v>
      </c>
      <c r="J751" s="26">
        <v>1</v>
      </c>
      <c r="K751" s="26">
        <v>138</v>
      </c>
      <c r="L751" s="26" t="s">
        <v>28</v>
      </c>
      <c r="M751" s="27">
        <v>2169</v>
      </c>
      <c r="N751" s="28">
        <v>130441.77</v>
      </c>
      <c r="O751" s="26" t="s">
        <v>29</v>
      </c>
      <c r="P751" s="29"/>
      <c r="Q751" s="6"/>
      <c r="R751" s="29"/>
      <c r="S751" s="10"/>
      <c r="T751" s="8">
        <v>1</v>
      </c>
    </row>
    <row r="752" spans="1:20" ht="15.75" customHeight="1" outlineLevel="2" x14ac:dyDescent="0.35">
      <c r="A752" s="25" t="s">
        <v>2084</v>
      </c>
      <c r="B752" s="25" t="s">
        <v>2514</v>
      </c>
      <c r="C752" s="26">
        <v>129983</v>
      </c>
      <c r="D752" s="25" t="s">
        <v>2119</v>
      </c>
      <c r="E752" s="25" t="s">
        <v>208</v>
      </c>
      <c r="F752" s="26" t="s">
        <v>215</v>
      </c>
      <c r="G752" s="26" t="s">
        <v>215</v>
      </c>
      <c r="H752" s="26">
        <v>1</v>
      </c>
      <c r="I752" s="26">
        <v>1</v>
      </c>
      <c r="J752" s="26">
        <v>1</v>
      </c>
      <c r="K752" s="26">
        <v>138</v>
      </c>
      <c r="L752" s="26" t="s">
        <v>28</v>
      </c>
      <c r="M752" s="27">
        <v>2188</v>
      </c>
      <c r="N752" s="28">
        <v>130441.77</v>
      </c>
      <c r="O752" s="26" t="s">
        <v>29</v>
      </c>
      <c r="P752" s="29"/>
      <c r="Q752" s="6"/>
      <c r="R752" s="29"/>
      <c r="S752" s="10"/>
      <c r="T752" s="8">
        <v>1</v>
      </c>
    </row>
    <row r="753" spans="1:20" ht="15.75" customHeight="1" outlineLevel="2" x14ac:dyDescent="0.35">
      <c r="A753" s="25" t="s">
        <v>2084</v>
      </c>
      <c r="B753" s="25" t="s">
        <v>2514</v>
      </c>
      <c r="C753" s="26">
        <v>129985</v>
      </c>
      <c r="D753" s="25" t="s">
        <v>2120</v>
      </c>
      <c r="E753" s="25" t="s">
        <v>208</v>
      </c>
      <c r="F753" s="26" t="s">
        <v>215</v>
      </c>
      <c r="G753" s="26" t="s">
        <v>215</v>
      </c>
      <c r="H753" s="26">
        <v>1</v>
      </c>
      <c r="I753" s="26">
        <v>1</v>
      </c>
      <c r="J753" s="26">
        <v>1</v>
      </c>
      <c r="K753" s="26">
        <v>138</v>
      </c>
      <c r="L753" s="26" t="s">
        <v>28</v>
      </c>
      <c r="M753" s="27">
        <v>2195</v>
      </c>
      <c r="N753" s="28">
        <v>130441.77</v>
      </c>
      <c r="O753" s="26" t="s">
        <v>29</v>
      </c>
      <c r="P753" s="29"/>
      <c r="Q753" s="6"/>
      <c r="R753" s="29"/>
      <c r="S753" s="10"/>
      <c r="T753" s="8">
        <v>1</v>
      </c>
    </row>
    <row r="754" spans="1:20" ht="15.75" customHeight="1" outlineLevel="2" x14ac:dyDescent="0.35">
      <c r="A754" s="25" t="s">
        <v>2084</v>
      </c>
      <c r="B754" s="25" t="s">
        <v>2514</v>
      </c>
      <c r="C754" s="26">
        <v>129988</v>
      </c>
      <c r="D754" s="25" t="s">
        <v>2121</v>
      </c>
      <c r="E754" s="25" t="s">
        <v>208</v>
      </c>
      <c r="F754" s="26" t="s">
        <v>215</v>
      </c>
      <c r="G754" s="26" t="s">
        <v>215</v>
      </c>
      <c r="H754" s="26">
        <v>1</v>
      </c>
      <c r="I754" s="26">
        <v>1</v>
      </c>
      <c r="J754" s="26">
        <v>1</v>
      </c>
      <c r="K754" s="26">
        <v>138</v>
      </c>
      <c r="L754" s="26" t="s">
        <v>28</v>
      </c>
      <c r="M754" s="27">
        <v>2207</v>
      </c>
      <c r="N754" s="28">
        <v>130441.77</v>
      </c>
      <c r="O754" s="26" t="s">
        <v>29</v>
      </c>
      <c r="P754" s="29"/>
      <c r="Q754" s="6"/>
      <c r="R754" s="29"/>
      <c r="S754" s="10"/>
      <c r="T754" s="8">
        <v>1</v>
      </c>
    </row>
    <row r="755" spans="1:20" ht="15.75" customHeight="1" outlineLevel="2" x14ac:dyDescent="0.35">
      <c r="A755" s="25" t="s">
        <v>2084</v>
      </c>
      <c r="B755" s="25" t="s">
        <v>2514</v>
      </c>
      <c r="C755" s="26">
        <v>129990</v>
      </c>
      <c r="D755" s="25" t="s">
        <v>2122</v>
      </c>
      <c r="E755" s="25" t="s">
        <v>208</v>
      </c>
      <c r="F755" s="26" t="s">
        <v>215</v>
      </c>
      <c r="G755" s="26" t="s">
        <v>215</v>
      </c>
      <c r="H755" s="26">
        <v>1</v>
      </c>
      <c r="I755" s="26">
        <v>1</v>
      </c>
      <c r="J755" s="26">
        <v>1</v>
      </c>
      <c r="K755" s="26">
        <v>138</v>
      </c>
      <c r="L755" s="26" t="s">
        <v>28</v>
      </c>
      <c r="M755" s="27">
        <v>2211</v>
      </c>
      <c r="N755" s="28">
        <v>130441.77</v>
      </c>
      <c r="O755" s="26" t="s">
        <v>29</v>
      </c>
      <c r="P755" s="29"/>
      <c r="Q755" s="6"/>
      <c r="R755" s="29"/>
      <c r="S755" s="10"/>
      <c r="T755" s="8">
        <v>1</v>
      </c>
    </row>
    <row r="756" spans="1:20" ht="15.75" customHeight="1" outlineLevel="2" x14ac:dyDescent="0.35">
      <c r="A756" s="25" t="s">
        <v>2084</v>
      </c>
      <c r="B756" s="25" t="s">
        <v>2514</v>
      </c>
      <c r="C756" s="26">
        <v>130012</v>
      </c>
      <c r="D756" s="25" t="s">
        <v>2123</v>
      </c>
      <c r="E756" s="25" t="s">
        <v>2124</v>
      </c>
      <c r="F756" s="26" t="s">
        <v>491</v>
      </c>
      <c r="G756" s="26" t="s">
        <v>491</v>
      </c>
      <c r="H756" s="26">
        <v>1</v>
      </c>
      <c r="I756" s="26">
        <v>1</v>
      </c>
      <c r="J756" s="26">
        <v>1</v>
      </c>
      <c r="K756" s="26">
        <v>138</v>
      </c>
      <c r="L756" s="26" t="s">
        <v>28</v>
      </c>
      <c r="M756" s="27">
        <v>2266</v>
      </c>
      <c r="N756" s="28">
        <v>130441.77</v>
      </c>
      <c r="O756" s="26" t="s">
        <v>29</v>
      </c>
      <c r="P756" s="29"/>
      <c r="Q756" s="6"/>
      <c r="R756" s="29"/>
      <c r="S756" s="10"/>
      <c r="T756" s="8">
        <v>1</v>
      </c>
    </row>
    <row r="757" spans="1:20" ht="15.75" customHeight="1" outlineLevel="2" x14ac:dyDescent="0.35">
      <c r="A757" s="25" t="s">
        <v>2084</v>
      </c>
      <c r="B757" s="25" t="s">
        <v>2514</v>
      </c>
      <c r="C757" s="26">
        <v>130016</v>
      </c>
      <c r="D757" s="25" t="s">
        <v>2125</v>
      </c>
      <c r="E757" s="25" t="s">
        <v>2124</v>
      </c>
      <c r="F757" s="26" t="s">
        <v>491</v>
      </c>
      <c r="G757" s="26" t="s">
        <v>491</v>
      </c>
      <c r="H757" s="26">
        <v>1</v>
      </c>
      <c r="I757" s="26">
        <v>1</v>
      </c>
      <c r="J757" s="26">
        <v>1</v>
      </c>
      <c r="K757" s="26">
        <v>138</v>
      </c>
      <c r="L757" s="26" t="s">
        <v>28</v>
      </c>
      <c r="M757" s="27">
        <v>2269</v>
      </c>
      <c r="N757" s="28">
        <v>130441.77</v>
      </c>
      <c r="O757" s="26" t="s">
        <v>29</v>
      </c>
      <c r="P757" s="29"/>
      <c r="Q757" s="6"/>
      <c r="R757" s="29"/>
      <c r="S757" s="10"/>
      <c r="T757" s="8">
        <v>1</v>
      </c>
    </row>
    <row r="758" spans="1:20" ht="15.75" customHeight="1" outlineLevel="2" x14ac:dyDescent="0.35">
      <c r="A758" s="25" t="s">
        <v>2084</v>
      </c>
      <c r="B758" s="25" t="s">
        <v>2514</v>
      </c>
      <c r="C758" s="26">
        <v>130053</v>
      </c>
      <c r="D758" s="25" t="s">
        <v>2126</v>
      </c>
      <c r="E758" s="25" t="s">
        <v>2127</v>
      </c>
      <c r="F758" s="26" t="s">
        <v>90</v>
      </c>
      <c r="G758" s="26" t="s">
        <v>90</v>
      </c>
      <c r="H758" s="26">
        <v>1</v>
      </c>
      <c r="I758" s="26">
        <v>1</v>
      </c>
      <c r="J758" s="26">
        <v>1</v>
      </c>
      <c r="K758" s="26">
        <v>138</v>
      </c>
      <c r="L758" s="26" t="s">
        <v>28</v>
      </c>
      <c r="M758" s="27">
        <v>2232</v>
      </c>
      <c r="N758" s="30">
        <v>130441.77</v>
      </c>
      <c r="O758" s="26" t="s">
        <v>29</v>
      </c>
      <c r="P758" s="29"/>
      <c r="Q758" s="6"/>
      <c r="R758" s="29"/>
      <c r="S758" s="10"/>
      <c r="T758" s="8">
        <v>1</v>
      </c>
    </row>
    <row r="759" spans="1:20" ht="15.75" customHeight="1" outlineLevel="2" x14ac:dyDescent="0.35">
      <c r="A759" s="25" t="s">
        <v>2084</v>
      </c>
      <c r="B759" s="25" t="s">
        <v>2514</v>
      </c>
      <c r="C759" s="26">
        <v>130059</v>
      </c>
      <c r="D759" s="25" t="s">
        <v>2128</v>
      </c>
      <c r="E759" s="25" t="s">
        <v>2127</v>
      </c>
      <c r="F759" s="26" t="s">
        <v>90</v>
      </c>
      <c r="G759" s="26" t="s">
        <v>90</v>
      </c>
      <c r="H759" s="26">
        <v>1</v>
      </c>
      <c r="I759" s="26">
        <v>1</v>
      </c>
      <c r="J759" s="26">
        <v>1</v>
      </c>
      <c r="K759" s="26">
        <v>138</v>
      </c>
      <c r="L759" s="26" t="s">
        <v>28</v>
      </c>
      <c r="M759" s="27">
        <v>2248</v>
      </c>
      <c r="N759" s="30">
        <v>130441.77</v>
      </c>
      <c r="O759" s="26" t="s">
        <v>29</v>
      </c>
      <c r="P759" s="29"/>
      <c r="Q759" s="6"/>
      <c r="R759" s="29"/>
      <c r="S759" s="10"/>
      <c r="T759" s="8">
        <v>1</v>
      </c>
    </row>
    <row r="760" spans="1:20" ht="15.75" customHeight="1" outlineLevel="2" x14ac:dyDescent="0.35">
      <c r="A760" s="25" t="s">
        <v>2084</v>
      </c>
      <c r="B760" s="25" t="s">
        <v>2514</v>
      </c>
      <c r="C760" s="26">
        <v>130063</v>
      </c>
      <c r="D760" s="25" t="s">
        <v>2129</v>
      </c>
      <c r="E760" s="25" t="s">
        <v>2127</v>
      </c>
      <c r="F760" s="26" t="s">
        <v>90</v>
      </c>
      <c r="G760" s="26" t="s">
        <v>90</v>
      </c>
      <c r="H760" s="26">
        <v>1</v>
      </c>
      <c r="I760" s="26">
        <v>1</v>
      </c>
      <c r="J760" s="26">
        <v>1</v>
      </c>
      <c r="K760" s="26">
        <v>138</v>
      </c>
      <c r="L760" s="26" t="s">
        <v>28</v>
      </c>
      <c r="M760" s="27">
        <v>2254</v>
      </c>
      <c r="N760" s="28">
        <v>130441.77</v>
      </c>
      <c r="O760" s="26" t="s">
        <v>29</v>
      </c>
      <c r="P760" s="29"/>
      <c r="Q760" s="6"/>
      <c r="R760" s="29"/>
      <c r="S760" s="10"/>
      <c r="T760" s="8">
        <v>1</v>
      </c>
    </row>
    <row r="761" spans="1:20" ht="15.75" customHeight="1" outlineLevel="2" x14ac:dyDescent="0.35">
      <c r="A761" s="25" t="s">
        <v>2084</v>
      </c>
      <c r="B761" s="25" t="s">
        <v>2514</v>
      </c>
      <c r="C761" s="26">
        <v>130067</v>
      </c>
      <c r="D761" s="25" t="s">
        <v>2130</v>
      </c>
      <c r="E761" s="25" t="s">
        <v>2127</v>
      </c>
      <c r="F761" s="26" t="s">
        <v>90</v>
      </c>
      <c r="G761" s="26" t="s">
        <v>90</v>
      </c>
      <c r="H761" s="26">
        <v>1</v>
      </c>
      <c r="I761" s="26">
        <v>1</v>
      </c>
      <c r="J761" s="37">
        <v>130441.77</v>
      </c>
      <c r="K761" s="26">
        <v>138</v>
      </c>
      <c r="L761" s="26" t="s">
        <v>28</v>
      </c>
      <c r="M761" s="27">
        <v>2264</v>
      </c>
      <c r="N761" s="30">
        <v>130441.77</v>
      </c>
      <c r="O761" s="26" t="s">
        <v>29</v>
      </c>
      <c r="P761" s="29"/>
      <c r="Q761" s="6"/>
      <c r="R761" s="29"/>
      <c r="S761" s="10"/>
      <c r="T761" s="8">
        <v>1</v>
      </c>
    </row>
    <row r="762" spans="1:20" ht="15.75" customHeight="1" outlineLevel="2" x14ac:dyDescent="0.35">
      <c r="A762" s="25" t="s">
        <v>2084</v>
      </c>
      <c r="B762" s="25" t="s">
        <v>2514</v>
      </c>
      <c r="C762" s="26">
        <v>130075</v>
      </c>
      <c r="D762" s="25" t="s">
        <v>2131</v>
      </c>
      <c r="E762" s="25" t="s">
        <v>2127</v>
      </c>
      <c r="F762" s="26" t="s">
        <v>90</v>
      </c>
      <c r="G762" s="26" t="s">
        <v>90</v>
      </c>
      <c r="H762" s="26">
        <v>1</v>
      </c>
      <c r="I762" s="26">
        <v>1</v>
      </c>
      <c r="J762" s="26">
        <v>1</v>
      </c>
      <c r="K762" s="26">
        <v>138</v>
      </c>
      <c r="L762" s="26" t="s">
        <v>28</v>
      </c>
      <c r="M762" s="27">
        <v>2228</v>
      </c>
      <c r="N762" s="30">
        <v>130441.77</v>
      </c>
      <c r="O762" s="26" t="s">
        <v>29</v>
      </c>
      <c r="P762" s="29"/>
      <c r="Q762" s="6"/>
      <c r="R762" s="29"/>
      <c r="S762" s="10"/>
      <c r="T762" s="8">
        <v>1</v>
      </c>
    </row>
    <row r="763" spans="1:20" ht="15.75" customHeight="1" outlineLevel="2" x14ac:dyDescent="0.35">
      <c r="A763" s="25" t="s">
        <v>2084</v>
      </c>
      <c r="B763" s="25" t="s">
        <v>2514</v>
      </c>
      <c r="C763" s="26">
        <v>130084</v>
      </c>
      <c r="D763" s="25" t="s">
        <v>2132</v>
      </c>
      <c r="E763" s="25" t="s">
        <v>2133</v>
      </c>
      <c r="F763" s="26" t="s">
        <v>90</v>
      </c>
      <c r="G763" s="26" t="s">
        <v>90</v>
      </c>
      <c r="H763" s="26">
        <v>1</v>
      </c>
      <c r="I763" s="26">
        <v>1</v>
      </c>
      <c r="J763" s="26">
        <v>1</v>
      </c>
      <c r="K763" s="26">
        <v>138</v>
      </c>
      <c r="L763" s="26" t="s">
        <v>28</v>
      </c>
      <c r="M763" s="27">
        <v>2222</v>
      </c>
      <c r="N763" s="30">
        <v>130441.77</v>
      </c>
      <c r="O763" s="26" t="s">
        <v>29</v>
      </c>
      <c r="P763" s="29"/>
      <c r="Q763" s="6"/>
      <c r="R763" s="29"/>
      <c r="S763" s="10"/>
      <c r="T763" s="8">
        <v>1</v>
      </c>
    </row>
    <row r="764" spans="1:20" ht="15.75" customHeight="1" outlineLevel="2" x14ac:dyDescent="0.35">
      <c r="A764" s="25" t="s">
        <v>2084</v>
      </c>
      <c r="B764" s="25" t="s">
        <v>2514</v>
      </c>
      <c r="C764" s="26">
        <v>130105</v>
      </c>
      <c r="D764" s="25" t="s">
        <v>299</v>
      </c>
      <c r="E764" s="25" t="s">
        <v>2133</v>
      </c>
      <c r="F764" s="26" t="s">
        <v>90</v>
      </c>
      <c r="G764" s="26" t="s">
        <v>90</v>
      </c>
      <c r="H764" s="26">
        <v>1</v>
      </c>
      <c r="I764" s="26">
        <v>1</v>
      </c>
      <c r="J764" s="26">
        <v>1</v>
      </c>
      <c r="K764" s="26">
        <v>138</v>
      </c>
      <c r="L764" s="26" t="s">
        <v>28</v>
      </c>
      <c r="M764" s="27">
        <v>2257</v>
      </c>
      <c r="N764" s="30">
        <v>130441.77</v>
      </c>
      <c r="O764" s="26" t="s">
        <v>29</v>
      </c>
      <c r="P764" s="29"/>
      <c r="Q764" s="6"/>
      <c r="R764" s="29"/>
      <c r="S764" s="10"/>
      <c r="T764" s="8">
        <v>1</v>
      </c>
    </row>
    <row r="765" spans="1:20" ht="15.75" customHeight="1" outlineLevel="2" x14ac:dyDescent="0.35">
      <c r="A765" s="25" t="s">
        <v>2084</v>
      </c>
      <c r="B765" s="25" t="s">
        <v>2514</v>
      </c>
      <c r="C765" s="26">
        <v>130132</v>
      </c>
      <c r="D765" s="25" t="s">
        <v>2134</v>
      </c>
      <c r="E765" s="25" t="s">
        <v>2135</v>
      </c>
      <c r="F765" s="26" t="s">
        <v>90</v>
      </c>
      <c r="G765" s="26" t="s">
        <v>90</v>
      </c>
      <c r="H765" s="26">
        <v>1</v>
      </c>
      <c r="I765" s="26">
        <v>1</v>
      </c>
      <c r="J765" s="26">
        <v>1</v>
      </c>
      <c r="K765" s="26">
        <v>138</v>
      </c>
      <c r="L765" s="26" t="s">
        <v>28</v>
      </c>
      <c r="M765" s="27">
        <v>2246</v>
      </c>
      <c r="N765" s="30">
        <v>130441.77</v>
      </c>
      <c r="O765" s="26" t="s">
        <v>29</v>
      </c>
      <c r="P765" s="29"/>
      <c r="Q765" s="6"/>
      <c r="R765" s="29"/>
      <c r="S765" s="10"/>
      <c r="T765" s="8">
        <v>1</v>
      </c>
    </row>
    <row r="766" spans="1:20" ht="15.75" customHeight="1" outlineLevel="2" x14ac:dyDescent="0.35">
      <c r="A766" s="25" t="s">
        <v>2084</v>
      </c>
      <c r="B766" s="25" t="s">
        <v>2514</v>
      </c>
      <c r="C766" s="26">
        <v>130138</v>
      </c>
      <c r="D766" s="25" t="s">
        <v>2136</v>
      </c>
      <c r="E766" s="25" t="s">
        <v>2135</v>
      </c>
      <c r="F766" s="26" t="s">
        <v>90</v>
      </c>
      <c r="G766" s="26" t="s">
        <v>90</v>
      </c>
      <c r="H766" s="26">
        <v>1</v>
      </c>
      <c r="I766" s="26">
        <v>1</v>
      </c>
      <c r="J766" s="37">
        <v>130441.77</v>
      </c>
      <c r="K766" s="26">
        <v>138</v>
      </c>
      <c r="L766" s="26" t="s">
        <v>28</v>
      </c>
      <c r="M766" s="27">
        <v>2252</v>
      </c>
      <c r="N766" s="30">
        <v>130441.77</v>
      </c>
      <c r="O766" s="26" t="s">
        <v>29</v>
      </c>
      <c r="P766" s="29"/>
      <c r="Q766" s="6"/>
      <c r="R766" s="29"/>
      <c r="S766" s="10"/>
      <c r="T766" s="8">
        <v>1</v>
      </c>
    </row>
    <row r="767" spans="1:20" ht="15.75" customHeight="1" outlineLevel="2" x14ac:dyDescent="0.35">
      <c r="A767" s="25" t="s">
        <v>2084</v>
      </c>
      <c r="B767" s="25" t="s">
        <v>2514</v>
      </c>
      <c r="C767" s="26">
        <v>130144</v>
      </c>
      <c r="D767" s="25" t="s">
        <v>2137</v>
      </c>
      <c r="E767" s="25" t="s">
        <v>2135</v>
      </c>
      <c r="F767" s="26" t="s">
        <v>90</v>
      </c>
      <c r="G767" s="26" t="s">
        <v>90</v>
      </c>
      <c r="H767" s="26">
        <v>1</v>
      </c>
      <c r="I767" s="26">
        <v>1</v>
      </c>
      <c r="J767" s="26">
        <v>1</v>
      </c>
      <c r="K767" s="26">
        <v>138</v>
      </c>
      <c r="L767" s="26" t="s">
        <v>28</v>
      </c>
      <c r="M767" s="27">
        <v>2220</v>
      </c>
      <c r="N767" s="30">
        <v>130441.77</v>
      </c>
      <c r="O767" s="26" t="s">
        <v>29</v>
      </c>
      <c r="P767" s="29"/>
      <c r="Q767" s="6"/>
      <c r="R767" s="29"/>
      <c r="S767" s="10"/>
      <c r="T767" s="8">
        <v>1</v>
      </c>
    </row>
    <row r="768" spans="1:20" ht="15.75" customHeight="1" outlineLevel="2" x14ac:dyDescent="0.35">
      <c r="A768" s="25" t="s">
        <v>2084</v>
      </c>
      <c r="B768" s="25" t="s">
        <v>2514</v>
      </c>
      <c r="C768" s="26">
        <v>130149</v>
      </c>
      <c r="D768" s="25" t="s">
        <v>2138</v>
      </c>
      <c r="E768" s="25" t="s">
        <v>2135</v>
      </c>
      <c r="F768" s="26" t="s">
        <v>90</v>
      </c>
      <c r="G768" s="26" t="s">
        <v>90</v>
      </c>
      <c r="H768" s="26">
        <v>1</v>
      </c>
      <c r="I768" s="26">
        <v>1</v>
      </c>
      <c r="J768" s="26">
        <v>1</v>
      </c>
      <c r="K768" s="26">
        <v>138</v>
      </c>
      <c r="L768" s="26" t="s">
        <v>28</v>
      </c>
      <c r="M768" s="27">
        <v>2236</v>
      </c>
      <c r="N768" s="28">
        <v>130441.77</v>
      </c>
      <c r="O768" s="26" t="s">
        <v>29</v>
      </c>
      <c r="P768" s="29"/>
      <c r="Q768" s="6"/>
      <c r="R768" s="29"/>
      <c r="S768" s="10"/>
      <c r="T768" s="8">
        <v>1</v>
      </c>
    </row>
    <row r="769" spans="1:20" ht="15.75" customHeight="1" outlineLevel="2" x14ac:dyDescent="0.35">
      <c r="A769" s="25" t="s">
        <v>2084</v>
      </c>
      <c r="B769" s="25" t="s">
        <v>2514</v>
      </c>
      <c r="C769" s="26">
        <v>130213</v>
      </c>
      <c r="D769" s="25" t="s">
        <v>2139</v>
      </c>
      <c r="E769" s="25" t="s">
        <v>2140</v>
      </c>
      <c r="F769" s="26" t="s">
        <v>215</v>
      </c>
      <c r="G769" s="26" t="s">
        <v>215</v>
      </c>
      <c r="H769" s="26">
        <v>1</v>
      </c>
      <c r="I769" s="26">
        <v>1</v>
      </c>
      <c r="J769" s="26">
        <v>1</v>
      </c>
      <c r="K769" s="26">
        <v>138</v>
      </c>
      <c r="L769" s="26" t="s">
        <v>28</v>
      </c>
      <c r="M769" s="27">
        <v>2191</v>
      </c>
      <c r="N769" s="28">
        <v>130441.77</v>
      </c>
      <c r="O769" s="26" t="s">
        <v>29</v>
      </c>
      <c r="P769" s="29"/>
      <c r="Q769" s="6"/>
      <c r="R769" s="29"/>
      <c r="S769" s="10"/>
      <c r="T769" s="8">
        <v>1</v>
      </c>
    </row>
    <row r="770" spans="1:20" ht="15.75" customHeight="1" outlineLevel="2" x14ac:dyDescent="0.35">
      <c r="A770" s="25" t="s">
        <v>2084</v>
      </c>
      <c r="B770" s="25" t="s">
        <v>2514</v>
      </c>
      <c r="C770" s="26">
        <v>130216</v>
      </c>
      <c r="D770" s="25" t="s">
        <v>2141</v>
      </c>
      <c r="E770" s="25" t="s">
        <v>2140</v>
      </c>
      <c r="F770" s="26" t="s">
        <v>215</v>
      </c>
      <c r="G770" s="26" t="s">
        <v>215</v>
      </c>
      <c r="H770" s="26">
        <v>1</v>
      </c>
      <c r="I770" s="26">
        <v>1</v>
      </c>
      <c r="J770" s="26">
        <v>1</v>
      </c>
      <c r="K770" s="26">
        <v>138</v>
      </c>
      <c r="L770" s="26" t="s">
        <v>28</v>
      </c>
      <c r="M770" s="27">
        <v>2197</v>
      </c>
      <c r="N770" s="28">
        <v>130441.77</v>
      </c>
      <c r="O770" s="26" t="s">
        <v>29</v>
      </c>
      <c r="P770" s="29"/>
      <c r="Q770" s="6"/>
      <c r="R770" s="29"/>
      <c r="S770" s="10"/>
      <c r="T770" s="8">
        <v>1</v>
      </c>
    </row>
    <row r="771" spans="1:20" ht="15.75" customHeight="1" outlineLevel="2" x14ac:dyDescent="0.35">
      <c r="A771" s="25" t="s">
        <v>2084</v>
      </c>
      <c r="B771" s="25" t="s">
        <v>2514</v>
      </c>
      <c r="C771" s="26">
        <v>130218</v>
      </c>
      <c r="D771" s="25" t="s">
        <v>2142</v>
      </c>
      <c r="E771" s="25" t="s">
        <v>2140</v>
      </c>
      <c r="F771" s="26" t="s">
        <v>215</v>
      </c>
      <c r="G771" s="26" t="s">
        <v>215</v>
      </c>
      <c r="H771" s="26">
        <v>1</v>
      </c>
      <c r="I771" s="26">
        <v>1</v>
      </c>
      <c r="J771" s="26">
        <v>1</v>
      </c>
      <c r="K771" s="26">
        <v>138</v>
      </c>
      <c r="L771" s="26" t="s">
        <v>28</v>
      </c>
      <c r="M771" s="27">
        <v>2204</v>
      </c>
      <c r="N771" s="28">
        <v>200221.98</v>
      </c>
      <c r="O771" s="26" t="s">
        <v>29</v>
      </c>
      <c r="P771" s="29"/>
      <c r="Q771" s="6"/>
      <c r="R771" s="29"/>
      <c r="S771" s="10"/>
      <c r="T771" s="8">
        <v>1</v>
      </c>
    </row>
    <row r="772" spans="1:20" ht="15.75" customHeight="1" outlineLevel="2" x14ac:dyDescent="0.35">
      <c r="A772" s="25" t="s">
        <v>2084</v>
      </c>
      <c r="B772" s="25" t="s">
        <v>2514</v>
      </c>
      <c r="C772" s="26">
        <v>130221</v>
      </c>
      <c r="D772" s="25" t="s">
        <v>2143</v>
      </c>
      <c r="E772" s="25" t="s">
        <v>2140</v>
      </c>
      <c r="F772" s="26" t="s">
        <v>215</v>
      </c>
      <c r="G772" s="26" t="s">
        <v>215</v>
      </c>
      <c r="H772" s="26">
        <v>1</v>
      </c>
      <c r="I772" s="26">
        <v>1</v>
      </c>
      <c r="J772" s="26">
        <v>1</v>
      </c>
      <c r="K772" s="26">
        <v>138</v>
      </c>
      <c r="L772" s="26" t="s">
        <v>28</v>
      </c>
      <c r="M772" s="27">
        <v>2185</v>
      </c>
      <c r="N772" s="28">
        <v>130441.77</v>
      </c>
      <c r="O772" s="26" t="s">
        <v>29</v>
      </c>
      <c r="P772" s="29"/>
      <c r="Q772" s="6"/>
      <c r="R772" s="29"/>
      <c r="S772" s="10"/>
      <c r="T772" s="8">
        <v>1</v>
      </c>
    </row>
    <row r="773" spans="1:20" ht="15.75" customHeight="1" outlineLevel="2" x14ac:dyDescent="0.35">
      <c r="A773" s="25" t="s">
        <v>2084</v>
      </c>
      <c r="B773" s="25" t="s">
        <v>2514</v>
      </c>
      <c r="C773" s="26">
        <v>130223</v>
      </c>
      <c r="D773" s="25" t="s">
        <v>2144</v>
      </c>
      <c r="E773" s="25" t="s">
        <v>2140</v>
      </c>
      <c r="F773" s="26" t="s">
        <v>215</v>
      </c>
      <c r="G773" s="26" t="s">
        <v>215</v>
      </c>
      <c r="H773" s="26">
        <v>1</v>
      </c>
      <c r="I773" s="26">
        <v>1</v>
      </c>
      <c r="J773" s="26">
        <v>1</v>
      </c>
      <c r="K773" s="26">
        <v>138</v>
      </c>
      <c r="L773" s="26" t="s">
        <v>28</v>
      </c>
      <c r="M773" s="27">
        <v>2179</v>
      </c>
      <c r="N773" s="28">
        <v>130441.77</v>
      </c>
      <c r="O773" s="26" t="s">
        <v>29</v>
      </c>
      <c r="P773" s="29"/>
      <c r="Q773" s="6"/>
      <c r="R773" s="29"/>
      <c r="S773" s="10"/>
      <c r="T773" s="8">
        <v>1</v>
      </c>
    </row>
    <row r="774" spans="1:20" ht="15.75" customHeight="1" outlineLevel="2" x14ac:dyDescent="0.35">
      <c r="A774" s="25" t="s">
        <v>2084</v>
      </c>
      <c r="B774" s="25" t="s">
        <v>2514</v>
      </c>
      <c r="C774" s="26">
        <v>130283</v>
      </c>
      <c r="D774" s="25" t="s">
        <v>2145</v>
      </c>
      <c r="E774" s="25" t="s">
        <v>2146</v>
      </c>
      <c r="F774" s="26" t="s">
        <v>215</v>
      </c>
      <c r="G774" s="26" t="s">
        <v>215</v>
      </c>
      <c r="H774" s="26">
        <v>1</v>
      </c>
      <c r="I774" s="26">
        <v>1</v>
      </c>
      <c r="J774" s="26">
        <v>1</v>
      </c>
      <c r="K774" s="26">
        <v>138</v>
      </c>
      <c r="L774" s="26" t="s">
        <v>28</v>
      </c>
      <c r="M774" s="27">
        <v>2170</v>
      </c>
      <c r="N774" s="28">
        <v>130441.77</v>
      </c>
      <c r="O774" s="26" t="s">
        <v>29</v>
      </c>
      <c r="P774" s="29"/>
      <c r="Q774" s="6"/>
      <c r="R774" s="29"/>
      <c r="S774" s="10"/>
      <c r="T774" s="8">
        <v>1</v>
      </c>
    </row>
    <row r="775" spans="1:20" ht="15.75" customHeight="1" outlineLevel="2" x14ac:dyDescent="0.35">
      <c r="A775" s="25" t="s">
        <v>2084</v>
      </c>
      <c r="B775" s="25" t="s">
        <v>2514</v>
      </c>
      <c r="C775" s="26">
        <v>130285</v>
      </c>
      <c r="D775" s="25" t="s">
        <v>2147</v>
      </c>
      <c r="E775" s="25" t="s">
        <v>2146</v>
      </c>
      <c r="F775" s="26" t="s">
        <v>215</v>
      </c>
      <c r="G775" s="26" t="s">
        <v>215</v>
      </c>
      <c r="H775" s="26">
        <v>1</v>
      </c>
      <c r="I775" s="26">
        <v>1</v>
      </c>
      <c r="J775" s="26">
        <v>1</v>
      </c>
      <c r="K775" s="26">
        <v>138</v>
      </c>
      <c r="L775" s="26" t="s">
        <v>28</v>
      </c>
      <c r="M775" s="27">
        <v>2177</v>
      </c>
      <c r="N775" s="28">
        <v>130441.77</v>
      </c>
      <c r="O775" s="26" t="s">
        <v>29</v>
      </c>
      <c r="P775" s="29"/>
      <c r="Q775" s="6"/>
      <c r="R775" s="29"/>
      <c r="S775" s="10"/>
      <c r="T775" s="8">
        <v>1</v>
      </c>
    </row>
    <row r="776" spans="1:20" ht="15.75" customHeight="1" outlineLevel="2" x14ac:dyDescent="0.35">
      <c r="A776" s="25" t="s">
        <v>2084</v>
      </c>
      <c r="B776" s="25" t="s">
        <v>2514</v>
      </c>
      <c r="C776" s="26">
        <v>130289</v>
      </c>
      <c r="D776" s="25" t="s">
        <v>2148</v>
      </c>
      <c r="E776" s="25" t="s">
        <v>2146</v>
      </c>
      <c r="F776" s="26" t="s">
        <v>215</v>
      </c>
      <c r="G776" s="26" t="s">
        <v>215</v>
      </c>
      <c r="H776" s="26">
        <v>1</v>
      </c>
      <c r="I776" s="26">
        <v>1</v>
      </c>
      <c r="J776" s="26">
        <v>1</v>
      </c>
      <c r="K776" s="26">
        <v>138</v>
      </c>
      <c r="L776" s="26" t="s">
        <v>28</v>
      </c>
      <c r="M776" s="27">
        <v>2184</v>
      </c>
      <c r="N776" s="28">
        <v>130441.77</v>
      </c>
      <c r="O776" s="26" t="s">
        <v>29</v>
      </c>
      <c r="P776" s="29"/>
      <c r="Q776" s="6"/>
      <c r="R776" s="29"/>
      <c r="S776" s="10"/>
      <c r="T776" s="8">
        <v>1</v>
      </c>
    </row>
    <row r="777" spans="1:20" ht="15.75" customHeight="1" outlineLevel="2" x14ac:dyDescent="0.35">
      <c r="A777" s="25" t="s">
        <v>2084</v>
      </c>
      <c r="B777" s="25" t="s">
        <v>2514</v>
      </c>
      <c r="C777" s="26">
        <v>130294</v>
      </c>
      <c r="D777" s="25" t="s">
        <v>2149</v>
      </c>
      <c r="E777" s="25" t="s">
        <v>2146</v>
      </c>
      <c r="F777" s="26" t="s">
        <v>215</v>
      </c>
      <c r="G777" s="26" t="s">
        <v>215</v>
      </c>
      <c r="H777" s="26">
        <v>1</v>
      </c>
      <c r="I777" s="26">
        <v>3</v>
      </c>
      <c r="J777" s="26">
        <v>1</v>
      </c>
      <c r="K777" s="26">
        <v>138</v>
      </c>
      <c r="L777" s="26" t="s">
        <v>28</v>
      </c>
      <c r="M777" s="27">
        <v>2201</v>
      </c>
      <c r="N777" s="28">
        <v>271936.64000000001</v>
      </c>
      <c r="O777" s="26" t="s">
        <v>29</v>
      </c>
      <c r="P777" s="29"/>
      <c r="Q777" s="6"/>
      <c r="R777" s="29"/>
      <c r="S777" s="10"/>
      <c r="T777" s="8">
        <v>1</v>
      </c>
    </row>
    <row r="778" spans="1:20" ht="15.75" customHeight="1" outlineLevel="2" x14ac:dyDescent="0.35">
      <c r="A778" s="25" t="s">
        <v>2084</v>
      </c>
      <c r="B778" s="25" t="s">
        <v>2514</v>
      </c>
      <c r="C778" s="26">
        <v>130294</v>
      </c>
      <c r="D778" s="25" t="s">
        <v>2149</v>
      </c>
      <c r="E778" s="25" t="s">
        <v>2146</v>
      </c>
      <c r="F778" s="26" t="s">
        <v>215</v>
      </c>
      <c r="G778" s="26" t="s">
        <v>215</v>
      </c>
      <c r="H778" s="26">
        <v>1</v>
      </c>
      <c r="I778" s="26">
        <v>1</v>
      </c>
      <c r="J778" s="26">
        <v>1</v>
      </c>
      <c r="K778" s="26">
        <v>138</v>
      </c>
      <c r="L778" s="26" t="s">
        <v>28</v>
      </c>
      <c r="M778" s="27">
        <v>2201</v>
      </c>
      <c r="N778" s="30">
        <v>130441.77</v>
      </c>
      <c r="O778" s="26" t="s">
        <v>29</v>
      </c>
      <c r="P778" s="29"/>
      <c r="Q778" s="6"/>
      <c r="R778" s="29"/>
      <c r="S778" s="10"/>
      <c r="T778" s="8">
        <v>1</v>
      </c>
    </row>
    <row r="779" spans="1:20" ht="15.75" customHeight="1" outlineLevel="2" x14ac:dyDescent="0.35">
      <c r="A779" s="25" t="s">
        <v>2084</v>
      </c>
      <c r="B779" s="25" t="s">
        <v>2514</v>
      </c>
      <c r="C779" s="26">
        <v>130305</v>
      </c>
      <c r="D779" s="25" t="s">
        <v>2150</v>
      </c>
      <c r="E779" s="25" t="s">
        <v>2151</v>
      </c>
      <c r="F779" s="26" t="s">
        <v>215</v>
      </c>
      <c r="G779" s="26" t="s">
        <v>215</v>
      </c>
      <c r="H779" s="26">
        <v>1</v>
      </c>
      <c r="I779" s="26">
        <v>3</v>
      </c>
      <c r="J779" s="26">
        <v>1</v>
      </c>
      <c r="K779" s="26">
        <v>138</v>
      </c>
      <c r="L779" s="26" t="s">
        <v>28</v>
      </c>
      <c r="M779" s="27">
        <v>2172</v>
      </c>
      <c r="N779" s="28">
        <v>271936.64000000001</v>
      </c>
      <c r="O779" s="26" t="s">
        <v>29</v>
      </c>
      <c r="P779" s="29"/>
      <c r="Q779" s="6"/>
      <c r="R779" s="29"/>
      <c r="S779" s="10"/>
      <c r="T779" s="8">
        <v>1</v>
      </c>
    </row>
    <row r="780" spans="1:20" ht="15.75" customHeight="1" outlineLevel="2" x14ac:dyDescent="0.35">
      <c r="A780" s="25" t="s">
        <v>2084</v>
      </c>
      <c r="B780" s="25" t="s">
        <v>2514</v>
      </c>
      <c r="C780" s="26">
        <v>130319</v>
      </c>
      <c r="D780" s="25" t="s">
        <v>2152</v>
      </c>
      <c r="E780" s="25" t="s">
        <v>2151</v>
      </c>
      <c r="F780" s="26" t="s">
        <v>215</v>
      </c>
      <c r="G780" s="26" t="s">
        <v>215</v>
      </c>
      <c r="H780" s="26">
        <v>1</v>
      </c>
      <c r="I780" s="26">
        <v>1</v>
      </c>
      <c r="J780" s="26">
        <v>1</v>
      </c>
      <c r="K780" s="26">
        <v>138</v>
      </c>
      <c r="L780" s="26" t="s">
        <v>28</v>
      </c>
      <c r="M780" s="27">
        <v>2176</v>
      </c>
      <c r="N780" s="28">
        <v>130441.77</v>
      </c>
      <c r="O780" s="26" t="s">
        <v>29</v>
      </c>
      <c r="P780" s="29"/>
      <c r="Q780" s="6"/>
      <c r="R780" s="29"/>
      <c r="S780" s="10"/>
      <c r="T780" s="8">
        <v>1</v>
      </c>
    </row>
    <row r="781" spans="1:20" ht="15.75" customHeight="1" outlineLevel="2" x14ac:dyDescent="0.35">
      <c r="A781" s="25" t="s">
        <v>2084</v>
      </c>
      <c r="B781" s="25" t="s">
        <v>2514</v>
      </c>
      <c r="C781" s="26">
        <v>130335</v>
      </c>
      <c r="D781" s="25" t="s">
        <v>2153</v>
      </c>
      <c r="E781" s="25" t="s">
        <v>2151</v>
      </c>
      <c r="F781" s="26" t="s">
        <v>215</v>
      </c>
      <c r="G781" s="26" t="s">
        <v>215</v>
      </c>
      <c r="H781" s="26">
        <v>1</v>
      </c>
      <c r="I781" s="26">
        <v>1</v>
      </c>
      <c r="J781" s="26">
        <v>1</v>
      </c>
      <c r="K781" s="26">
        <v>138</v>
      </c>
      <c r="L781" s="26" t="s">
        <v>28</v>
      </c>
      <c r="M781" s="27">
        <v>2174</v>
      </c>
      <c r="N781" s="28">
        <v>130441.77</v>
      </c>
      <c r="O781" s="26" t="s">
        <v>29</v>
      </c>
      <c r="P781" s="29"/>
      <c r="Q781" s="6"/>
      <c r="R781" s="29"/>
      <c r="S781" s="10"/>
      <c r="T781" s="8">
        <v>1</v>
      </c>
    </row>
    <row r="782" spans="1:20" ht="15.75" customHeight="1" outlineLevel="2" x14ac:dyDescent="0.35">
      <c r="A782" s="25" t="s">
        <v>2084</v>
      </c>
      <c r="B782" s="25" t="s">
        <v>2514</v>
      </c>
      <c r="C782" s="26">
        <v>130341</v>
      </c>
      <c r="D782" s="25" t="s">
        <v>2154</v>
      </c>
      <c r="E782" s="25" t="s">
        <v>2151</v>
      </c>
      <c r="F782" s="26" t="s">
        <v>215</v>
      </c>
      <c r="G782" s="26" t="s">
        <v>215</v>
      </c>
      <c r="H782" s="26">
        <v>1</v>
      </c>
      <c r="I782" s="26">
        <v>1</v>
      </c>
      <c r="J782" s="26">
        <v>1</v>
      </c>
      <c r="K782" s="26">
        <v>138</v>
      </c>
      <c r="L782" s="26" t="s">
        <v>28</v>
      </c>
      <c r="M782" s="27">
        <v>2194</v>
      </c>
      <c r="N782" s="28">
        <v>130441.77</v>
      </c>
      <c r="O782" s="26" t="s">
        <v>29</v>
      </c>
      <c r="P782" s="29"/>
      <c r="Q782" s="6"/>
      <c r="R782" s="29"/>
      <c r="S782" s="10"/>
      <c r="T782" s="8">
        <v>1</v>
      </c>
    </row>
    <row r="783" spans="1:20" ht="15.75" customHeight="1" outlineLevel="2" x14ac:dyDescent="0.35">
      <c r="A783" s="25" t="s">
        <v>2084</v>
      </c>
      <c r="B783" s="25" t="s">
        <v>2514</v>
      </c>
      <c r="C783" s="26">
        <v>130343</v>
      </c>
      <c r="D783" s="25" t="s">
        <v>2155</v>
      </c>
      <c r="E783" s="25" t="s">
        <v>2151</v>
      </c>
      <c r="F783" s="26" t="s">
        <v>215</v>
      </c>
      <c r="G783" s="26" t="s">
        <v>215</v>
      </c>
      <c r="H783" s="26">
        <v>1</v>
      </c>
      <c r="I783" s="26">
        <v>1</v>
      </c>
      <c r="J783" s="26">
        <v>1</v>
      </c>
      <c r="K783" s="26">
        <v>138</v>
      </c>
      <c r="L783" s="26" t="s">
        <v>28</v>
      </c>
      <c r="M783" s="27">
        <v>2181</v>
      </c>
      <c r="N783" s="28">
        <v>130441.77</v>
      </c>
      <c r="O783" s="26" t="s">
        <v>29</v>
      </c>
      <c r="P783" s="29"/>
      <c r="Q783" s="6"/>
      <c r="R783" s="29"/>
      <c r="S783" s="10"/>
      <c r="T783" s="8">
        <v>1</v>
      </c>
    </row>
    <row r="784" spans="1:20" ht="15.75" customHeight="1" outlineLevel="2" x14ac:dyDescent="0.35">
      <c r="A784" s="25" t="s">
        <v>2084</v>
      </c>
      <c r="B784" s="25" t="s">
        <v>2514</v>
      </c>
      <c r="C784" s="26">
        <v>130350</v>
      </c>
      <c r="D784" s="25" t="s">
        <v>2156</v>
      </c>
      <c r="E784" s="25" t="s">
        <v>2157</v>
      </c>
      <c r="F784" s="26" t="s">
        <v>90</v>
      </c>
      <c r="G784" s="26" t="s">
        <v>90</v>
      </c>
      <c r="H784" s="26">
        <v>1</v>
      </c>
      <c r="I784" s="26">
        <v>1</v>
      </c>
      <c r="J784" s="26">
        <v>1</v>
      </c>
      <c r="K784" s="26">
        <v>138</v>
      </c>
      <c r="L784" s="26" t="s">
        <v>28</v>
      </c>
      <c r="M784" s="27">
        <v>2226</v>
      </c>
      <c r="N784" s="30">
        <v>130441.77</v>
      </c>
      <c r="O784" s="26" t="s">
        <v>29</v>
      </c>
      <c r="P784" s="29"/>
      <c r="Q784" s="6"/>
      <c r="R784" s="29"/>
      <c r="S784" s="10"/>
      <c r="T784" s="8">
        <v>1</v>
      </c>
    </row>
    <row r="785" spans="1:20" ht="15.75" customHeight="1" outlineLevel="2" x14ac:dyDescent="0.35">
      <c r="A785" s="25" t="s">
        <v>2084</v>
      </c>
      <c r="B785" s="25" t="s">
        <v>2514</v>
      </c>
      <c r="C785" s="26">
        <v>130353</v>
      </c>
      <c r="D785" s="25" t="s">
        <v>2158</v>
      </c>
      <c r="E785" s="25" t="s">
        <v>2157</v>
      </c>
      <c r="F785" s="26" t="s">
        <v>90</v>
      </c>
      <c r="G785" s="26" t="s">
        <v>90</v>
      </c>
      <c r="H785" s="26">
        <v>1</v>
      </c>
      <c r="I785" s="26">
        <v>1</v>
      </c>
      <c r="J785" s="26">
        <v>1</v>
      </c>
      <c r="K785" s="26">
        <v>138</v>
      </c>
      <c r="L785" s="26" t="s">
        <v>28</v>
      </c>
      <c r="M785" s="27">
        <v>2234</v>
      </c>
      <c r="N785" s="30">
        <v>130441.77</v>
      </c>
      <c r="O785" s="26" t="s">
        <v>29</v>
      </c>
      <c r="P785" s="29"/>
      <c r="Q785" s="6"/>
      <c r="R785" s="29"/>
      <c r="S785" s="10"/>
      <c r="T785" s="8">
        <v>1</v>
      </c>
    </row>
    <row r="786" spans="1:20" ht="15.75" customHeight="1" outlineLevel="2" x14ac:dyDescent="0.35">
      <c r="A786" s="25" t="s">
        <v>2084</v>
      </c>
      <c r="B786" s="25" t="s">
        <v>2514</v>
      </c>
      <c r="C786" s="26">
        <v>130354</v>
      </c>
      <c r="D786" s="25" t="s">
        <v>2159</v>
      </c>
      <c r="E786" s="25" t="s">
        <v>2157</v>
      </c>
      <c r="F786" s="26" t="s">
        <v>90</v>
      </c>
      <c r="G786" s="26" t="s">
        <v>90</v>
      </c>
      <c r="H786" s="26">
        <v>1</v>
      </c>
      <c r="I786" s="26">
        <v>1</v>
      </c>
      <c r="J786" s="26">
        <v>1</v>
      </c>
      <c r="K786" s="26">
        <v>138</v>
      </c>
      <c r="L786" s="26" t="s">
        <v>28</v>
      </c>
      <c r="M786" s="27">
        <v>2235</v>
      </c>
      <c r="N786" s="30">
        <v>130441.77</v>
      </c>
      <c r="O786" s="26" t="s">
        <v>29</v>
      </c>
      <c r="P786" s="29"/>
      <c r="Q786" s="6"/>
      <c r="R786" s="29"/>
      <c r="S786" s="10"/>
      <c r="T786" s="8">
        <v>1</v>
      </c>
    </row>
    <row r="787" spans="1:20" ht="15.75" customHeight="1" outlineLevel="2" x14ac:dyDescent="0.35">
      <c r="A787" s="25" t="s">
        <v>2084</v>
      </c>
      <c r="B787" s="25" t="s">
        <v>2514</v>
      </c>
      <c r="C787" s="26">
        <v>130356</v>
      </c>
      <c r="D787" s="25" t="s">
        <v>2160</v>
      </c>
      <c r="E787" s="25" t="s">
        <v>2157</v>
      </c>
      <c r="F787" s="26" t="s">
        <v>90</v>
      </c>
      <c r="G787" s="26" t="s">
        <v>90</v>
      </c>
      <c r="H787" s="26">
        <v>1</v>
      </c>
      <c r="I787" s="26">
        <v>1</v>
      </c>
      <c r="J787" s="26">
        <v>1</v>
      </c>
      <c r="K787" s="26">
        <v>138</v>
      </c>
      <c r="L787" s="26" t="s">
        <v>28</v>
      </c>
      <c r="M787" s="27">
        <v>2241</v>
      </c>
      <c r="N787" s="30">
        <v>130441.77</v>
      </c>
      <c r="O787" s="26" t="s">
        <v>29</v>
      </c>
      <c r="P787" s="29"/>
      <c r="Q787" s="6"/>
      <c r="R787" s="29"/>
      <c r="S787" s="10"/>
      <c r="T787" s="8">
        <v>1</v>
      </c>
    </row>
    <row r="788" spans="1:20" ht="15.75" customHeight="1" outlineLevel="2" x14ac:dyDescent="0.35">
      <c r="A788" s="25" t="s">
        <v>2084</v>
      </c>
      <c r="B788" s="25" t="s">
        <v>2514</v>
      </c>
      <c r="C788" s="26">
        <v>130358</v>
      </c>
      <c r="D788" s="25" t="s">
        <v>2161</v>
      </c>
      <c r="E788" s="25" t="s">
        <v>2157</v>
      </c>
      <c r="F788" s="26" t="s">
        <v>90</v>
      </c>
      <c r="G788" s="26" t="s">
        <v>90</v>
      </c>
      <c r="H788" s="26">
        <v>1</v>
      </c>
      <c r="I788" s="26">
        <v>1</v>
      </c>
      <c r="J788" s="26">
        <v>1</v>
      </c>
      <c r="K788" s="26">
        <v>138</v>
      </c>
      <c r="L788" s="26" t="s">
        <v>28</v>
      </c>
      <c r="M788" s="27">
        <v>2244</v>
      </c>
      <c r="N788" s="30">
        <v>130441.77</v>
      </c>
      <c r="O788" s="26" t="s">
        <v>29</v>
      </c>
      <c r="P788" s="29"/>
      <c r="Q788" s="6"/>
      <c r="R788" s="29"/>
      <c r="S788" s="10"/>
      <c r="T788" s="8">
        <v>1</v>
      </c>
    </row>
    <row r="789" spans="1:20" ht="15.75" customHeight="1" outlineLevel="2" x14ac:dyDescent="0.35">
      <c r="A789" s="25" t="s">
        <v>2084</v>
      </c>
      <c r="B789" s="25" t="s">
        <v>2514</v>
      </c>
      <c r="C789" s="26">
        <v>130359</v>
      </c>
      <c r="D789" s="25" t="s">
        <v>2162</v>
      </c>
      <c r="E789" s="25" t="s">
        <v>2157</v>
      </c>
      <c r="F789" s="26" t="s">
        <v>90</v>
      </c>
      <c r="G789" s="26" t="s">
        <v>90</v>
      </c>
      <c r="H789" s="26">
        <v>1</v>
      </c>
      <c r="I789" s="26">
        <v>1</v>
      </c>
      <c r="J789" s="26">
        <v>1</v>
      </c>
      <c r="K789" s="26">
        <v>138</v>
      </c>
      <c r="L789" s="26" t="s">
        <v>28</v>
      </c>
      <c r="M789" s="27">
        <v>2237</v>
      </c>
      <c r="N789" s="30">
        <v>207272.88</v>
      </c>
      <c r="O789" s="26" t="s">
        <v>29</v>
      </c>
      <c r="P789" s="29"/>
      <c r="Q789" s="6"/>
      <c r="R789" s="29"/>
      <c r="S789" s="10"/>
      <c r="T789" s="8">
        <v>1</v>
      </c>
    </row>
    <row r="790" spans="1:20" ht="15.75" customHeight="1" outlineLevel="2" x14ac:dyDescent="0.35">
      <c r="A790" s="25" t="s">
        <v>2084</v>
      </c>
      <c r="B790" s="25" t="s">
        <v>2514</v>
      </c>
      <c r="C790" s="26">
        <v>130364</v>
      </c>
      <c r="D790" s="25" t="s">
        <v>2163</v>
      </c>
      <c r="E790" s="25" t="s">
        <v>2157</v>
      </c>
      <c r="F790" s="26" t="s">
        <v>90</v>
      </c>
      <c r="G790" s="26" t="s">
        <v>90</v>
      </c>
      <c r="H790" s="26">
        <v>1</v>
      </c>
      <c r="I790" s="26">
        <v>1</v>
      </c>
      <c r="J790" s="26">
        <v>1</v>
      </c>
      <c r="K790" s="26">
        <v>138</v>
      </c>
      <c r="L790" s="26" t="s">
        <v>28</v>
      </c>
      <c r="M790" s="27">
        <v>2261</v>
      </c>
      <c r="N790" s="30">
        <v>130441.77</v>
      </c>
      <c r="O790" s="26" t="s">
        <v>29</v>
      </c>
      <c r="P790" s="29"/>
      <c r="Q790" s="6"/>
      <c r="R790" s="29"/>
      <c r="S790" s="10"/>
      <c r="T790" s="8">
        <v>1</v>
      </c>
    </row>
    <row r="791" spans="1:20" ht="15.75" customHeight="1" outlineLevel="2" x14ac:dyDescent="0.35">
      <c r="A791" s="25" t="s">
        <v>2084</v>
      </c>
      <c r="B791" s="25" t="s">
        <v>2514</v>
      </c>
      <c r="C791" s="26">
        <v>130365</v>
      </c>
      <c r="D791" s="25" t="s">
        <v>2164</v>
      </c>
      <c r="E791" s="25" t="s">
        <v>2157</v>
      </c>
      <c r="F791" s="26" t="s">
        <v>90</v>
      </c>
      <c r="G791" s="26" t="s">
        <v>90</v>
      </c>
      <c r="H791" s="26">
        <v>1</v>
      </c>
      <c r="I791" s="26">
        <v>1</v>
      </c>
      <c r="J791" s="26">
        <v>1</v>
      </c>
      <c r="K791" s="26">
        <v>138</v>
      </c>
      <c r="L791" s="26" t="s">
        <v>28</v>
      </c>
      <c r="M791" s="27">
        <v>2262</v>
      </c>
      <c r="N791" s="30">
        <v>130441.77</v>
      </c>
      <c r="O791" s="26" t="s">
        <v>29</v>
      </c>
      <c r="P791" s="29"/>
      <c r="Q791" s="6"/>
      <c r="R791" s="29"/>
      <c r="S791" s="10"/>
      <c r="T791" s="8">
        <v>1</v>
      </c>
    </row>
    <row r="792" spans="1:20" ht="15.75" customHeight="1" outlineLevel="2" x14ac:dyDescent="0.35">
      <c r="A792" s="25" t="s">
        <v>2084</v>
      </c>
      <c r="B792" s="25" t="s">
        <v>2514</v>
      </c>
      <c r="C792" s="26">
        <v>130386</v>
      </c>
      <c r="D792" s="25" t="s">
        <v>2165</v>
      </c>
      <c r="E792" s="25" t="s">
        <v>2157</v>
      </c>
      <c r="F792" s="26" t="s">
        <v>90</v>
      </c>
      <c r="G792" s="26" t="s">
        <v>90</v>
      </c>
      <c r="H792" s="26">
        <v>1</v>
      </c>
      <c r="I792" s="26">
        <v>1</v>
      </c>
      <c r="J792" s="26">
        <v>1</v>
      </c>
      <c r="K792" s="26">
        <v>138</v>
      </c>
      <c r="L792" s="26" t="s">
        <v>28</v>
      </c>
      <c r="M792" s="27">
        <v>2260</v>
      </c>
      <c r="N792" s="30">
        <v>130441.77</v>
      </c>
      <c r="O792" s="26" t="s">
        <v>29</v>
      </c>
      <c r="P792" s="29"/>
      <c r="Q792" s="6"/>
      <c r="R792" s="29"/>
      <c r="S792" s="10"/>
      <c r="T792" s="8">
        <v>1</v>
      </c>
    </row>
    <row r="793" spans="1:20" ht="15.75" customHeight="1" outlineLevel="2" x14ac:dyDescent="0.35">
      <c r="A793" s="25" t="s">
        <v>2084</v>
      </c>
      <c r="B793" s="25" t="s">
        <v>2514</v>
      </c>
      <c r="C793" s="26">
        <v>130401</v>
      </c>
      <c r="D793" s="25" t="s">
        <v>2166</v>
      </c>
      <c r="E793" s="25" t="s">
        <v>2167</v>
      </c>
      <c r="F793" s="26" t="s">
        <v>90</v>
      </c>
      <c r="G793" s="26" t="s">
        <v>90</v>
      </c>
      <c r="H793" s="26">
        <v>1</v>
      </c>
      <c r="I793" s="26">
        <v>1</v>
      </c>
      <c r="J793" s="26">
        <v>1</v>
      </c>
      <c r="K793" s="26">
        <v>138</v>
      </c>
      <c r="L793" s="26" t="s">
        <v>28</v>
      </c>
      <c r="M793" s="27">
        <v>2224</v>
      </c>
      <c r="N793" s="30">
        <v>130441.77</v>
      </c>
      <c r="O793" s="26" t="s">
        <v>29</v>
      </c>
      <c r="P793" s="29"/>
      <c r="Q793" s="6"/>
      <c r="R793" s="29"/>
      <c r="S793" s="10"/>
      <c r="T793" s="8">
        <v>1</v>
      </c>
    </row>
    <row r="794" spans="1:20" ht="15.75" customHeight="1" outlineLevel="2" x14ac:dyDescent="0.35">
      <c r="A794" s="25" t="s">
        <v>2084</v>
      </c>
      <c r="B794" s="25" t="s">
        <v>2514</v>
      </c>
      <c r="C794" s="26">
        <v>207501</v>
      </c>
      <c r="D794" s="25" t="s">
        <v>2168</v>
      </c>
      <c r="E794" s="25" t="s">
        <v>2109</v>
      </c>
      <c r="F794" s="26" t="s">
        <v>215</v>
      </c>
      <c r="G794" s="26" t="s">
        <v>215</v>
      </c>
      <c r="H794" s="26">
        <v>1</v>
      </c>
      <c r="I794" s="26">
        <v>1</v>
      </c>
      <c r="J794" s="26">
        <v>1</v>
      </c>
      <c r="K794" s="26">
        <v>138</v>
      </c>
      <c r="L794" s="26" t="s">
        <v>28</v>
      </c>
      <c r="M794" s="27">
        <v>2193</v>
      </c>
      <c r="N794" s="28">
        <v>130441.77</v>
      </c>
      <c r="O794" s="26" t="s">
        <v>29</v>
      </c>
      <c r="P794" s="29"/>
      <c r="Q794" s="6"/>
      <c r="R794" s="29"/>
      <c r="S794" s="10"/>
      <c r="T794" s="8">
        <v>1</v>
      </c>
    </row>
    <row r="795" spans="1:20" ht="15.75" customHeight="1" outlineLevel="2" x14ac:dyDescent="0.35">
      <c r="A795" s="25" t="s">
        <v>2084</v>
      </c>
      <c r="B795" s="25" t="s">
        <v>2514</v>
      </c>
      <c r="C795" s="26">
        <v>207502</v>
      </c>
      <c r="D795" s="25" t="s">
        <v>2169</v>
      </c>
      <c r="E795" s="25" t="s">
        <v>2102</v>
      </c>
      <c r="F795" s="26" t="s">
        <v>90</v>
      </c>
      <c r="G795" s="26" t="s">
        <v>90</v>
      </c>
      <c r="H795" s="26">
        <v>1</v>
      </c>
      <c r="I795" s="26">
        <v>1</v>
      </c>
      <c r="J795" s="26">
        <v>1</v>
      </c>
      <c r="K795" s="26">
        <v>138</v>
      </c>
      <c r="L795" s="26" t="s">
        <v>28</v>
      </c>
      <c r="M795" s="27">
        <v>2255</v>
      </c>
      <c r="N795" s="30">
        <v>130441.77</v>
      </c>
      <c r="O795" s="26" t="s">
        <v>29</v>
      </c>
      <c r="P795" s="29"/>
      <c r="Q795" s="6"/>
      <c r="R795" s="29"/>
      <c r="S795" s="10"/>
      <c r="T795" s="8">
        <v>1</v>
      </c>
    </row>
    <row r="796" spans="1:20" ht="15.75" customHeight="1" outlineLevel="2" x14ac:dyDescent="0.35">
      <c r="A796" s="25" t="s">
        <v>2084</v>
      </c>
      <c r="B796" s="25" t="s">
        <v>2514</v>
      </c>
      <c r="C796" s="26">
        <v>207505</v>
      </c>
      <c r="D796" s="25" t="s">
        <v>2170</v>
      </c>
      <c r="E796" s="25" t="s">
        <v>2135</v>
      </c>
      <c r="F796" s="26" t="s">
        <v>90</v>
      </c>
      <c r="G796" s="26" t="s">
        <v>90</v>
      </c>
      <c r="H796" s="26">
        <v>1</v>
      </c>
      <c r="I796" s="26">
        <v>1</v>
      </c>
      <c r="J796" s="26">
        <v>1</v>
      </c>
      <c r="K796" s="26">
        <v>138</v>
      </c>
      <c r="L796" s="26" t="s">
        <v>28</v>
      </c>
      <c r="M796" s="27">
        <v>2265</v>
      </c>
      <c r="N796" s="30">
        <v>130441.77</v>
      </c>
      <c r="O796" s="26" t="s">
        <v>29</v>
      </c>
      <c r="P796" s="29"/>
      <c r="Q796" s="6"/>
      <c r="R796" s="29"/>
      <c r="S796" s="10"/>
      <c r="T796" s="8">
        <v>1</v>
      </c>
    </row>
    <row r="797" spans="1:20" ht="15.75" customHeight="1" outlineLevel="2" x14ac:dyDescent="0.35">
      <c r="A797" s="25" t="s">
        <v>2084</v>
      </c>
      <c r="B797" s="25" t="s">
        <v>2514</v>
      </c>
      <c r="C797" s="26">
        <v>207516</v>
      </c>
      <c r="D797" s="25" t="s">
        <v>2171</v>
      </c>
      <c r="E797" s="25" t="s">
        <v>2109</v>
      </c>
      <c r="F797" s="26" t="s">
        <v>215</v>
      </c>
      <c r="G797" s="26" t="s">
        <v>215</v>
      </c>
      <c r="H797" s="26">
        <v>1</v>
      </c>
      <c r="I797" s="26">
        <v>1</v>
      </c>
      <c r="J797" s="26">
        <v>1</v>
      </c>
      <c r="K797" s="26">
        <v>138</v>
      </c>
      <c r="L797" s="26" t="s">
        <v>28</v>
      </c>
      <c r="M797" s="27">
        <v>2175</v>
      </c>
      <c r="N797" s="28">
        <v>130441.77</v>
      </c>
      <c r="O797" s="26" t="s">
        <v>29</v>
      </c>
      <c r="P797" s="29"/>
      <c r="Q797" s="6"/>
      <c r="R797" s="29"/>
      <c r="S797" s="10"/>
      <c r="T797" s="8">
        <v>1</v>
      </c>
    </row>
    <row r="798" spans="1:20" ht="15.75" customHeight="1" outlineLevel="2" x14ac:dyDescent="0.35">
      <c r="A798" s="25" t="s">
        <v>2084</v>
      </c>
      <c r="B798" s="25" t="s">
        <v>2514</v>
      </c>
      <c r="C798" s="26">
        <v>207518</v>
      </c>
      <c r="D798" s="25" t="s">
        <v>2172</v>
      </c>
      <c r="E798" s="25" t="s">
        <v>2127</v>
      </c>
      <c r="F798" s="26" t="s">
        <v>90</v>
      </c>
      <c r="G798" s="26" t="s">
        <v>90</v>
      </c>
      <c r="H798" s="26">
        <v>1</v>
      </c>
      <c r="I798" s="26">
        <v>1</v>
      </c>
      <c r="J798" s="26">
        <v>1</v>
      </c>
      <c r="K798" s="26">
        <v>138</v>
      </c>
      <c r="L798" s="26" t="s">
        <v>28</v>
      </c>
      <c r="M798" s="27">
        <v>2253</v>
      </c>
      <c r="N798" s="30">
        <v>130441.77</v>
      </c>
      <c r="O798" s="26" t="s">
        <v>29</v>
      </c>
      <c r="P798" s="29"/>
      <c r="Q798" s="6"/>
      <c r="R798" s="29"/>
      <c r="S798" s="10"/>
      <c r="T798" s="8">
        <v>1</v>
      </c>
    </row>
    <row r="799" spans="1:20" ht="15.75" customHeight="1" outlineLevel="2" x14ac:dyDescent="0.35">
      <c r="A799" s="25" t="s">
        <v>2084</v>
      </c>
      <c r="B799" s="25" t="s">
        <v>2514</v>
      </c>
      <c r="C799" s="26">
        <v>207521</v>
      </c>
      <c r="D799" s="25" t="s">
        <v>2174</v>
      </c>
      <c r="E799" s="25" t="s">
        <v>208</v>
      </c>
      <c r="F799" s="26" t="s">
        <v>215</v>
      </c>
      <c r="G799" s="26" t="s">
        <v>215</v>
      </c>
      <c r="H799" s="26">
        <v>1</v>
      </c>
      <c r="I799" s="26">
        <v>1</v>
      </c>
      <c r="J799" s="26">
        <v>1</v>
      </c>
      <c r="K799" s="26">
        <v>138</v>
      </c>
      <c r="L799" s="26" t="s">
        <v>28</v>
      </c>
      <c r="M799" s="27">
        <v>2199</v>
      </c>
      <c r="N799" s="28">
        <v>130441.77</v>
      </c>
      <c r="O799" s="26" t="s">
        <v>29</v>
      </c>
      <c r="P799" s="29"/>
      <c r="Q799" s="6"/>
      <c r="R799" s="29"/>
      <c r="S799" s="10"/>
      <c r="T799" s="8">
        <v>1</v>
      </c>
    </row>
    <row r="800" spans="1:20" ht="15.75" customHeight="1" outlineLevel="2" x14ac:dyDescent="0.35">
      <c r="A800" s="25" t="s">
        <v>2084</v>
      </c>
      <c r="B800" s="25" t="s">
        <v>2514</v>
      </c>
      <c r="C800" s="26">
        <v>207525</v>
      </c>
      <c r="D800" s="25" t="s">
        <v>2175</v>
      </c>
      <c r="E800" s="25" t="s">
        <v>2140</v>
      </c>
      <c r="F800" s="26" t="s">
        <v>215</v>
      </c>
      <c r="G800" s="26" t="s">
        <v>215</v>
      </c>
      <c r="H800" s="26">
        <v>1</v>
      </c>
      <c r="I800" s="26">
        <v>1</v>
      </c>
      <c r="J800" s="26">
        <v>1</v>
      </c>
      <c r="K800" s="26">
        <v>138</v>
      </c>
      <c r="L800" s="26" t="s">
        <v>28</v>
      </c>
      <c r="M800" s="27">
        <v>2178</v>
      </c>
      <c r="N800" s="28">
        <v>130441.77</v>
      </c>
      <c r="O800" s="26" t="s">
        <v>29</v>
      </c>
      <c r="P800" s="29"/>
      <c r="Q800" s="6"/>
      <c r="R800" s="29"/>
      <c r="S800" s="10"/>
      <c r="T800" s="8">
        <v>1</v>
      </c>
    </row>
    <row r="801" spans="1:20" ht="15.75" customHeight="1" outlineLevel="2" x14ac:dyDescent="0.35">
      <c r="A801" s="25" t="s">
        <v>2084</v>
      </c>
      <c r="B801" s="25" t="s">
        <v>2514</v>
      </c>
      <c r="C801" s="26">
        <v>207527</v>
      </c>
      <c r="D801" s="25" t="s">
        <v>2176</v>
      </c>
      <c r="E801" s="25" t="s">
        <v>2096</v>
      </c>
      <c r="F801" s="26" t="s">
        <v>215</v>
      </c>
      <c r="G801" s="26" t="s">
        <v>215</v>
      </c>
      <c r="H801" s="26">
        <v>1</v>
      </c>
      <c r="I801" s="26">
        <v>1</v>
      </c>
      <c r="J801" s="26">
        <v>1</v>
      </c>
      <c r="K801" s="26">
        <v>138</v>
      </c>
      <c r="L801" s="26" t="s">
        <v>28</v>
      </c>
      <c r="M801" s="27">
        <v>2214</v>
      </c>
      <c r="N801" s="30">
        <v>130441.77</v>
      </c>
      <c r="O801" s="26" t="s">
        <v>29</v>
      </c>
      <c r="P801" s="29"/>
      <c r="Q801" s="6"/>
      <c r="R801" s="29"/>
      <c r="S801" s="10"/>
      <c r="T801" s="8">
        <v>1</v>
      </c>
    </row>
    <row r="802" spans="1:20" ht="15.75" customHeight="1" outlineLevel="2" x14ac:dyDescent="0.35">
      <c r="A802" s="25" t="s">
        <v>2084</v>
      </c>
      <c r="B802" s="25" t="s">
        <v>2514</v>
      </c>
      <c r="C802" s="26">
        <v>207529</v>
      </c>
      <c r="D802" s="25" t="s">
        <v>2177</v>
      </c>
      <c r="E802" s="25" t="s">
        <v>2135</v>
      </c>
      <c r="F802" s="26" t="s">
        <v>90</v>
      </c>
      <c r="G802" s="26" t="s">
        <v>90</v>
      </c>
      <c r="H802" s="26">
        <v>1</v>
      </c>
      <c r="I802" s="26">
        <v>1</v>
      </c>
      <c r="J802" s="26">
        <v>1</v>
      </c>
      <c r="K802" s="26">
        <v>138</v>
      </c>
      <c r="L802" s="26" t="s">
        <v>28</v>
      </c>
      <c r="M802" s="27">
        <v>2243</v>
      </c>
      <c r="N802" s="28">
        <v>130441.77</v>
      </c>
      <c r="O802" s="26" t="s">
        <v>29</v>
      </c>
      <c r="P802" s="29"/>
      <c r="Q802" s="6"/>
      <c r="R802" s="29"/>
      <c r="S802" s="10"/>
      <c r="T802" s="8">
        <v>1</v>
      </c>
    </row>
    <row r="803" spans="1:20" ht="15.75" customHeight="1" outlineLevel="2" x14ac:dyDescent="0.35">
      <c r="A803" s="25" t="s">
        <v>2084</v>
      </c>
      <c r="B803" s="25" t="s">
        <v>2514</v>
      </c>
      <c r="C803" s="26">
        <v>207535</v>
      </c>
      <c r="D803" s="25" t="s">
        <v>2178</v>
      </c>
      <c r="E803" s="25" t="s">
        <v>208</v>
      </c>
      <c r="F803" s="26" t="s">
        <v>215</v>
      </c>
      <c r="G803" s="26" t="s">
        <v>215</v>
      </c>
      <c r="H803" s="26">
        <v>1</v>
      </c>
      <c r="I803" s="26">
        <v>1</v>
      </c>
      <c r="J803" s="26">
        <v>1</v>
      </c>
      <c r="K803" s="26">
        <v>138</v>
      </c>
      <c r="L803" s="26" t="s">
        <v>28</v>
      </c>
      <c r="M803" s="27">
        <v>2189</v>
      </c>
      <c r="N803" s="28">
        <v>130441.77</v>
      </c>
      <c r="O803" s="26" t="s">
        <v>29</v>
      </c>
      <c r="P803" s="29"/>
      <c r="Q803" s="6"/>
      <c r="R803" s="29"/>
      <c r="S803" s="10"/>
      <c r="T803" s="8">
        <v>1</v>
      </c>
    </row>
    <row r="804" spans="1:20" ht="15.75" customHeight="1" outlineLevel="2" x14ac:dyDescent="0.35">
      <c r="A804" s="25" t="s">
        <v>2084</v>
      </c>
      <c r="B804" s="25" t="s">
        <v>2514</v>
      </c>
      <c r="C804" s="26">
        <v>207537</v>
      </c>
      <c r="D804" s="25" t="s">
        <v>2179</v>
      </c>
      <c r="E804" s="25" t="s">
        <v>2127</v>
      </c>
      <c r="F804" s="26" t="s">
        <v>90</v>
      </c>
      <c r="G804" s="26" t="s">
        <v>90</v>
      </c>
      <c r="H804" s="26">
        <v>1</v>
      </c>
      <c r="I804" s="26">
        <v>1</v>
      </c>
      <c r="J804" s="26">
        <v>1</v>
      </c>
      <c r="K804" s="26">
        <v>138</v>
      </c>
      <c r="L804" s="26" t="s">
        <v>28</v>
      </c>
      <c r="M804" s="27">
        <v>2250</v>
      </c>
      <c r="N804" s="30">
        <v>130441.77</v>
      </c>
      <c r="O804" s="26" t="s">
        <v>29</v>
      </c>
      <c r="P804" s="29"/>
      <c r="Q804" s="6"/>
      <c r="R804" s="29"/>
      <c r="S804" s="10"/>
      <c r="T804" s="8">
        <v>1</v>
      </c>
    </row>
    <row r="805" spans="1:20" ht="15.75" customHeight="1" outlineLevel="2" x14ac:dyDescent="0.35">
      <c r="A805" s="25" t="s">
        <v>2084</v>
      </c>
      <c r="B805" s="25" t="s">
        <v>2514</v>
      </c>
      <c r="C805" s="26">
        <v>207540</v>
      </c>
      <c r="D805" s="25" t="s">
        <v>2180</v>
      </c>
      <c r="E805" s="25" t="s">
        <v>2109</v>
      </c>
      <c r="F805" s="26" t="s">
        <v>215</v>
      </c>
      <c r="G805" s="26" t="s">
        <v>215</v>
      </c>
      <c r="H805" s="26">
        <v>1</v>
      </c>
      <c r="I805" s="26">
        <v>1</v>
      </c>
      <c r="J805" s="26">
        <v>1</v>
      </c>
      <c r="K805" s="26">
        <v>138</v>
      </c>
      <c r="L805" s="26" t="s">
        <v>28</v>
      </c>
      <c r="M805" s="27">
        <v>2186</v>
      </c>
      <c r="N805" s="28">
        <v>130441.77</v>
      </c>
      <c r="O805" s="26" t="s">
        <v>29</v>
      </c>
      <c r="P805" s="29"/>
      <c r="Q805" s="6"/>
      <c r="R805" s="29"/>
      <c r="S805" s="10"/>
      <c r="T805" s="8">
        <v>1</v>
      </c>
    </row>
    <row r="806" spans="1:20" ht="15.75" customHeight="1" outlineLevel="2" x14ac:dyDescent="0.35">
      <c r="A806" s="25" t="s">
        <v>2084</v>
      </c>
      <c r="B806" s="25" t="s">
        <v>2514</v>
      </c>
      <c r="C806" s="26">
        <v>207541</v>
      </c>
      <c r="D806" s="25" t="s">
        <v>2181</v>
      </c>
      <c r="E806" s="25" t="s">
        <v>2127</v>
      </c>
      <c r="F806" s="26" t="s">
        <v>90</v>
      </c>
      <c r="G806" s="26" t="s">
        <v>90</v>
      </c>
      <c r="H806" s="26">
        <v>1</v>
      </c>
      <c r="I806" s="26">
        <v>1</v>
      </c>
      <c r="J806" s="26">
        <v>1</v>
      </c>
      <c r="K806" s="26">
        <v>138</v>
      </c>
      <c r="L806" s="26" t="s">
        <v>28</v>
      </c>
      <c r="M806" s="27">
        <v>2263</v>
      </c>
      <c r="N806" s="30">
        <v>130441.77</v>
      </c>
      <c r="O806" s="26" t="s">
        <v>29</v>
      </c>
      <c r="P806" s="29"/>
      <c r="Q806" s="6"/>
      <c r="R806" s="29"/>
      <c r="S806" s="10"/>
      <c r="T806" s="8">
        <v>1</v>
      </c>
    </row>
    <row r="807" spans="1:20" ht="15.75" customHeight="1" outlineLevel="2" x14ac:dyDescent="0.35">
      <c r="A807" s="25" t="s">
        <v>2084</v>
      </c>
      <c r="B807" s="25" t="s">
        <v>2514</v>
      </c>
      <c r="C807" s="26">
        <v>207542</v>
      </c>
      <c r="D807" s="25" t="s">
        <v>2182</v>
      </c>
      <c r="E807" s="25" t="s">
        <v>2146</v>
      </c>
      <c r="F807" s="26" t="s">
        <v>215</v>
      </c>
      <c r="G807" s="26" t="s">
        <v>215</v>
      </c>
      <c r="H807" s="26">
        <v>1</v>
      </c>
      <c r="I807" s="26">
        <v>1</v>
      </c>
      <c r="J807" s="26">
        <v>1</v>
      </c>
      <c r="K807" s="26">
        <v>138</v>
      </c>
      <c r="L807" s="26" t="s">
        <v>28</v>
      </c>
      <c r="M807" s="27">
        <v>2180</v>
      </c>
      <c r="N807" s="28">
        <v>130441.77</v>
      </c>
      <c r="O807" s="26" t="s">
        <v>29</v>
      </c>
      <c r="P807" s="29"/>
      <c r="Q807" s="6"/>
      <c r="R807" s="29"/>
      <c r="S807" s="10"/>
      <c r="T807" s="8">
        <v>1</v>
      </c>
    </row>
    <row r="808" spans="1:20" ht="15.75" customHeight="1" outlineLevel="2" x14ac:dyDescent="0.35">
      <c r="A808" s="25" t="s">
        <v>2084</v>
      </c>
      <c r="B808" s="25" t="s">
        <v>2514</v>
      </c>
      <c r="C808" s="26">
        <v>207543</v>
      </c>
      <c r="D808" s="25" t="s">
        <v>2183</v>
      </c>
      <c r="E808" s="25" t="s">
        <v>2151</v>
      </c>
      <c r="F808" s="26" t="s">
        <v>215</v>
      </c>
      <c r="G808" s="26" t="s">
        <v>215</v>
      </c>
      <c r="H808" s="26">
        <v>1</v>
      </c>
      <c r="I808" s="26">
        <v>2</v>
      </c>
      <c r="J808" s="26">
        <v>1</v>
      </c>
      <c r="K808" s="26">
        <v>138</v>
      </c>
      <c r="L808" s="26" t="s">
        <v>28</v>
      </c>
      <c r="M808" s="27">
        <v>2212</v>
      </c>
      <c r="N808" s="28">
        <v>200221.98</v>
      </c>
      <c r="O808" s="26" t="s">
        <v>29</v>
      </c>
      <c r="P808" s="29"/>
      <c r="Q808" s="6"/>
      <c r="R808" s="29"/>
      <c r="S808" s="10"/>
      <c r="T808" s="8">
        <v>1</v>
      </c>
    </row>
    <row r="809" spans="1:20" ht="15.75" customHeight="1" outlineLevel="2" x14ac:dyDescent="0.35">
      <c r="A809" s="25" t="s">
        <v>2084</v>
      </c>
      <c r="B809" s="25" t="s">
        <v>2514</v>
      </c>
      <c r="C809" s="26">
        <v>207544</v>
      </c>
      <c r="D809" s="25" t="s">
        <v>2184</v>
      </c>
      <c r="E809" s="25" t="s">
        <v>2102</v>
      </c>
      <c r="F809" s="26" t="s">
        <v>90</v>
      </c>
      <c r="G809" s="26" t="s">
        <v>90</v>
      </c>
      <c r="H809" s="26">
        <v>1</v>
      </c>
      <c r="I809" s="26">
        <v>1</v>
      </c>
      <c r="J809" s="26">
        <v>1</v>
      </c>
      <c r="K809" s="26">
        <v>138</v>
      </c>
      <c r="L809" s="26" t="s">
        <v>28</v>
      </c>
      <c r="M809" s="27">
        <v>2258</v>
      </c>
      <c r="N809" s="30">
        <v>130441.77</v>
      </c>
      <c r="O809" s="26" t="s">
        <v>29</v>
      </c>
      <c r="P809" s="29"/>
      <c r="Q809" s="6"/>
      <c r="R809" s="29"/>
      <c r="S809" s="10"/>
      <c r="T809" s="8">
        <v>1</v>
      </c>
    </row>
    <row r="810" spans="1:20" ht="15.75" customHeight="1" outlineLevel="2" x14ac:dyDescent="0.35">
      <c r="A810" s="25" t="s">
        <v>2084</v>
      </c>
      <c r="B810" s="25" t="s">
        <v>2514</v>
      </c>
      <c r="C810" s="26">
        <v>207545</v>
      </c>
      <c r="D810" s="25" t="s">
        <v>2185</v>
      </c>
      <c r="E810" s="25" t="s">
        <v>2124</v>
      </c>
      <c r="F810" s="26" t="s">
        <v>491</v>
      </c>
      <c r="G810" s="26" t="s">
        <v>491</v>
      </c>
      <c r="H810" s="26">
        <v>1</v>
      </c>
      <c r="I810" s="26">
        <v>1</v>
      </c>
      <c r="J810" s="26">
        <v>1</v>
      </c>
      <c r="K810" s="26">
        <v>138</v>
      </c>
      <c r="L810" s="26" t="s">
        <v>28</v>
      </c>
      <c r="M810" s="27">
        <v>2268</v>
      </c>
      <c r="N810" s="28">
        <v>130441.77</v>
      </c>
      <c r="O810" s="26" t="s">
        <v>29</v>
      </c>
      <c r="P810" s="29"/>
      <c r="Q810" s="6"/>
      <c r="R810" s="29"/>
      <c r="S810" s="10"/>
      <c r="T810" s="8">
        <v>1</v>
      </c>
    </row>
    <row r="811" spans="1:20" ht="15.75" customHeight="1" outlineLevel="2" x14ac:dyDescent="0.35">
      <c r="A811" s="25" t="s">
        <v>2084</v>
      </c>
      <c r="B811" s="25" t="s">
        <v>2514</v>
      </c>
      <c r="C811" s="26">
        <v>207546</v>
      </c>
      <c r="D811" s="25" t="s">
        <v>2186</v>
      </c>
      <c r="E811" s="25" t="s">
        <v>2124</v>
      </c>
      <c r="F811" s="26" t="s">
        <v>491</v>
      </c>
      <c r="G811" s="26" t="s">
        <v>491</v>
      </c>
      <c r="H811" s="26">
        <v>1</v>
      </c>
      <c r="I811" s="26">
        <v>1</v>
      </c>
      <c r="J811" s="26">
        <v>1</v>
      </c>
      <c r="K811" s="26">
        <v>138</v>
      </c>
      <c r="L811" s="26" t="s">
        <v>28</v>
      </c>
      <c r="M811" s="27">
        <v>2271</v>
      </c>
      <c r="N811" s="30">
        <v>130441.77</v>
      </c>
      <c r="O811" s="26" t="s">
        <v>29</v>
      </c>
      <c r="P811" s="29"/>
      <c r="Q811" s="6"/>
      <c r="R811" s="29"/>
      <c r="S811" s="10"/>
      <c r="T811" s="8">
        <v>1</v>
      </c>
    </row>
    <row r="812" spans="1:20" ht="15.75" customHeight="1" outlineLevel="2" x14ac:dyDescent="0.35">
      <c r="A812" s="25" t="s">
        <v>2084</v>
      </c>
      <c r="B812" s="25" t="s">
        <v>2514</v>
      </c>
      <c r="C812" s="26">
        <v>207547</v>
      </c>
      <c r="D812" s="25" t="s">
        <v>2187</v>
      </c>
      <c r="E812" s="25" t="s">
        <v>2124</v>
      </c>
      <c r="F812" s="26" t="s">
        <v>491</v>
      </c>
      <c r="G812" s="26" t="s">
        <v>491</v>
      </c>
      <c r="H812" s="26">
        <v>1</v>
      </c>
      <c r="I812" s="26">
        <v>1</v>
      </c>
      <c r="J812" s="26">
        <v>1</v>
      </c>
      <c r="K812" s="26">
        <v>138</v>
      </c>
      <c r="L812" s="26" t="s">
        <v>28</v>
      </c>
      <c r="M812" s="27">
        <v>2270</v>
      </c>
      <c r="N812" s="28">
        <v>130441.77</v>
      </c>
      <c r="O812" s="26" t="s">
        <v>29</v>
      </c>
      <c r="P812" s="29"/>
      <c r="Q812" s="6"/>
      <c r="R812" s="29"/>
      <c r="S812" s="10"/>
      <c r="T812" s="8">
        <v>1</v>
      </c>
    </row>
    <row r="813" spans="1:20" ht="15.75" customHeight="1" outlineLevel="2" x14ac:dyDescent="0.35">
      <c r="A813" s="25" t="s">
        <v>2084</v>
      </c>
      <c r="B813" s="25" t="s">
        <v>2514</v>
      </c>
      <c r="C813" s="26">
        <v>207548</v>
      </c>
      <c r="D813" s="25" t="s">
        <v>2188</v>
      </c>
      <c r="E813" s="25" t="s">
        <v>2096</v>
      </c>
      <c r="F813" s="26" t="s">
        <v>215</v>
      </c>
      <c r="G813" s="26" t="s">
        <v>215</v>
      </c>
      <c r="H813" s="26">
        <v>1</v>
      </c>
      <c r="I813" s="26">
        <v>1</v>
      </c>
      <c r="J813" s="26">
        <v>1</v>
      </c>
      <c r="K813" s="26">
        <v>138</v>
      </c>
      <c r="L813" s="26" t="s">
        <v>28</v>
      </c>
      <c r="M813" s="27">
        <v>2208</v>
      </c>
      <c r="N813" s="28">
        <v>130441.77</v>
      </c>
      <c r="O813" s="26" t="s">
        <v>29</v>
      </c>
      <c r="P813" s="29"/>
      <c r="Q813" s="6"/>
      <c r="R813" s="29"/>
      <c r="S813" s="10"/>
      <c r="T813" s="8">
        <v>1</v>
      </c>
    </row>
    <row r="814" spans="1:20" ht="15.75" customHeight="1" outlineLevel="2" x14ac:dyDescent="0.35">
      <c r="A814" s="25" t="s">
        <v>2084</v>
      </c>
      <c r="B814" s="25" t="s">
        <v>2514</v>
      </c>
      <c r="C814" s="26">
        <v>207549</v>
      </c>
      <c r="D814" s="25" t="s">
        <v>2189</v>
      </c>
      <c r="E814" s="25" t="s">
        <v>2096</v>
      </c>
      <c r="F814" s="26" t="s">
        <v>215</v>
      </c>
      <c r="G814" s="26" t="s">
        <v>215</v>
      </c>
      <c r="H814" s="26">
        <v>1</v>
      </c>
      <c r="I814" s="26">
        <v>1</v>
      </c>
      <c r="J814" s="26">
        <v>1</v>
      </c>
      <c r="K814" s="26">
        <v>138</v>
      </c>
      <c r="L814" s="26" t="s">
        <v>28</v>
      </c>
      <c r="M814" s="27">
        <v>2215</v>
      </c>
      <c r="N814" s="30">
        <v>130441.77</v>
      </c>
      <c r="O814" s="26" t="s">
        <v>29</v>
      </c>
      <c r="P814" s="29"/>
      <c r="Q814" s="6"/>
      <c r="R814" s="29"/>
      <c r="S814" s="10"/>
      <c r="T814" s="8">
        <v>1</v>
      </c>
    </row>
    <row r="815" spans="1:20" ht="15.75" customHeight="1" outlineLevel="2" x14ac:dyDescent="0.35">
      <c r="A815" s="25" t="s">
        <v>2084</v>
      </c>
      <c r="B815" s="25" t="s">
        <v>2514</v>
      </c>
      <c r="C815" s="26">
        <v>207551</v>
      </c>
      <c r="D815" s="25" t="s">
        <v>2190</v>
      </c>
      <c r="E815" s="25" t="s">
        <v>2124</v>
      </c>
      <c r="F815" s="26" t="s">
        <v>491</v>
      </c>
      <c r="G815" s="26" t="s">
        <v>491</v>
      </c>
      <c r="H815" s="26">
        <v>1</v>
      </c>
      <c r="I815" s="26">
        <v>1</v>
      </c>
      <c r="J815" s="26">
        <v>1</v>
      </c>
      <c r="K815" s="26">
        <v>138</v>
      </c>
      <c r="L815" s="26" t="s">
        <v>28</v>
      </c>
      <c r="M815" s="27">
        <v>2267</v>
      </c>
      <c r="N815" s="28">
        <v>130441.77</v>
      </c>
      <c r="O815" s="26" t="s">
        <v>29</v>
      </c>
      <c r="P815" s="29"/>
      <c r="Q815" s="6"/>
      <c r="R815" s="29"/>
      <c r="S815" s="10"/>
      <c r="T815" s="8">
        <v>1</v>
      </c>
    </row>
    <row r="816" spans="1:20" ht="15.75" customHeight="1" outlineLevel="2" x14ac:dyDescent="0.35">
      <c r="A816" s="25" t="s">
        <v>2084</v>
      </c>
      <c r="B816" s="25" t="s">
        <v>2514</v>
      </c>
      <c r="C816" s="26">
        <v>207552</v>
      </c>
      <c r="D816" s="25" t="s">
        <v>2191</v>
      </c>
      <c r="E816" s="25" t="s">
        <v>2135</v>
      </c>
      <c r="F816" s="26" t="s">
        <v>90</v>
      </c>
      <c r="G816" s="26" t="s">
        <v>90</v>
      </c>
      <c r="H816" s="26">
        <v>1</v>
      </c>
      <c r="I816" s="26">
        <v>1</v>
      </c>
      <c r="J816" s="26">
        <v>1</v>
      </c>
      <c r="K816" s="26">
        <v>138</v>
      </c>
      <c r="L816" s="26" t="s">
        <v>28</v>
      </c>
      <c r="M816" s="27">
        <v>2233</v>
      </c>
      <c r="N816" s="28">
        <v>130441.77</v>
      </c>
      <c r="O816" s="26" t="s">
        <v>29</v>
      </c>
      <c r="P816" s="29"/>
      <c r="Q816" s="6"/>
      <c r="R816" s="29"/>
      <c r="S816" s="10"/>
      <c r="T816" s="8">
        <v>1</v>
      </c>
    </row>
    <row r="817" spans="1:26" ht="15.75" customHeight="1" outlineLevel="2" x14ac:dyDescent="0.35">
      <c r="A817" s="25" t="s">
        <v>2084</v>
      </c>
      <c r="B817" s="25" t="s">
        <v>2514</v>
      </c>
      <c r="C817" s="26">
        <v>207555</v>
      </c>
      <c r="D817" s="25" t="s">
        <v>2192</v>
      </c>
      <c r="E817" s="25" t="s">
        <v>2127</v>
      </c>
      <c r="F817" s="26" t="s">
        <v>90</v>
      </c>
      <c r="G817" s="26" t="s">
        <v>90</v>
      </c>
      <c r="H817" s="26">
        <v>1</v>
      </c>
      <c r="I817" s="26">
        <v>1</v>
      </c>
      <c r="J817" s="26">
        <v>1</v>
      </c>
      <c r="K817" s="26">
        <v>138</v>
      </c>
      <c r="L817" s="26" t="s">
        <v>28</v>
      </c>
      <c r="M817" s="27">
        <v>2227</v>
      </c>
      <c r="N817" s="30">
        <v>130441.77</v>
      </c>
      <c r="O817" s="26" t="s">
        <v>29</v>
      </c>
      <c r="P817" s="29"/>
      <c r="Q817" s="6"/>
      <c r="R817" s="29"/>
      <c r="S817" s="10"/>
      <c r="T817" s="8">
        <v>1</v>
      </c>
    </row>
    <row r="818" spans="1:26" ht="15.75" customHeight="1" outlineLevel="2" x14ac:dyDescent="0.35">
      <c r="A818" s="25" t="s">
        <v>2084</v>
      </c>
      <c r="B818" s="25" t="s">
        <v>2514</v>
      </c>
      <c r="C818" s="26">
        <v>207558</v>
      </c>
      <c r="D818" s="25" t="s">
        <v>2193</v>
      </c>
      <c r="E818" s="25" t="s">
        <v>2133</v>
      </c>
      <c r="F818" s="26" t="s">
        <v>90</v>
      </c>
      <c r="G818" s="26" t="s">
        <v>90</v>
      </c>
      <c r="H818" s="26">
        <v>1</v>
      </c>
      <c r="I818" s="26">
        <v>1</v>
      </c>
      <c r="J818" s="26">
        <v>1</v>
      </c>
      <c r="K818" s="26">
        <v>138</v>
      </c>
      <c r="L818" s="26" t="s">
        <v>28</v>
      </c>
      <c r="M818" s="27">
        <v>2218</v>
      </c>
      <c r="N818" s="30">
        <v>130441.77</v>
      </c>
      <c r="O818" s="26" t="s">
        <v>29</v>
      </c>
      <c r="P818" s="29"/>
      <c r="Q818" s="6"/>
      <c r="R818" s="29"/>
      <c r="S818" s="10"/>
      <c r="T818" s="8">
        <v>1</v>
      </c>
    </row>
    <row r="819" spans="1:26" ht="15.75" customHeight="1" outlineLevel="2" x14ac:dyDescent="0.35">
      <c r="A819" s="25" t="s">
        <v>2084</v>
      </c>
      <c r="B819" s="25" t="s">
        <v>2514</v>
      </c>
      <c r="C819" s="26">
        <v>207560</v>
      </c>
      <c r="D819" s="25" t="s">
        <v>2195</v>
      </c>
      <c r="E819" s="25" t="s">
        <v>2133</v>
      </c>
      <c r="F819" s="26" t="s">
        <v>90</v>
      </c>
      <c r="G819" s="26" t="s">
        <v>90</v>
      </c>
      <c r="H819" s="26">
        <v>1</v>
      </c>
      <c r="I819" s="26">
        <v>1</v>
      </c>
      <c r="J819" s="26">
        <v>1</v>
      </c>
      <c r="K819" s="26">
        <v>138</v>
      </c>
      <c r="L819" s="26" t="s">
        <v>28</v>
      </c>
      <c r="M819" s="27">
        <v>2259</v>
      </c>
      <c r="N819" s="28">
        <v>130441.77</v>
      </c>
      <c r="O819" s="26" t="s">
        <v>29</v>
      </c>
      <c r="P819" s="29"/>
      <c r="Q819" s="6"/>
      <c r="R819" s="29"/>
      <c r="S819" s="10"/>
      <c r="T819" s="8">
        <v>1</v>
      </c>
    </row>
    <row r="820" spans="1:26" ht="15.75" customHeight="1" outlineLevel="2" x14ac:dyDescent="0.35">
      <c r="A820" s="25" t="s">
        <v>2084</v>
      </c>
      <c r="B820" s="25" t="s">
        <v>2514</v>
      </c>
      <c r="C820" s="26">
        <v>207561</v>
      </c>
      <c r="D820" s="25" t="s">
        <v>2196</v>
      </c>
      <c r="E820" s="25" t="s">
        <v>2135</v>
      </c>
      <c r="F820" s="26" t="s">
        <v>90</v>
      </c>
      <c r="G820" s="26" t="s">
        <v>90</v>
      </c>
      <c r="H820" s="26">
        <v>1</v>
      </c>
      <c r="I820" s="26">
        <v>1</v>
      </c>
      <c r="J820" s="26">
        <v>1</v>
      </c>
      <c r="K820" s="26">
        <v>138</v>
      </c>
      <c r="L820" s="26" t="s">
        <v>28</v>
      </c>
      <c r="M820" s="27">
        <v>2256</v>
      </c>
      <c r="N820" s="30">
        <v>130441.77</v>
      </c>
      <c r="O820" s="26" t="s">
        <v>29</v>
      </c>
      <c r="P820" s="29"/>
      <c r="Q820" s="6"/>
      <c r="R820" s="29"/>
      <c r="S820" s="10"/>
      <c r="T820" s="8">
        <v>1</v>
      </c>
    </row>
    <row r="821" spans="1:26" ht="15.75" customHeight="1" outlineLevel="2" x14ac:dyDescent="0.35">
      <c r="A821" s="25" t="s">
        <v>2084</v>
      </c>
      <c r="B821" s="25" t="s">
        <v>2514</v>
      </c>
      <c r="C821" s="26">
        <v>207562</v>
      </c>
      <c r="D821" s="25" t="s">
        <v>2197</v>
      </c>
      <c r="E821" s="25" t="s">
        <v>2135</v>
      </c>
      <c r="F821" s="26" t="s">
        <v>90</v>
      </c>
      <c r="G821" s="26" t="s">
        <v>90</v>
      </c>
      <c r="H821" s="26">
        <v>1</v>
      </c>
      <c r="I821" s="26">
        <v>1</v>
      </c>
      <c r="J821" s="26">
        <v>1</v>
      </c>
      <c r="K821" s="26">
        <v>138</v>
      </c>
      <c r="L821" s="26" t="s">
        <v>28</v>
      </c>
      <c r="M821" s="27">
        <v>2251</v>
      </c>
      <c r="N821" s="30">
        <v>130441.77</v>
      </c>
      <c r="O821" s="26" t="s">
        <v>29</v>
      </c>
      <c r="P821" s="29"/>
      <c r="Q821" s="6"/>
      <c r="R821" s="29"/>
      <c r="S821" s="10"/>
      <c r="T821" s="8">
        <v>1</v>
      </c>
    </row>
    <row r="822" spans="1:26" ht="15.75" customHeight="1" outlineLevel="2" x14ac:dyDescent="0.35">
      <c r="A822" s="25" t="s">
        <v>2084</v>
      </c>
      <c r="B822" s="25" t="s">
        <v>2514</v>
      </c>
      <c r="C822" s="26">
        <v>207563</v>
      </c>
      <c r="D822" s="25" t="s">
        <v>2198</v>
      </c>
      <c r="E822" s="25" t="s">
        <v>2151</v>
      </c>
      <c r="F822" s="26" t="s">
        <v>215</v>
      </c>
      <c r="G822" s="26" t="s">
        <v>215</v>
      </c>
      <c r="H822" s="26">
        <v>1</v>
      </c>
      <c r="I822" s="26">
        <v>1</v>
      </c>
      <c r="J822" s="26">
        <v>1</v>
      </c>
      <c r="K822" s="26">
        <v>138</v>
      </c>
      <c r="L822" s="26" t="s">
        <v>28</v>
      </c>
      <c r="M822" s="27">
        <v>2198</v>
      </c>
      <c r="N822" s="28">
        <v>130441.77</v>
      </c>
      <c r="O822" s="26" t="s">
        <v>29</v>
      </c>
      <c r="P822" s="29"/>
      <c r="Q822" s="6"/>
      <c r="R822" s="29"/>
      <c r="S822" s="10"/>
      <c r="T822" s="8">
        <v>1</v>
      </c>
    </row>
    <row r="823" spans="1:26" ht="15.75" customHeight="1" outlineLevel="2" x14ac:dyDescent="0.35">
      <c r="A823" s="25" t="s">
        <v>2084</v>
      </c>
      <c r="B823" s="25" t="s">
        <v>2514</v>
      </c>
      <c r="C823" s="26">
        <v>207566</v>
      </c>
      <c r="D823" s="25" t="s">
        <v>2199</v>
      </c>
      <c r="E823" s="25" t="s">
        <v>2133</v>
      </c>
      <c r="F823" s="26" t="s">
        <v>90</v>
      </c>
      <c r="G823" s="26" t="s">
        <v>90</v>
      </c>
      <c r="H823" s="26">
        <v>1</v>
      </c>
      <c r="I823" s="26">
        <v>1</v>
      </c>
      <c r="J823" s="26">
        <v>1</v>
      </c>
      <c r="K823" s="26">
        <v>138</v>
      </c>
      <c r="L823" s="26" t="s">
        <v>28</v>
      </c>
      <c r="M823" s="27">
        <v>2247</v>
      </c>
      <c r="N823" s="30">
        <v>130441.77</v>
      </c>
      <c r="O823" s="26" t="s">
        <v>29</v>
      </c>
      <c r="P823" s="29"/>
      <c r="Q823" s="6"/>
      <c r="R823" s="29"/>
      <c r="S823" s="10"/>
      <c r="T823" s="8">
        <v>1</v>
      </c>
    </row>
    <row r="824" spans="1:26" ht="15.75" customHeight="1" outlineLevel="2" x14ac:dyDescent="0.35">
      <c r="A824" s="25" t="s">
        <v>2084</v>
      </c>
      <c r="B824" s="25" t="s">
        <v>2514</v>
      </c>
      <c r="C824" s="26">
        <v>207567</v>
      </c>
      <c r="D824" s="25" t="s">
        <v>2200</v>
      </c>
      <c r="E824" s="25" t="s">
        <v>2201</v>
      </c>
      <c r="F824" s="26" t="s">
        <v>90</v>
      </c>
      <c r="G824" s="26" t="s">
        <v>90</v>
      </c>
      <c r="H824" s="26">
        <v>1</v>
      </c>
      <c r="I824" s="26">
        <v>1</v>
      </c>
      <c r="J824" s="26">
        <v>1</v>
      </c>
      <c r="K824" s="26">
        <v>138</v>
      </c>
      <c r="L824" s="26" t="s">
        <v>28</v>
      </c>
      <c r="M824" s="27">
        <v>2223</v>
      </c>
      <c r="N824" s="30">
        <v>130441.77</v>
      </c>
      <c r="O824" s="26" t="s">
        <v>29</v>
      </c>
      <c r="P824" s="29"/>
      <c r="Q824" s="6"/>
      <c r="R824" s="29"/>
      <c r="S824" s="10"/>
      <c r="T824" s="8">
        <v>1</v>
      </c>
    </row>
    <row r="825" spans="1:26" ht="15.75" customHeight="1" outlineLevel="2" x14ac:dyDescent="0.35">
      <c r="A825" s="25" t="s">
        <v>2084</v>
      </c>
      <c r="B825" s="25" t="s">
        <v>2514</v>
      </c>
      <c r="C825" s="26">
        <v>207569</v>
      </c>
      <c r="D825" s="25" t="s">
        <v>2202</v>
      </c>
      <c r="E825" s="25" t="s">
        <v>2124</v>
      </c>
      <c r="F825" s="26" t="s">
        <v>215</v>
      </c>
      <c r="G825" s="26" t="s">
        <v>215</v>
      </c>
      <c r="H825" s="26">
        <v>1</v>
      </c>
      <c r="I825" s="26">
        <v>1</v>
      </c>
      <c r="J825" s="26">
        <v>1</v>
      </c>
      <c r="K825" s="26">
        <v>138</v>
      </c>
      <c r="L825" s="26" t="s">
        <v>28</v>
      </c>
      <c r="M825" s="27">
        <v>2217</v>
      </c>
      <c r="N825" s="30">
        <v>130441.77</v>
      </c>
      <c r="O825" s="26" t="s">
        <v>29</v>
      </c>
      <c r="P825" s="29"/>
      <c r="Q825" s="6"/>
      <c r="R825" s="29"/>
      <c r="S825" s="10"/>
      <c r="T825" s="8">
        <v>1</v>
      </c>
    </row>
    <row r="826" spans="1:26" ht="15.75" customHeight="1" outlineLevel="2" x14ac:dyDescent="0.35">
      <c r="A826" s="25" t="s">
        <v>2084</v>
      </c>
      <c r="B826" s="25" t="s">
        <v>2514</v>
      </c>
      <c r="C826" s="26">
        <v>207572</v>
      </c>
      <c r="D826" s="25" t="s">
        <v>2203</v>
      </c>
      <c r="E826" s="25" t="s">
        <v>2135</v>
      </c>
      <c r="F826" s="26" t="s">
        <v>90</v>
      </c>
      <c r="G826" s="26" t="s">
        <v>90</v>
      </c>
      <c r="H826" s="26">
        <v>1</v>
      </c>
      <c r="I826" s="26">
        <v>1</v>
      </c>
      <c r="J826" s="26">
        <v>1</v>
      </c>
      <c r="K826" s="26">
        <v>138</v>
      </c>
      <c r="L826" s="26" t="s">
        <v>28</v>
      </c>
      <c r="M826" s="27">
        <v>2231</v>
      </c>
      <c r="N826" s="30">
        <v>130441.77</v>
      </c>
      <c r="O826" s="26" t="s">
        <v>29</v>
      </c>
      <c r="P826" s="29"/>
      <c r="Q826" s="6"/>
      <c r="R826" s="29"/>
      <c r="S826" s="10"/>
      <c r="T826" s="8">
        <v>1</v>
      </c>
    </row>
    <row r="827" spans="1:26" ht="15.75" customHeight="1" outlineLevel="2" x14ac:dyDescent="0.35">
      <c r="A827" s="25" t="s">
        <v>2084</v>
      </c>
      <c r="B827" s="25" t="s">
        <v>2514</v>
      </c>
      <c r="C827" s="26">
        <v>207573</v>
      </c>
      <c r="D827" s="25" t="s">
        <v>2204</v>
      </c>
      <c r="E827" s="25" t="s">
        <v>2135</v>
      </c>
      <c r="F827" s="26" t="s">
        <v>90</v>
      </c>
      <c r="G827" s="26" t="s">
        <v>90</v>
      </c>
      <c r="H827" s="26">
        <v>1</v>
      </c>
      <c r="I827" s="26">
        <v>1</v>
      </c>
      <c r="J827" s="26">
        <v>1</v>
      </c>
      <c r="K827" s="26">
        <v>138</v>
      </c>
      <c r="L827" s="26" t="s">
        <v>28</v>
      </c>
      <c r="M827" s="27">
        <v>2245</v>
      </c>
      <c r="N827" s="30">
        <v>130441.77</v>
      </c>
      <c r="O827" s="26" t="s">
        <v>29</v>
      </c>
      <c r="P827" s="29"/>
      <c r="Q827" s="6"/>
      <c r="R827" s="29"/>
      <c r="S827" s="10"/>
      <c r="T827" s="8">
        <v>1</v>
      </c>
    </row>
    <row r="828" spans="1:26" ht="15.75" customHeight="1" outlineLevel="2" x14ac:dyDescent="0.35">
      <c r="A828" s="25" t="s">
        <v>2084</v>
      </c>
      <c r="B828" s="25" t="s">
        <v>2514</v>
      </c>
      <c r="C828" s="26">
        <v>316532</v>
      </c>
      <c r="D828" s="25" t="s">
        <v>2206</v>
      </c>
      <c r="E828" s="25" t="s">
        <v>2140</v>
      </c>
      <c r="F828" s="26" t="s">
        <v>215</v>
      </c>
      <c r="G828" s="26" t="s">
        <v>215</v>
      </c>
      <c r="H828" s="26">
        <v>1</v>
      </c>
      <c r="I828" s="26">
        <v>1</v>
      </c>
      <c r="J828" s="26">
        <v>1</v>
      </c>
      <c r="K828" s="26">
        <v>138</v>
      </c>
      <c r="L828" s="26" t="s">
        <v>28</v>
      </c>
      <c r="M828" s="27">
        <v>2210</v>
      </c>
      <c r="N828" s="30">
        <v>130441.77</v>
      </c>
      <c r="O828" s="26" t="s">
        <v>29</v>
      </c>
      <c r="P828" s="29"/>
      <c r="Q828" s="6"/>
      <c r="R828" s="29"/>
      <c r="S828" s="10"/>
      <c r="T828" s="8">
        <v>1</v>
      </c>
    </row>
    <row r="829" spans="1:26" ht="15.75" customHeight="1" outlineLevel="2" x14ac:dyDescent="0.35">
      <c r="A829" s="25" t="s">
        <v>2084</v>
      </c>
      <c r="B829" s="25" t="s">
        <v>2514</v>
      </c>
      <c r="C829" s="26">
        <v>316538</v>
      </c>
      <c r="D829" s="25" t="s">
        <v>2207</v>
      </c>
      <c r="E829" s="25" t="s">
        <v>2127</v>
      </c>
      <c r="F829" s="26" t="s">
        <v>90</v>
      </c>
      <c r="G829" s="26" t="s">
        <v>90</v>
      </c>
      <c r="H829" s="26">
        <v>1</v>
      </c>
      <c r="I829" s="26">
        <v>1</v>
      </c>
      <c r="J829" s="26">
        <v>1</v>
      </c>
      <c r="K829" s="26">
        <v>138</v>
      </c>
      <c r="L829" s="26" t="s">
        <v>28</v>
      </c>
      <c r="M829" s="27">
        <v>2221</v>
      </c>
      <c r="N829" s="30">
        <v>130441.77</v>
      </c>
      <c r="O829" s="26" t="s">
        <v>29</v>
      </c>
      <c r="P829" s="29"/>
      <c r="Q829" s="6"/>
      <c r="R829" s="29"/>
      <c r="S829" s="10"/>
      <c r="T829" s="8">
        <v>1</v>
      </c>
    </row>
    <row r="830" spans="1:26" ht="15.75" customHeight="1" outlineLevel="2" x14ac:dyDescent="0.35">
      <c r="A830" s="25" t="s">
        <v>2084</v>
      </c>
      <c r="B830" s="25" t="s">
        <v>2514</v>
      </c>
      <c r="C830" s="26">
        <v>316553</v>
      </c>
      <c r="D830" s="25" t="s">
        <v>2210</v>
      </c>
      <c r="E830" s="25" t="s">
        <v>2102</v>
      </c>
      <c r="F830" s="26" t="s">
        <v>90</v>
      </c>
      <c r="G830" s="26" t="s">
        <v>90</v>
      </c>
      <c r="H830" s="26">
        <v>1</v>
      </c>
      <c r="I830" s="26">
        <v>1</v>
      </c>
      <c r="J830" s="26">
        <v>1</v>
      </c>
      <c r="K830" s="26">
        <v>138</v>
      </c>
      <c r="L830" s="26" t="s">
        <v>28</v>
      </c>
      <c r="M830" s="27">
        <v>2230</v>
      </c>
      <c r="N830" s="30">
        <v>130441.77</v>
      </c>
      <c r="O830" s="26" t="s">
        <v>29</v>
      </c>
      <c r="P830" s="29"/>
      <c r="Q830" s="6"/>
      <c r="R830" s="29"/>
      <c r="S830" s="10"/>
      <c r="T830" s="8">
        <v>1</v>
      </c>
    </row>
    <row r="831" spans="1:26" ht="15.75" customHeight="1" outlineLevel="1" x14ac:dyDescent="0.35">
      <c r="A831" s="25"/>
      <c r="B831" s="53" t="s">
        <v>2515</v>
      </c>
      <c r="C831" s="26"/>
      <c r="D831" s="25"/>
      <c r="E831" s="25"/>
      <c r="F831" s="26"/>
      <c r="G831" s="26"/>
      <c r="H831" s="26">
        <f t="shared" ref="H831:I831" si="43">SUBTOTAL(9,H733:H830)</f>
        <v>98</v>
      </c>
      <c r="I831" s="26">
        <f t="shared" si="43"/>
        <v>107</v>
      </c>
      <c r="J831" s="26"/>
      <c r="K831" s="26"/>
      <c r="L831" s="26"/>
      <c r="M831" s="27"/>
      <c r="N831" s="30">
        <f>SUBTOTAL(9,N733:N830)</f>
        <v>13565664.469999973</v>
      </c>
      <c r="O831" s="26"/>
      <c r="P831" s="29"/>
      <c r="Q831" s="6"/>
      <c r="R831" s="29"/>
      <c r="S831" s="10"/>
      <c r="T831" s="8"/>
    </row>
    <row r="832" spans="1:26" ht="25.5" customHeight="1" x14ac:dyDescent="0.35">
      <c r="A832" s="19"/>
      <c r="B832" s="19"/>
      <c r="C832" s="19"/>
      <c r="D832" s="50"/>
      <c r="E832" s="50"/>
      <c r="F832" s="19"/>
      <c r="G832" s="19"/>
      <c r="H832" s="48"/>
      <c r="I832" s="48"/>
      <c r="J832" s="19"/>
      <c r="K832" s="48"/>
      <c r="L832" s="54"/>
      <c r="M832" s="48"/>
      <c r="N832" s="48"/>
      <c r="O832" s="19"/>
      <c r="P832" s="45"/>
      <c r="Q832" s="51"/>
      <c r="R832" s="26"/>
      <c r="S832" s="55"/>
      <c r="T832" s="44"/>
      <c r="U832" s="54"/>
      <c r="V832" s="50"/>
      <c r="W832" s="19"/>
      <c r="X832" s="19"/>
      <c r="Y832" s="19"/>
      <c r="Z832" s="19"/>
    </row>
    <row r="833" spans="1:26" ht="25.5" customHeight="1" x14ac:dyDescent="0.35">
      <c r="A833" s="19"/>
      <c r="B833" s="56" t="s">
        <v>2377</v>
      </c>
      <c r="C833" s="19"/>
      <c r="D833" s="50"/>
      <c r="E833" s="50"/>
      <c r="F833" s="57"/>
      <c r="G833" s="57"/>
      <c r="H833" s="171" t="s">
        <v>2377</v>
      </c>
      <c r="I833" s="172"/>
      <c r="J833" s="19"/>
      <c r="K833" s="48"/>
      <c r="L833" s="54"/>
      <c r="M833" s="48"/>
      <c r="N833" s="48"/>
      <c r="O833" s="19"/>
      <c r="P833" s="51"/>
      <c r="Q833" s="51"/>
      <c r="R833" s="26"/>
      <c r="S833" s="55"/>
      <c r="T833" s="44"/>
      <c r="U833" s="54"/>
      <c r="V833" s="50"/>
      <c r="W833" s="19"/>
      <c r="X833" s="19"/>
      <c r="Y833" s="19"/>
      <c r="Z833" s="19"/>
    </row>
    <row r="834" spans="1:26" ht="25.5" customHeight="1" x14ac:dyDescent="0.35">
      <c r="A834" s="19"/>
      <c r="B834" s="19"/>
      <c r="C834" s="19"/>
      <c r="D834" s="50"/>
      <c r="E834" s="50"/>
      <c r="F834" s="19"/>
      <c r="G834" s="19"/>
      <c r="H834" s="19"/>
      <c r="I834" s="19"/>
      <c r="J834" s="19"/>
      <c r="K834" s="48"/>
      <c r="L834" s="54"/>
      <c r="M834" s="48"/>
      <c r="N834" s="48"/>
      <c r="O834" s="19"/>
      <c r="P834" s="51"/>
      <c r="Q834" s="51"/>
      <c r="R834" s="26"/>
      <c r="S834" s="55"/>
      <c r="T834" s="44"/>
      <c r="U834" s="54"/>
      <c r="V834" s="50"/>
      <c r="W834" s="19"/>
      <c r="X834" s="19"/>
      <c r="Y834" s="19"/>
      <c r="Z834" s="19"/>
    </row>
    <row r="835" spans="1:26" ht="25.5" customHeight="1" x14ac:dyDescent="0.35">
      <c r="A835" s="19"/>
      <c r="B835" s="19"/>
      <c r="C835" s="19"/>
      <c r="D835" s="50"/>
      <c r="E835" s="50"/>
      <c r="F835" s="19"/>
      <c r="G835" s="19"/>
      <c r="H835" s="48"/>
      <c r="I835" s="48"/>
      <c r="J835" s="19"/>
      <c r="K835" s="48"/>
      <c r="L835" s="54"/>
      <c r="M835" s="48"/>
      <c r="N835" s="48"/>
      <c r="O835" s="19"/>
      <c r="P835" s="51"/>
      <c r="Q835" s="51"/>
      <c r="R835" s="26"/>
      <c r="S835" s="55"/>
      <c r="T835" s="44"/>
      <c r="U835" s="54"/>
      <c r="V835" s="50"/>
      <c r="W835" s="19"/>
      <c r="X835" s="19"/>
      <c r="Y835" s="19"/>
      <c r="Z835" s="19"/>
    </row>
    <row r="836" spans="1:26" ht="25.5" customHeight="1" x14ac:dyDescent="0.35">
      <c r="A836" s="19"/>
      <c r="B836" s="19"/>
      <c r="C836" s="58"/>
      <c r="D836" s="78" t="s">
        <v>2432</v>
      </c>
      <c r="E836" s="50"/>
      <c r="F836" s="19"/>
      <c r="G836" s="19"/>
      <c r="H836" s="48"/>
      <c r="I836" s="48"/>
      <c r="J836" s="19"/>
      <c r="K836" s="48"/>
      <c r="L836" s="54"/>
      <c r="M836" s="173" t="s">
        <v>2433</v>
      </c>
      <c r="N836" s="172"/>
      <c r="O836" s="172"/>
      <c r="P836" s="51"/>
      <c r="Q836" s="51"/>
      <c r="R836" s="26"/>
      <c r="S836" s="55"/>
      <c r="T836" s="44"/>
      <c r="U836" s="54"/>
      <c r="V836" s="50"/>
      <c r="W836" s="19"/>
      <c r="X836" s="19"/>
      <c r="Y836" s="19"/>
      <c r="Z836" s="19"/>
    </row>
    <row r="837" spans="1:26" ht="29.25" customHeight="1" x14ac:dyDescent="0.35">
      <c r="A837" s="19"/>
      <c r="B837" s="19"/>
      <c r="C837" s="59"/>
      <c r="D837" s="56" t="s">
        <v>2434</v>
      </c>
      <c r="E837" s="60"/>
      <c r="F837" s="56"/>
      <c r="G837" s="56"/>
      <c r="H837" s="61"/>
      <c r="I837" s="61"/>
      <c r="J837" s="56"/>
      <c r="K837" s="61"/>
      <c r="L837" s="62"/>
      <c r="M837" s="174" t="s">
        <v>2435</v>
      </c>
      <c r="N837" s="172"/>
      <c r="O837" s="172"/>
      <c r="P837" s="63"/>
      <c r="Q837" s="51"/>
      <c r="R837" s="26"/>
      <c r="S837" s="55"/>
      <c r="T837" s="44"/>
      <c r="U837" s="54"/>
      <c r="V837" s="50"/>
      <c r="W837" s="19"/>
      <c r="X837" s="19"/>
      <c r="Y837" s="19"/>
      <c r="Z837" s="19"/>
    </row>
    <row r="838" spans="1:26" ht="15.75" customHeight="1" outlineLevel="2" x14ac:dyDescent="0.35">
      <c r="A838" s="25" t="s">
        <v>2084</v>
      </c>
      <c r="B838" s="25" t="s">
        <v>2516</v>
      </c>
      <c r="C838" s="26">
        <v>130629</v>
      </c>
      <c r="D838" s="25" t="s">
        <v>2282</v>
      </c>
      <c r="E838" s="25" t="s">
        <v>2283</v>
      </c>
      <c r="F838" s="26" t="s">
        <v>90</v>
      </c>
      <c r="G838" s="26" t="s">
        <v>90</v>
      </c>
      <c r="H838" s="26">
        <v>1</v>
      </c>
      <c r="I838" s="26">
        <v>2</v>
      </c>
      <c r="J838" s="26">
        <v>1</v>
      </c>
      <c r="K838" s="26">
        <v>138</v>
      </c>
      <c r="L838" s="26" t="s">
        <v>28</v>
      </c>
      <c r="M838" s="27">
        <v>2351</v>
      </c>
      <c r="N838" s="28">
        <v>159283.09</v>
      </c>
      <c r="O838" s="26" t="s">
        <v>29</v>
      </c>
      <c r="P838" s="29"/>
      <c r="Q838" s="6"/>
      <c r="R838" s="29"/>
      <c r="S838" s="10"/>
      <c r="T838" s="8">
        <v>1</v>
      </c>
    </row>
    <row r="839" spans="1:26" ht="15.75" customHeight="1" outlineLevel="2" x14ac:dyDescent="0.35">
      <c r="A839" s="25" t="s">
        <v>2084</v>
      </c>
      <c r="B839" s="25" t="s">
        <v>2516</v>
      </c>
      <c r="C839" s="26">
        <v>130634</v>
      </c>
      <c r="D839" s="25" t="s">
        <v>2284</v>
      </c>
      <c r="E839" s="25" t="s">
        <v>2283</v>
      </c>
      <c r="F839" s="26" t="s">
        <v>90</v>
      </c>
      <c r="G839" s="26" t="s">
        <v>90</v>
      </c>
      <c r="H839" s="26">
        <v>1</v>
      </c>
      <c r="I839" s="26">
        <v>2</v>
      </c>
      <c r="J839" s="26">
        <v>1</v>
      </c>
      <c r="K839" s="26">
        <v>138</v>
      </c>
      <c r="L839" s="26" t="s">
        <v>28</v>
      </c>
      <c r="M839" s="27">
        <v>2358</v>
      </c>
      <c r="N839" s="28">
        <v>255453.43</v>
      </c>
      <c r="O839" s="26" t="s">
        <v>29</v>
      </c>
      <c r="P839" s="29"/>
      <c r="Q839" s="6"/>
      <c r="R839" s="29"/>
      <c r="S839" s="10"/>
      <c r="T839" s="8">
        <v>1</v>
      </c>
    </row>
    <row r="840" spans="1:26" ht="15.75" customHeight="1" outlineLevel="2" x14ac:dyDescent="0.35">
      <c r="A840" s="25" t="s">
        <v>2084</v>
      </c>
      <c r="B840" s="25" t="s">
        <v>2516</v>
      </c>
      <c r="C840" s="26">
        <v>130644</v>
      </c>
      <c r="D840" s="25" t="s">
        <v>2285</v>
      </c>
      <c r="E840" s="25" t="s">
        <v>2283</v>
      </c>
      <c r="F840" s="26" t="s">
        <v>90</v>
      </c>
      <c r="G840" s="26" t="s">
        <v>90</v>
      </c>
      <c r="H840" s="26">
        <v>1</v>
      </c>
      <c r="I840" s="26">
        <v>2</v>
      </c>
      <c r="J840" s="26">
        <v>1</v>
      </c>
      <c r="K840" s="26">
        <v>138</v>
      </c>
      <c r="L840" s="26" t="s">
        <v>28</v>
      </c>
      <c r="M840" s="27">
        <v>2362</v>
      </c>
      <c r="N840" s="28">
        <v>159283.09</v>
      </c>
      <c r="O840" s="26" t="s">
        <v>29</v>
      </c>
      <c r="P840" s="29"/>
      <c r="Q840" s="6"/>
      <c r="R840" s="29"/>
      <c r="S840" s="10"/>
      <c r="T840" s="8">
        <v>1</v>
      </c>
    </row>
    <row r="841" spans="1:26" ht="15.75" customHeight="1" outlineLevel="2" x14ac:dyDescent="0.35">
      <c r="A841" s="25" t="s">
        <v>2084</v>
      </c>
      <c r="B841" s="25" t="s">
        <v>2516</v>
      </c>
      <c r="C841" s="26">
        <v>130648</v>
      </c>
      <c r="D841" s="25" t="s">
        <v>2286</v>
      </c>
      <c r="E841" s="25" t="s">
        <v>2283</v>
      </c>
      <c r="F841" s="26" t="s">
        <v>90</v>
      </c>
      <c r="G841" s="26" t="s">
        <v>90</v>
      </c>
      <c r="H841" s="26">
        <v>1</v>
      </c>
      <c r="I841" s="26">
        <v>2</v>
      </c>
      <c r="J841" s="26">
        <v>1</v>
      </c>
      <c r="K841" s="26">
        <v>138</v>
      </c>
      <c r="L841" s="26" t="s">
        <v>28</v>
      </c>
      <c r="M841" s="27">
        <v>2348</v>
      </c>
      <c r="N841" s="28">
        <v>159283.09</v>
      </c>
      <c r="O841" s="26" t="s">
        <v>29</v>
      </c>
      <c r="P841" s="29"/>
      <c r="Q841" s="6"/>
      <c r="R841" s="29"/>
      <c r="S841" s="10"/>
      <c r="T841" s="8">
        <v>1</v>
      </c>
    </row>
    <row r="842" spans="1:26" ht="15.75" customHeight="1" outlineLevel="2" x14ac:dyDescent="0.35">
      <c r="A842" s="25" t="s">
        <v>2084</v>
      </c>
      <c r="B842" s="25" t="s">
        <v>2516</v>
      </c>
      <c r="C842" s="26">
        <v>130650</v>
      </c>
      <c r="D842" s="25" t="s">
        <v>2287</v>
      </c>
      <c r="E842" s="25" t="s">
        <v>2283</v>
      </c>
      <c r="F842" s="26" t="s">
        <v>90</v>
      </c>
      <c r="G842" s="26" t="s">
        <v>90</v>
      </c>
      <c r="H842" s="26">
        <v>1</v>
      </c>
      <c r="I842" s="26">
        <v>2</v>
      </c>
      <c r="J842" s="26">
        <v>1</v>
      </c>
      <c r="K842" s="26">
        <v>138</v>
      </c>
      <c r="L842" s="26" t="s">
        <v>28</v>
      </c>
      <c r="M842" s="27">
        <v>2354</v>
      </c>
      <c r="N842" s="28">
        <v>201220.9</v>
      </c>
      <c r="O842" s="26" t="s">
        <v>29</v>
      </c>
      <c r="P842" s="29"/>
      <c r="Q842" s="6"/>
      <c r="R842" s="29"/>
      <c r="S842" s="10"/>
      <c r="T842" s="8">
        <v>1</v>
      </c>
    </row>
    <row r="843" spans="1:26" ht="15.75" customHeight="1" outlineLevel="2" x14ac:dyDescent="0.35">
      <c r="A843" s="25" t="s">
        <v>2084</v>
      </c>
      <c r="B843" s="25" t="s">
        <v>2516</v>
      </c>
      <c r="C843" s="26">
        <v>130651</v>
      </c>
      <c r="D843" s="25" t="s">
        <v>2288</v>
      </c>
      <c r="E843" s="25" t="s">
        <v>2283</v>
      </c>
      <c r="F843" s="26" t="s">
        <v>90</v>
      </c>
      <c r="G843" s="26" t="s">
        <v>90</v>
      </c>
      <c r="H843" s="26">
        <v>1</v>
      </c>
      <c r="I843" s="26">
        <v>2</v>
      </c>
      <c r="J843" s="26">
        <v>1</v>
      </c>
      <c r="K843" s="26">
        <v>138</v>
      </c>
      <c r="L843" s="26" t="s">
        <v>28</v>
      </c>
      <c r="M843" s="27">
        <v>2356</v>
      </c>
      <c r="N843" s="28">
        <v>270638.88</v>
      </c>
      <c r="O843" s="26" t="s">
        <v>29</v>
      </c>
      <c r="P843" s="29"/>
      <c r="Q843" s="6"/>
      <c r="R843" s="29"/>
      <c r="S843" s="10"/>
      <c r="T843" s="8">
        <v>1</v>
      </c>
    </row>
    <row r="844" spans="1:26" ht="15.75" customHeight="1" outlineLevel="2" x14ac:dyDescent="0.35">
      <c r="A844" s="25" t="s">
        <v>2084</v>
      </c>
      <c r="B844" s="25" t="s">
        <v>2516</v>
      </c>
      <c r="C844" s="26">
        <v>130652</v>
      </c>
      <c r="D844" s="25" t="s">
        <v>726</v>
      </c>
      <c r="E844" s="25" t="s">
        <v>2283</v>
      </c>
      <c r="F844" s="26" t="s">
        <v>90</v>
      </c>
      <c r="G844" s="26" t="s">
        <v>90</v>
      </c>
      <c r="H844" s="26">
        <v>1</v>
      </c>
      <c r="I844" s="26">
        <v>2</v>
      </c>
      <c r="J844" s="26">
        <v>1</v>
      </c>
      <c r="K844" s="26">
        <v>138</v>
      </c>
      <c r="L844" s="26" t="s">
        <v>28</v>
      </c>
      <c r="M844" s="27">
        <v>2360</v>
      </c>
      <c r="N844" s="28">
        <v>228620.67</v>
      </c>
      <c r="O844" s="26" t="s">
        <v>29</v>
      </c>
      <c r="P844" s="29"/>
      <c r="Q844" s="6"/>
      <c r="R844" s="29"/>
      <c r="S844" s="10"/>
      <c r="T844" s="8">
        <v>1</v>
      </c>
    </row>
    <row r="845" spans="1:26" ht="15.75" customHeight="1" outlineLevel="2" x14ac:dyDescent="0.35">
      <c r="A845" s="25" t="s">
        <v>2084</v>
      </c>
      <c r="B845" s="25" t="s">
        <v>2516</v>
      </c>
      <c r="C845" s="26">
        <v>130768</v>
      </c>
      <c r="D845" s="25" t="s">
        <v>2298</v>
      </c>
      <c r="E845" s="25" t="s">
        <v>2299</v>
      </c>
      <c r="F845" s="26" t="s">
        <v>90</v>
      </c>
      <c r="G845" s="26" t="s">
        <v>90</v>
      </c>
      <c r="H845" s="26">
        <v>1</v>
      </c>
      <c r="I845" s="26">
        <v>2</v>
      </c>
      <c r="J845" s="26">
        <v>1</v>
      </c>
      <c r="K845" s="26">
        <v>138</v>
      </c>
      <c r="L845" s="26" t="s">
        <v>28</v>
      </c>
      <c r="M845" s="27">
        <v>2346</v>
      </c>
      <c r="N845" s="28">
        <v>159283.09</v>
      </c>
      <c r="O845" s="26" t="s">
        <v>29</v>
      </c>
      <c r="P845" s="29"/>
      <c r="Q845" s="6"/>
      <c r="R845" s="29"/>
      <c r="S845" s="10"/>
      <c r="T845" s="8">
        <v>1</v>
      </c>
    </row>
    <row r="846" spans="1:26" ht="15.75" customHeight="1" outlineLevel="2" x14ac:dyDescent="0.35">
      <c r="A846" s="25" t="s">
        <v>2084</v>
      </c>
      <c r="B846" s="25" t="s">
        <v>2516</v>
      </c>
      <c r="C846" s="26">
        <v>130777</v>
      </c>
      <c r="D846" s="25" t="s">
        <v>2300</v>
      </c>
      <c r="E846" s="25" t="s">
        <v>2299</v>
      </c>
      <c r="F846" s="26" t="s">
        <v>90</v>
      </c>
      <c r="G846" s="26" t="s">
        <v>90</v>
      </c>
      <c r="H846" s="26">
        <v>1</v>
      </c>
      <c r="I846" s="26">
        <v>2</v>
      </c>
      <c r="J846" s="26">
        <v>1</v>
      </c>
      <c r="K846" s="26">
        <v>138</v>
      </c>
      <c r="L846" s="26" t="s">
        <v>28</v>
      </c>
      <c r="M846" s="27">
        <v>2368</v>
      </c>
      <c r="N846" s="28">
        <v>298038.65999999997</v>
      </c>
      <c r="O846" s="26" t="s">
        <v>29</v>
      </c>
      <c r="P846" s="29"/>
      <c r="Q846" s="6"/>
      <c r="R846" s="29"/>
      <c r="S846" s="10"/>
      <c r="T846" s="8">
        <v>1</v>
      </c>
    </row>
    <row r="847" spans="1:26" ht="15.75" customHeight="1" outlineLevel="2" x14ac:dyDescent="0.35">
      <c r="A847" s="25" t="s">
        <v>2084</v>
      </c>
      <c r="B847" s="25" t="s">
        <v>2516</v>
      </c>
      <c r="C847" s="26">
        <v>208514</v>
      </c>
      <c r="D847" s="25" t="s">
        <v>2314</v>
      </c>
      <c r="E847" s="25" t="s">
        <v>2293</v>
      </c>
      <c r="F847" s="26" t="s">
        <v>90</v>
      </c>
      <c r="G847" s="26" t="s">
        <v>90</v>
      </c>
      <c r="H847" s="26">
        <v>1</v>
      </c>
      <c r="I847" s="26">
        <v>2</v>
      </c>
      <c r="J847" s="26">
        <v>1</v>
      </c>
      <c r="K847" s="26">
        <v>138</v>
      </c>
      <c r="L847" s="26" t="s">
        <v>28</v>
      </c>
      <c r="M847" s="27">
        <v>2355</v>
      </c>
      <c r="N847" s="28">
        <v>201220.9</v>
      </c>
      <c r="O847" s="26" t="s">
        <v>29</v>
      </c>
      <c r="P847" s="29"/>
      <c r="Q847" s="6"/>
      <c r="R847" s="29"/>
      <c r="S847" s="10"/>
      <c r="T847" s="8">
        <v>1</v>
      </c>
    </row>
    <row r="848" spans="1:26" ht="15.75" customHeight="1" outlineLevel="2" x14ac:dyDescent="0.35">
      <c r="A848" s="25" t="s">
        <v>2084</v>
      </c>
      <c r="B848" s="25" t="s">
        <v>2516</v>
      </c>
      <c r="C848" s="26">
        <v>208522</v>
      </c>
      <c r="D848" s="25" t="s">
        <v>2315</v>
      </c>
      <c r="E848" s="25" t="s">
        <v>2293</v>
      </c>
      <c r="F848" s="26" t="s">
        <v>90</v>
      </c>
      <c r="G848" s="26" t="s">
        <v>90</v>
      </c>
      <c r="H848" s="26">
        <v>1</v>
      </c>
      <c r="I848" s="26">
        <v>2</v>
      </c>
      <c r="J848" s="26">
        <v>1</v>
      </c>
      <c r="K848" s="26">
        <v>138</v>
      </c>
      <c r="L848" s="26" t="s">
        <v>28</v>
      </c>
      <c r="M848" s="27">
        <v>2350</v>
      </c>
      <c r="N848" s="28">
        <v>171895.18</v>
      </c>
      <c r="O848" s="26" t="s">
        <v>29</v>
      </c>
      <c r="P848" s="29"/>
      <c r="Q848" s="6"/>
      <c r="R848" s="29"/>
      <c r="S848" s="10"/>
      <c r="T848" s="8">
        <v>1</v>
      </c>
    </row>
    <row r="849" spans="1:26" ht="15.75" customHeight="1" outlineLevel="1" x14ac:dyDescent="0.35">
      <c r="A849" s="25"/>
      <c r="B849" s="53" t="s">
        <v>2517</v>
      </c>
      <c r="C849" s="26"/>
      <c r="D849" s="25"/>
      <c r="E849" s="25"/>
      <c r="F849" s="26"/>
      <c r="G849" s="26"/>
      <c r="H849" s="26">
        <f t="shared" ref="H849:I849" si="44">SUBTOTAL(9,H838:H848)</f>
        <v>11</v>
      </c>
      <c r="I849" s="26">
        <f t="shared" si="44"/>
        <v>22</v>
      </c>
      <c r="J849" s="26"/>
      <c r="K849" s="26"/>
      <c r="L849" s="26"/>
      <c r="M849" s="27"/>
      <c r="N849" s="28">
        <f>SUBTOTAL(9,N838:N848)</f>
        <v>2264220.98</v>
      </c>
      <c r="O849" s="26"/>
      <c r="P849" s="29"/>
      <c r="Q849" s="6"/>
      <c r="R849" s="29"/>
      <c r="S849" s="10"/>
      <c r="T849" s="8"/>
    </row>
    <row r="850" spans="1:26" ht="25.5" customHeight="1" x14ac:dyDescent="0.35">
      <c r="A850" s="19"/>
      <c r="B850" s="19"/>
      <c r="C850" s="19"/>
      <c r="D850" s="50"/>
      <c r="E850" s="50"/>
      <c r="F850" s="19"/>
      <c r="G850" s="19"/>
      <c r="H850" s="48"/>
      <c r="I850" s="48"/>
      <c r="J850" s="19"/>
      <c r="K850" s="48"/>
      <c r="L850" s="54"/>
      <c r="M850" s="48"/>
      <c r="N850" s="48"/>
      <c r="O850" s="19"/>
      <c r="P850" s="45"/>
      <c r="Q850" s="51"/>
      <c r="R850" s="26"/>
      <c r="S850" s="55"/>
      <c r="T850" s="44"/>
      <c r="U850" s="54"/>
      <c r="V850" s="50"/>
      <c r="W850" s="19"/>
      <c r="X850" s="19"/>
      <c r="Y850" s="19"/>
      <c r="Z850" s="19"/>
    </row>
    <row r="851" spans="1:26" ht="25.5" customHeight="1" x14ac:dyDescent="0.35">
      <c r="A851" s="19"/>
      <c r="B851" s="56" t="s">
        <v>2377</v>
      </c>
      <c r="C851" s="19"/>
      <c r="D851" s="50"/>
      <c r="E851" s="50"/>
      <c r="F851" s="57"/>
      <c r="G851" s="57"/>
      <c r="H851" s="171" t="s">
        <v>2377</v>
      </c>
      <c r="I851" s="172"/>
      <c r="J851" s="19"/>
      <c r="K851" s="48"/>
      <c r="L851" s="54"/>
      <c r="M851" s="48"/>
      <c r="N851" s="48"/>
      <c r="O851" s="19"/>
      <c r="P851" s="51"/>
      <c r="Q851" s="51"/>
      <c r="R851" s="26"/>
      <c r="S851" s="55"/>
      <c r="T851" s="44"/>
      <c r="U851" s="54"/>
      <c r="V851" s="50"/>
      <c r="W851" s="19"/>
      <c r="X851" s="19"/>
      <c r="Y851" s="19"/>
      <c r="Z851" s="19"/>
    </row>
    <row r="852" spans="1:26" ht="25.5" customHeight="1" x14ac:dyDescent="0.35">
      <c r="A852" s="19"/>
      <c r="B852" s="19"/>
      <c r="C852" s="19"/>
      <c r="D852" s="50"/>
      <c r="E852" s="50"/>
      <c r="F852" s="19"/>
      <c r="G852" s="19"/>
      <c r="H852" s="19"/>
      <c r="I852" s="19"/>
      <c r="J852" s="19"/>
      <c r="K852" s="48"/>
      <c r="L852" s="54"/>
      <c r="M852" s="48"/>
      <c r="N852" s="48"/>
      <c r="O852" s="19"/>
      <c r="P852" s="51"/>
      <c r="Q852" s="51"/>
      <c r="R852" s="26"/>
      <c r="S852" s="55"/>
      <c r="T852" s="44"/>
      <c r="U852" s="54"/>
      <c r="V852" s="50"/>
      <c r="W852" s="19"/>
      <c r="X852" s="19"/>
      <c r="Y852" s="19"/>
      <c r="Z852" s="19"/>
    </row>
    <row r="853" spans="1:26" ht="25.5" customHeight="1" x14ac:dyDescent="0.35">
      <c r="A853" s="19"/>
      <c r="B853" s="19"/>
      <c r="C853" s="19"/>
      <c r="D853" s="50"/>
      <c r="E853" s="50"/>
      <c r="F853" s="19"/>
      <c r="G853" s="19"/>
      <c r="H853" s="48"/>
      <c r="I853" s="48"/>
      <c r="J853" s="19"/>
      <c r="K853" s="48"/>
      <c r="L853" s="54"/>
      <c r="M853" s="48"/>
      <c r="N853" s="48"/>
      <c r="O853" s="19"/>
      <c r="P853" s="51"/>
      <c r="Q853" s="51"/>
      <c r="R853" s="26"/>
      <c r="S853" s="55"/>
      <c r="T853" s="44"/>
      <c r="U853" s="54"/>
      <c r="V853" s="50"/>
      <c r="W853" s="19"/>
      <c r="X853" s="19"/>
      <c r="Y853" s="19"/>
      <c r="Z853" s="19"/>
    </row>
    <row r="854" spans="1:26" ht="25.5" customHeight="1" x14ac:dyDescent="0.35">
      <c r="A854" s="19"/>
      <c r="B854" s="19"/>
      <c r="C854" s="58"/>
      <c r="D854" s="78" t="s">
        <v>2432</v>
      </c>
      <c r="E854" s="50"/>
      <c r="F854" s="19"/>
      <c r="G854" s="19"/>
      <c r="H854" s="48"/>
      <c r="I854" s="48"/>
      <c r="J854" s="19"/>
      <c r="K854" s="48"/>
      <c r="L854" s="54"/>
      <c r="M854" s="173" t="s">
        <v>2433</v>
      </c>
      <c r="N854" s="172"/>
      <c r="O854" s="172"/>
      <c r="P854" s="51"/>
      <c r="Q854" s="51"/>
      <c r="R854" s="26"/>
      <c r="S854" s="55"/>
      <c r="T854" s="44"/>
      <c r="U854" s="54"/>
      <c r="V854" s="50"/>
      <c r="W854" s="19"/>
      <c r="X854" s="19"/>
      <c r="Y854" s="19"/>
      <c r="Z854" s="19"/>
    </row>
    <row r="855" spans="1:26" ht="29.25" customHeight="1" x14ac:dyDescent="0.35">
      <c r="A855" s="19"/>
      <c r="B855" s="19"/>
      <c r="C855" s="59"/>
      <c r="D855" s="56" t="s">
        <v>2434</v>
      </c>
      <c r="E855" s="60"/>
      <c r="F855" s="56"/>
      <c r="G855" s="56"/>
      <c r="H855" s="61"/>
      <c r="I855" s="61"/>
      <c r="J855" s="56"/>
      <c r="K855" s="61"/>
      <c r="L855" s="62"/>
      <c r="M855" s="174" t="s">
        <v>2435</v>
      </c>
      <c r="N855" s="172"/>
      <c r="O855" s="172"/>
      <c r="P855" s="63"/>
      <c r="Q855" s="51"/>
      <c r="R855" s="26"/>
      <c r="S855" s="55"/>
      <c r="T855" s="44"/>
      <c r="U855" s="54"/>
      <c r="V855" s="50"/>
      <c r="W855" s="19"/>
      <c r="X855" s="19"/>
      <c r="Y855" s="19"/>
      <c r="Z855" s="19"/>
    </row>
    <row r="856" spans="1:26" ht="15.75" customHeight="1" outlineLevel="2" x14ac:dyDescent="0.35">
      <c r="A856" s="25" t="s">
        <v>2084</v>
      </c>
      <c r="B856" s="25" t="s">
        <v>2518</v>
      </c>
      <c r="C856" s="26">
        <v>130947</v>
      </c>
      <c r="D856" s="25" t="s">
        <v>1273</v>
      </c>
      <c r="E856" s="25" t="s">
        <v>2323</v>
      </c>
      <c r="F856" s="26" t="s">
        <v>90</v>
      </c>
      <c r="G856" s="26" t="s">
        <v>90</v>
      </c>
      <c r="H856" s="26">
        <v>1</v>
      </c>
      <c r="I856" s="26">
        <v>1</v>
      </c>
      <c r="J856" s="26">
        <v>1</v>
      </c>
      <c r="K856" s="26">
        <v>138</v>
      </c>
      <c r="L856" s="26" t="s">
        <v>28</v>
      </c>
      <c r="M856" s="27">
        <v>2406</v>
      </c>
      <c r="N856" s="30">
        <v>149388.48000000001</v>
      </c>
      <c r="O856" s="26" t="s">
        <v>29</v>
      </c>
      <c r="P856" s="29"/>
      <c r="Q856" s="6"/>
      <c r="R856" s="29"/>
      <c r="S856" s="10"/>
      <c r="T856" s="8">
        <v>1</v>
      </c>
    </row>
    <row r="857" spans="1:26" ht="15.75" customHeight="1" outlineLevel="2" x14ac:dyDescent="0.35">
      <c r="A857" s="25" t="s">
        <v>2084</v>
      </c>
      <c r="B857" s="25" t="s">
        <v>2518</v>
      </c>
      <c r="C857" s="26">
        <v>130956</v>
      </c>
      <c r="D857" s="25" t="s">
        <v>2328</v>
      </c>
      <c r="E857" s="25" t="s">
        <v>2329</v>
      </c>
      <c r="F857" s="26" t="s">
        <v>215</v>
      </c>
      <c r="G857" s="26" t="s">
        <v>215</v>
      </c>
      <c r="H857" s="26">
        <v>1</v>
      </c>
      <c r="I857" s="26">
        <v>2</v>
      </c>
      <c r="J857" s="26">
        <v>1</v>
      </c>
      <c r="K857" s="26">
        <v>138</v>
      </c>
      <c r="L857" s="26" t="s">
        <v>28</v>
      </c>
      <c r="M857" s="27">
        <v>2369</v>
      </c>
      <c r="N857" s="30">
        <v>369182.57</v>
      </c>
      <c r="O857" s="26" t="s">
        <v>29</v>
      </c>
      <c r="P857" s="29"/>
      <c r="Q857" s="6"/>
      <c r="R857" s="29"/>
      <c r="S857" s="10"/>
      <c r="T857" s="8">
        <v>1</v>
      </c>
    </row>
    <row r="858" spans="1:26" ht="15.75" customHeight="1" outlineLevel="2" x14ac:dyDescent="0.35">
      <c r="A858" s="25" t="s">
        <v>2084</v>
      </c>
      <c r="B858" s="25" t="s">
        <v>2518</v>
      </c>
      <c r="C858" s="26">
        <v>130961</v>
      </c>
      <c r="D858" s="25" t="s">
        <v>2330</v>
      </c>
      <c r="E858" s="25" t="s">
        <v>2329</v>
      </c>
      <c r="F858" s="26" t="s">
        <v>215</v>
      </c>
      <c r="G858" s="26" t="s">
        <v>215</v>
      </c>
      <c r="H858" s="26">
        <v>1</v>
      </c>
      <c r="I858" s="26">
        <v>1</v>
      </c>
      <c r="J858" s="26">
        <v>1</v>
      </c>
      <c r="K858" s="26">
        <v>138</v>
      </c>
      <c r="L858" s="26" t="s">
        <v>28</v>
      </c>
      <c r="M858" s="27">
        <v>2380</v>
      </c>
      <c r="N858" s="30">
        <v>123724.46</v>
      </c>
      <c r="O858" s="26" t="s">
        <v>29</v>
      </c>
      <c r="P858" s="29"/>
      <c r="Q858" s="6"/>
      <c r="R858" s="29"/>
      <c r="S858" s="10"/>
      <c r="T858" s="8">
        <v>1</v>
      </c>
    </row>
    <row r="859" spans="1:26" ht="15.75" customHeight="1" outlineLevel="2" x14ac:dyDescent="0.35">
      <c r="A859" s="25" t="s">
        <v>2084</v>
      </c>
      <c r="B859" s="25" t="s">
        <v>2518</v>
      </c>
      <c r="C859" s="26">
        <v>130971</v>
      </c>
      <c r="D859" s="25" t="s">
        <v>2331</v>
      </c>
      <c r="E859" s="25" t="s">
        <v>2329</v>
      </c>
      <c r="F859" s="26" t="s">
        <v>215</v>
      </c>
      <c r="G859" s="26" t="s">
        <v>215</v>
      </c>
      <c r="H859" s="26">
        <v>1</v>
      </c>
      <c r="I859" s="26">
        <v>2</v>
      </c>
      <c r="J859" s="26">
        <v>1</v>
      </c>
      <c r="K859" s="26">
        <v>138</v>
      </c>
      <c r="L859" s="26" t="s">
        <v>28</v>
      </c>
      <c r="M859" s="27">
        <v>2374</v>
      </c>
      <c r="N859" s="30">
        <v>188877.94</v>
      </c>
      <c r="O859" s="26" t="s">
        <v>29</v>
      </c>
      <c r="P859" s="29"/>
      <c r="Q859" s="6"/>
      <c r="R859" s="29"/>
      <c r="S859" s="10"/>
      <c r="T859" s="8">
        <v>1</v>
      </c>
    </row>
    <row r="860" spans="1:26" ht="15.75" customHeight="1" outlineLevel="2" x14ac:dyDescent="0.35">
      <c r="A860" s="25" t="s">
        <v>2084</v>
      </c>
      <c r="B860" s="25" t="s">
        <v>2518</v>
      </c>
      <c r="C860" s="26">
        <v>130973</v>
      </c>
      <c r="D860" s="25" t="s">
        <v>2332</v>
      </c>
      <c r="E860" s="25" t="s">
        <v>2329</v>
      </c>
      <c r="F860" s="26" t="s">
        <v>215</v>
      </c>
      <c r="G860" s="26" t="s">
        <v>215</v>
      </c>
      <c r="H860" s="26">
        <v>1</v>
      </c>
      <c r="I860" s="26">
        <v>2</v>
      </c>
      <c r="J860" s="26">
        <v>1</v>
      </c>
      <c r="K860" s="26">
        <v>138</v>
      </c>
      <c r="L860" s="26" t="s">
        <v>28</v>
      </c>
      <c r="M860" s="27">
        <v>2375</v>
      </c>
      <c r="N860" s="30">
        <v>151330.76999999999</v>
      </c>
      <c r="O860" s="26" t="s">
        <v>29</v>
      </c>
      <c r="P860" s="29"/>
      <c r="Q860" s="6"/>
      <c r="R860" s="29"/>
      <c r="S860" s="10"/>
      <c r="T860" s="8">
        <v>1</v>
      </c>
    </row>
    <row r="861" spans="1:26" ht="15.75" customHeight="1" outlineLevel="2" x14ac:dyDescent="0.35">
      <c r="A861" s="25" t="s">
        <v>2084</v>
      </c>
      <c r="B861" s="25" t="s">
        <v>2518</v>
      </c>
      <c r="C861" s="26">
        <v>131035</v>
      </c>
      <c r="D861" s="25" t="s">
        <v>2338</v>
      </c>
      <c r="E861" s="25" t="s">
        <v>2339</v>
      </c>
      <c r="F861" s="26" t="s">
        <v>90</v>
      </c>
      <c r="G861" s="26" t="s">
        <v>90</v>
      </c>
      <c r="H861" s="26">
        <v>1</v>
      </c>
      <c r="I861" s="26">
        <v>1</v>
      </c>
      <c r="J861" s="26">
        <v>1</v>
      </c>
      <c r="K861" s="26">
        <v>138</v>
      </c>
      <c r="L861" s="26" t="s">
        <v>28</v>
      </c>
      <c r="M861" s="27">
        <v>2400</v>
      </c>
      <c r="N861" s="30">
        <v>123724.46</v>
      </c>
      <c r="O861" s="26" t="s">
        <v>29</v>
      </c>
      <c r="P861" s="29"/>
      <c r="Q861" s="6"/>
      <c r="R861" s="29"/>
      <c r="S861" s="10"/>
      <c r="T861" s="8">
        <v>1</v>
      </c>
    </row>
    <row r="862" spans="1:26" ht="15.75" customHeight="1" outlineLevel="2" x14ac:dyDescent="0.35">
      <c r="A862" s="25" t="s">
        <v>2084</v>
      </c>
      <c r="B862" s="25" t="s">
        <v>2518</v>
      </c>
      <c r="C862" s="26">
        <v>131049</v>
      </c>
      <c r="D862" s="25" t="s">
        <v>977</v>
      </c>
      <c r="E862" s="25" t="s">
        <v>2340</v>
      </c>
      <c r="F862" s="26" t="s">
        <v>90</v>
      </c>
      <c r="G862" s="26" t="s">
        <v>90</v>
      </c>
      <c r="H862" s="26">
        <v>1</v>
      </c>
      <c r="I862" s="26">
        <v>2</v>
      </c>
      <c r="J862" s="26">
        <v>1</v>
      </c>
      <c r="K862" s="26">
        <v>138</v>
      </c>
      <c r="L862" s="26" t="s">
        <v>28</v>
      </c>
      <c r="M862" s="27">
        <v>2389</v>
      </c>
      <c r="N862" s="30">
        <v>477676.74</v>
      </c>
      <c r="O862" s="26" t="s">
        <v>29</v>
      </c>
      <c r="P862" s="29"/>
      <c r="Q862" s="6"/>
      <c r="R862" s="29"/>
      <c r="S862" s="10"/>
      <c r="T862" s="8">
        <v>1</v>
      </c>
    </row>
    <row r="863" spans="1:26" ht="15.75" customHeight="1" outlineLevel="2" x14ac:dyDescent="0.35">
      <c r="A863" s="25" t="s">
        <v>2084</v>
      </c>
      <c r="B863" s="25" t="s">
        <v>2518</v>
      </c>
      <c r="C863" s="26">
        <v>131057</v>
      </c>
      <c r="D863" s="25" t="s">
        <v>2342</v>
      </c>
      <c r="E863" s="25" t="s">
        <v>2340</v>
      </c>
      <c r="F863" s="26" t="s">
        <v>90</v>
      </c>
      <c r="G863" s="26" t="s">
        <v>90</v>
      </c>
      <c r="H863" s="26">
        <v>1</v>
      </c>
      <c r="I863" s="26">
        <v>2</v>
      </c>
      <c r="J863" s="26">
        <v>1</v>
      </c>
      <c r="K863" s="26">
        <v>138</v>
      </c>
      <c r="L863" s="26" t="s">
        <v>28</v>
      </c>
      <c r="M863" s="27">
        <v>2398</v>
      </c>
      <c r="N863" s="30">
        <v>151330.76999999999</v>
      </c>
      <c r="O863" s="26" t="s">
        <v>29</v>
      </c>
      <c r="P863" s="29"/>
      <c r="Q863" s="6"/>
      <c r="R863" s="29"/>
      <c r="S863" s="10"/>
      <c r="T863" s="8">
        <v>1</v>
      </c>
    </row>
    <row r="864" spans="1:26" ht="15.75" customHeight="1" outlineLevel="2" x14ac:dyDescent="0.35">
      <c r="A864" s="25" t="s">
        <v>2084</v>
      </c>
      <c r="B864" s="25" t="s">
        <v>2518</v>
      </c>
      <c r="C864" s="26">
        <v>131125</v>
      </c>
      <c r="D864" s="25" t="s">
        <v>2352</v>
      </c>
      <c r="E864" s="25" t="s">
        <v>2353</v>
      </c>
      <c r="F864" s="26" t="s">
        <v>90</v>
      </c>
      <c r="G864" s="26" t="s">
        <v>90</v>
      </c>
      <c r="H864" s="26">
        <v>1</v>
      </c>
      <c r="I864" s="26">
        <v>1</v>
      </c>
      <c r="J864" s="26">
        <v>1</v>
      </c>
      <c r="K864" s="26">
        <v>138</v>
      </c>
      <c r="L864" s="26" t="s">
        <v>28</v>
      </c>
      <c r="M864" s="27">
        <v>2395</v>
      </c>
      <c r="N864" s="30">
        <v>421377.59</v>
      </c>
      <c r="O864" s="26" t="s">
        <v>29</v>
      </c>
      <c r="P864" s="29"/>
      <c r="Q864" s="6"/>
      <c r="R864" s="29"/>
      <c r="S864" s="10"/>
      <c r="T864" s="8">
        <v>1</v>
      </c>
    </row>
    <row r="865" spans="1:26" ht="15.75" customHeight="1" outlineLevel="2" x14ac:dyDescent="0.35">
      <c r="A865" s="25" t="s">
        <v>2084</v>
      </c>
      <c r="B865" s="25" t="s">
        <v>2518</v>
      </c>
      <c r="C865" s="26">
        <v>131170</v>
      </c>
      <c r="D865" s="25" t="s">
        <v>2357</v>
      </c>
      <c r="E865" s="25" t="s">
        <v>2355</v>
      </c>
      <c r="F865" s="26" t="s">
        <v>90</v>
      </c>
      <c r="G865" s="26" t="s">
        <v>90</v>
      </c>
      <c r="H865" s="26">
        <v>1</v>
      </c>
      <c r="I865" s="26">
        <v>3</v>
      </c>
      <c r="J865" s="26">
        <v>1</v>
      </c>
      <c r="K865" s="26">
        <v>138</v>
      </c>
      <c r="L865" s="26" t="s">
        <v>28</v>
      </c>
      <c r="M865" s="27">
        <v>2393</v>
      </c>
      <c r="N865" s="30">
        <v>240299.44</v>
      </c>
      <c r="O865" s="26" t="s">
        <v>29</v>
      </c>
      <c r="P865" s="29"/>
      <c r="Q865" s="6"/>
      <c r="R865" s="29"/>
      <c r="S865" s="10"/>
      <c r="T865" s="8">
        <v>1</v>
      </c>
    </row>
    <row r="866" spans="1:26" ht="15.75" customHeight="1" outlineLevel="2" x14ac:dyDescent="0.35">
      <c r="A866" s="25" t="s">
        <v>2084</v>
      </c>
      <c r="B866" s="25" t="s">
        <v>2518</v>
      </c>
      <c r="C866" s="26">
        <v>209029</v>
      </c>
      <c r="D866" s="25" t="s">
        <v>2367</v>
      </c>
      <c r="E866" s="25" t="s">
        <v>2348</v>
      </c>
      <c r="F866" s="26" t="s">
        <v>215</v>
      </c>
      <c r="G866" s="26" t="s">
        <v>215</v>
      </c>
      <c r="H866" s="26">
        <v>1</v>
      </c>
      <c r="I866" s="26">
        <v>2</v>
      </c>
      <c r="J866" s="26">
        <v>1</v>
      </c>
      <c r="K866" s="26">
        <v>138</v>
      </c>
      <c r="L866" s="26" t="s">
        <v>28</v>
      </c>
      <c r="M866" s="27">
        <v>2371</v>
      </c>
      <c r="N866" s="30">
        <v>151330.76999999999</v>
      </c>
      <c r="O866" s="26" t="s">
        <v>29</v>
      </c>
      <c r="P866" s="29"/>
      <c r="Q866" s="6"/>
      <c r="R866" s="29"/>
      <c r="S866" s="10"/>
      <c r="T866" s="8">
        <v>1</v>
      </c>
    </row>
    <row r="867" spans="1:26" ht="15.75" customHeight="1" outlineLevel="2" x14ac:dyDescent="0.35">
      <c r="A867" s="25" t="s">
        <v>2084</v>
      </c>
      <c r="B867" s="25" t="s">
        <v>2518</v>
      </c>
      <c r="C867" s="26">
        <v>209036</v>
      </c>
      <c r="D867" s="25" t="s">
        <v>2370</v>
      </c>
      <c r="E867" s="25" t="s">
        <v>237</v>
      </c>
      <c r="F867" s="26" t="s">
        <v>90</v>
      </c>
      <c r="G867" s="26" t="s">
        <v>90</v>
      </c>
      <c r="H867" s="26">
        <v>1</v>
      </c>
      <c r="I867" s="26">
        <v>2</v>
      </c>
      <c r="J867" s="26">
        <v>1</v>
      </c>
      <c r="K867" s="26">
        <v>138</v>
      </c>
      <c r="L867" s="26" t="s">
        <v>28</v>
      </c>
      <c r="M867" s="27">
        <v>2409</v>
      </c>
      <c r="N867" s="30">
        <v>477676.74</v>
      </c>
      <c r="O867" s="26" t="s">
        <v>29</v>
      </c>
      <c r="P867" s="29"/>
      <c r="Q867" s="6"/>
      <c r="R867" s="29"/>
      <c r="S867" s="10"/>
      <c r="T867" s="8">
        <v>1</v>
      </c>
    </row>
    <row r="868" spans="1:26" ht="15.75" customHeight="1" outlineLevel="2" x14ac:dyDescent="0.35">
      <c r="A868" s="25" t="s">
        <v>2084</v>
      </c>
      <c r="B868" s="25" t="s">
        <v>2518</v>
      </c>
      <c r="C868" s="26">
        <v>316801</v>
      </c>
      <c r="D868" s="25" t="s">
        <v>2371</v>
      </c>
      <c r="E868" s="25" t="s">
        <v>2337</v>
      </c>
      <c r="F868" s="26" t="s">
        <v>215</v>
      </c>
      <c r="G868" s="26" t="s">
        <v>215</v>
      </c>
      <c r="H868" s="26">
        <v>1</v>
      </c>
      <c r="I868" s="26">
        <v>2</v>
      </c>
      <c r="J868" s="26">
        <v>1</v>
      </c>
      <c r="K868" s="26">
        <v>138</v>
      </c>
      <c r="L868" s="26" t="s">
        <v>28</v>
      </c>
      <c r="M868" s="27">
        <v>2373</v>
      </c>
      <c r="N868" s="30">
        <v>477676.74</v>
      </c>
      <c r="O868" s="26" t="s">
        <v>29</v>
      </c>
      <c r="P868" s="29"/>
      <c r="Q868" s="6"/>
      <c r="R868" s="29"/>
      <c r="S868" s="10"/>
      <c r="T868" s="8">
        <v>1</v>
      </c>
    </row>
    <row r="869" spans="1:26" ht="15.75" customHeight="1" outlineLevel="1" x14ac:dyDescent="0.35">
      <c r="A869" s="25"/>
      <c r="B869" s="53" t="s">
        <v>2519</v>
      </c>
      <c r="C869" s="26"/>
      <c r="D869" s="25"/>
      <c r="E869" s="25"/>
      <c r="F869" s="26"/>
      <c r="G869" s="26"/>
      <c r="H869" s="26">
        <f t="shared" ref="H869:I869" si="45">SUBTOTAL(9,H856:H868)</f>
        <v>13</v>
      </c>
      <c r="I869" s="26">
        <f t="shared" si="45"/>
        <v>23</v>
      </c>
      <c r="J869" s="26"/>
      <c r="K869" s="26"/>
      <c r="L869" s="26"/>
      <c r="M869" s="27"/>
      <c r="N869" s="30">
        <f>SUBTOTAL(9,N856:N868)</f>
        <v>3503597.4699999997</v>
      </c>
      <c r="O869" s="26"/>
      <c r="P869" s="29"/>
      <c r="Q869" s="6"/>
      <c r="R869" s="29"/>
      <c r="S869" s="10"/>
      <c r="T869" s="8"/>
    </row>
    <row r="870" spans="1:26" ht="25.5" customHeight="1" x14ac:dyDescent="0.35">
      <c r="A870" s="19"/>
      <c r="B870" s="19"/>
      <c r="C870" s="19"/>
      <c r="D870" s="50"/>
      <c r="E870" s="50"/>
      <c r="F870" s="19"/>
      <c r="G870" s="19"/>
      <c r="H870" s="48"/>
      <c r="I870" s="48"/>
      <c r="J870" s="19"/>
      <c r="K870" s="48"/>
      <c r="L870" s="54"/>
      <c r="M870" s="48"/>
      <c r="N870" s="48"/>
      <c r="O870" s="19"/>
      <c r="P870" s="45"/>
      <c r="Q870" s="51"/>
      <c r="R870" s="26"/>
      <c r="S870" s="55"/>
      <c r="T870" s="44"/>
      <c r="U870" s="54"/>
      <c r="V870" s="50"/>
      <c r="W870" s="19"/>
      <c r="X870" s="19"/>
      <c r="Y870" s="19"/>
      <c r="Z870" s="19"/>
    </row>
    <row r="871" spans="1:26" ht="25.5" customHeight="1" x14ac:dyDescent="0.35">
      <c r="A871" s="19"/>
      <c r="B871" s="56" t="s">
        <v>2377</v>
      </c>
      <c r="C871" s="19"/>
      <c r="D871" s="50"/>
      <c r="E871" s="50"/>
      <c r="F871" s="57"/>
      <c r="G871" s="57"/>
      <c r="H871" s="171" t="s">
        <v>2377</v>
      </c>
      <c r="I871" s="172"/>
      <c r="J871" s="19"/>
      <c r="K871" s="48"/>
      <c r="L871" s="54"/>
      <c r="M871" s="48"/>
      <c r="N871" s="48"/>
      <c r="O871" s="19"/>
      <c r="P871" s="51"/>
      <c r="Q871" s="51"/>
      <c r="R871" s="26"/>
      <c r="S871" s="55"/>
      <c r="T871" s="44"/>
      <c r="U871" s="54"/>
      <c r="V871" s="50"/>
      <c r="W871" s="19"/>
      <c r="X871" s="19"/>
      <c r="Y871" s="19"/>
      <c r="Z871" s="19"/>
    </row>
    <row r="872" spans="1:26" ht="25.5" customHeight="1" x14ac:dyDescent="0.35">
      <c r="A872" s="19"/>
      <c r="B872" s="19"/>
      <c r="C872" s="19"/>
      <c r="D872" s="50"/>
      <c r="E872" s="50"/>
      <c r="F872" s="19"/>
      <c r="G872" s="19"/>
      <c r="H872" s="19"/>
      <c r="I872" s="19"/>
      <c r="J872" s="19"/>
      <c r="K872" s="48"/>
      <c r="L872" s="54"/>
      <c r="M872" s="48"/>
      <c r="N872" s="48"/>
      <c r="O872" s="19"/>
      <c r="P872" s="51"/>
      <c r="Q872" s="51"/>
      <c r="R872" s="26"/>
      <c r="S872" s="55"/>
      <c r="T872" s="44"/>
      <c r="U872" s="54"/>
      <c r="V872" s="50"/>
      <c r="W872" s="19"/>
      <c r="X872" s="19"/>
      <c r="Y872" s="19"/>
      <c r="Z872" s="19"/>
    </row>
    <row r="873" spans="1:26" ht="25.5" customHeight="1" x14ac:dyDescent="0.35">
      <c r="A873" s="19"/>
      <c r="B873" s="19"/>
      <c r="C873" s="19"/>
      <c r="D873" s="50"/>
      <c r="E873" s="50"/>
      <c r="F873" s="19"/>
      <c r="G873" s="19"/>
      <c r="H873" s="48"/>
      <c r="I873" s="48"/>
      <c r="J873" s="19"/>
      <c r="K873" s="48"/>
      <c r="L873" s="54"/>
      <c r="M873" s="48"/>
      <c r="N873" s="48"/>
      <c r="O873" s="19"/>
      <c r="P873" s="51"/>
      <c r="Q873" s="51"/>
      <c r="R873" s="26"/>
      <c r="S873" s="55"/>
      <c r="T873" s="44"/>
      <c r="U873" s="54"/>
      <c r="V873" s="50"/>
      <c r="W873" s="19"/>
      <c r="X873" s="19"/>
      <c r="Y873" s="19"/>
      <c r="Z873" s="19"/>
    </row>
    <row r="874" spans="1:26" ht="25.5" customHeight="1" x14ac:dyDescent="0.35">
      <c r="A874" s="19"/>
      <c r="B874" s="19"/>
      <c r="C874" s="58"/>
      <c r="D874" s="78" t="s">
        <v>2432</v>
      </c>
      <c r="E874" s="50"/>
      <c r="F874" s="19"/>
      <c r="G874" s="19"/>
      <c r="H874" s="48"/>
      <c r="I874" s="48"/>
      <c r="J874" s="19"/>
      <c r="K874" s="48"/>
      <c r="L874" s="54"/>
      <c r="M874" s="173" t="s">
        <v>2433</v>
      </c>
      <c r="N874" s="172"/>
      <c r="O874" s="172"/>
      <c r="P874" s="51"/>
      <c r="Q874" s="51"/>
      <c r="R874" s="26"/>
      <c r="S874" s="55"/>
      <c r="T874" s="44"/>
      <c r="U874" s="54"/>
      <c r="V874" s="50"/>
      <c r="W874" s="19"/>
      <c r="X874" s="19"/>
      <c r="Y874" s="19"/>
      <c r="Z874" s="19"/>
    </row>
    <row r="875" spans="1:26" ht="29.25" customHeight="1" x14ac:dyDescent="0.35">
      <c r="A875" s="19"/>
      <c r="B875" s="19"/>
      <c r="C875" s="59"/>
      <c r="D875" s="56" t="s">
        <v>2434</v>
      </c>
      <c r="E875" s="60"/>
      <c r="F875" s="56"/>
      <c r="G875" s="56"/>
      <c r="H875" s="61"/>
      <c r="I875" s="61"/>
      <c r="J875" s="56"/>
      <c r="K875" s="61"/>
      <c r="L875" s="62"/>
      <c r="M875" s="174" t="s">
        <v>2435</v>
      </c>
      <c r="N875" s="172"/>
      <c r="O875" s="172"/>
      <c r="P875" s="63"/>
      <c r="Q875" s="51"/>
      <c r="R875" s="26"/>
      <c r="S875" s="55"/>
      <c r="T875" s="44"/>
      <c r="U875" s="54"/>
      <c r="V875" s="50"/>
      <c r="W875" s="19"/>
      <c r="X875" s="19"/>
      <c r="Y875" s="19"/>
      <c r="Z875" s="19"/>
    </row>
    <row r="876" spans="1:26" ht="15.75" customHeight="1" outlineLevel="2" x14ac:dyDescent="0.35">
      <c r="A876" s="25" t="s">
        <v>409</v>
      </c>
      <c r="B876" s="25" t="s">
        <v>2456</v>
      </c>
      <c r="C876" s="31" t="s">
        <v>484</v>
      </c>
      <c r="D876" s="32" t="s">
        <v>485</v>
      </c>
      <c r="E876" s="32" t="s">
        <v>486</v>
      </c>
      <c r="F876" s="26" t="s">
        <v>469</v>
      </c>
      <c r="G876" s="33"/>
      <c r="H876" s="26">
        <v>1</v>
      </c>
      <c r="I876" s="47">
        <v>2</v>
      </c>
      <c r="J876" s="29"/>
      <c r="K876" s="10"/>
      <c r="L876" s="10"/>
      <c r="M876" s="11"/>
      <c r="N876" s="34">
        <v>190649.72</v>
      </c>
      <c r="O876" s="26" t="s">
        <v>29</v>
      </c>
      <c r="P876" s="29" t="s">
        <v>163</v>
      </c>
      <c r="Q876" s="6"/>
      <c r="R876" s="29"/>
      <c r="S876" s="10"/>
      <c r="T876" s="8">
        <v>1</v>
      </c>
      <c r="U876" s="36" t="s">
        <v>487</v>
      </c>
    </row>
    <row r="877" spans="1:26" ht="15.75" customHeight="1" outlineLevel="1" x14ac:dyDescent="0.35">
      <c r="A877" s="25"/>
      <c r="B877" s="53" t="s">
        <v>2457</v>
      </c>
      <c r="C877" s="31"/>
      <c r="D877" s="32"/>
      <c r="E877" s="32"/>
      <c r="F877" s="26"/>
      <c r="G877" s="33"/>
      <c r="H877" s="26">
        <f t="shared" ref="H877:I877" si="46">SUBTOTAL(9,H876)</f>
        <v>1</v>
      </c>
      <c r="I877" s="47">
        <f t="shared" si="46"/>
        <v>2</v>
      </c>
      <c r="J877" s="29"/>
      <c r="K877" s="10"/>
      <c r="L877" s="10"/>
      <c r="M877" s="11"/>
      <c r="N877" s="34">
        <f>SUBTOTAL(9,N876)</f>
        <v>190649.72</v>
      </c>
      <c r="O877" s="26"/>
      <c r="P877" s="29"/>
      <c r="Q877" s="6"/>
      <c r="R877" s="29"/>
      <c r="S877" s="10"/>
      <c r="T877" s="8"/>
    </row>
    <row r="878" spans="1:26" ht="25.5" customHeight="1" x14ac:dyDescent="0.35">
      <c r="A878" s="19"/>
      <c r="B878" s="19"/>
      <c r="C878" s="19"/>
      <c r="D878" s="50"/>
      <c r="E878" s="50"/>
      <c r="F878" s="19"/>
      <c r="G878" s="19"/>
      <c r="H878" s="48"/>
      <c r="I878" s="48"/>
      <c r="J878" s="19"/>
      <c r="K878" s="48"/>
      <c r="L878" s="54"/>
      <c r="M878" s="48"/>
      <c r="N878" s="48"/>
      <c r="O878" s="19"/>
      <c r="P878" s="45"/>
      <c r="Q878" s="51"/>
      <c r="R878" s="26"/>
      <c r="S878" s="55"/>
      <c r="T878" s="44"/>
      <c r="U878" s="54"/>
      <c r="V878" s="50"/>
      <c r="W878" s="19"/>
      <c r="X878" s="19"/>
      <c r="Y878" s="19"/>
      <c r="Z878" s="19"/>
    </row>
    <row r="879" spans="1:26" ht="25.5" customHeight="1" x14ac:dyDescent="0.35">
      <c r="A879" s="19"/>
      <c r="B879" s="56" t="s">
        <v>2377</v>
      </c>
      <c r="C879" s="19"/>
      <c r="D879" s="50"/>
      <c r="E879" s="50"/>
      <c r="F879" s="57"/>
      <c r="G879" s="57"/>
      <c r="H879" s="171" t="s">
        <v>2377</v>
      </c>
      <c r="I879" s="172"/>
      <c r="J879" s="19"/>
      <c r="K879" s="48"/>
      <c r="L879" s="54"/>
      <c r="M879" s="48"/>
      <c r="N879" s="48"/>
      <c r="O879" s="19"/>
      <c r="P879" s="51"/>
      <c r="Q879" s="51"/>
      <c r="R879" s="26"/>
      <c r="S879" s="55"/>
      <c r="T879" s="44"/>
      <c r="U879" s="54"/>
      <c r="V879" s="50"/>
      <c r="W879" s="19"/>
      <c r="X879" s="19"/>
      <c r="Y879" s="19"/>
      <c r="Z879" s="19"/>
    </row>
    <row r="880" spans="1:26" ht="25.5" customHeight="1" x14ac:dyDescent="0.35">
      <c r="A880" s="19"/>
      <c r="B880" s="19"/>
      <c r="C880" s="19"/>
      <c r="D880" s="50"/>
      <c r="E880" s="50"/>
      <c r="F880" s="19"/>
      <c r="G880" s="19"/>
      <c r="H880" s="19"/>
      <c r="I880" s="19"/>
      <c r="J880" s="19"/>
      <c r="K880" s="48"/>
      <c r="L880" s="54"/>
      <c r="M880" s="48"/>
      <c r="N880" s="48"/>
      <c r="O880" s="19"/>
      <c r="P880" s="51"/>
      <c r="Q880" s="51"/>
      <c r="R880" s="26"/>
      <c r="S880" s="55"/>
      <c r="T880" s="44"/>
      <c r="U880" s="54"/>
      <c r="V880" s="50"/>
      <c r="W880" s="19"/>
      <c r="X880" s="19"/>
      <c r="Y880" s="19"/>
      <c r="Z880" s="19"/>
    </row>
    <row r="881" spans="1:26" ht="25.5" customHeight="1" x14ac:dyDescent="0.35">
      <c r="A881" s="19"/>
      <c r="B881" s="19"/>
      <c r="C881" s="19"/>
      <c r="D881" s="50"/>
      <c r="E881" s="50"/>
      <c r="F881" s="19"/>
      <c r="G881" s="19"/>
      <c r="H881" s="48"/>
      <c r="I881" s="48"/>
      <c r="J881" s="19"/>
      <c r="K881" s="48"/>
      <c r="L881" s="54"/>
      <c r="M881" s="48"/>
      <c r="N881" s="48"/>
      <c r="O881" s="19"/>
      <c r="P881" s="51"/>
      <c r="Q881" s="51"/>
      <c r="R881" s="26"/>
      <c r="S881" s="55"/>
      <c r="T881" s="44"/>
      <c r="U881" s="54"/>
      <c r="V881" s="50"/>
      <c r="W881" s="19"/>
      <c r="X881" s="19"/>
      <c r="Y881" s="19"/>
      <c r="Z881" s="19"/>
    </row>
    <row r="882" spans="1:26" ht="25.5" customHeight="1" x14ac:dyDescent="0.35">
      <c r="A882" s="19"/>
      <c r="B882" s="19"/>
      <c r="C882" s="58"/>
      <c r="D882" s="78" t="s">
        <v>2432</v>
      </c>
      <c r="E882" s="50"/>
      <c r="F882" s="19"/>
      <c r="G882" s="19"/>
      <c r="H882" s="48"/>
      <c r="I882" s="48"/>
      <c r="J882" s="19"/>
      <c r="K882" s="48"/>
      <c r="L882" s="54"/>
      <c r="M882" s="173" t="s">
        <v>2433</v>
      </c>
      <c r="N882" s="172"/>
      <c r="O882" s="172"/>
      <c r="P882" s="51"/>
      <c r="Q882" s="51"/>
      <c r="R882" s="26"/>
      <c r="S882" s="55"/>
      <c r="T882" s="44"/>
      <c r="U882" s="54"/>
      <c r="V882" s="50"/>
      <c r="W882" s="19"/>
      <c r="X882" s="19"/>
      <c r="Y882" s="19"/>
      <c r="Z882" s="19"/>
    </row>
    <row r="883" spans="1:26" ht="29.25" customHeight="1" x14ac:dyDescent="0.35">
      <c r="A883" s="19"/>
      <c r="B883" s="19"/>
      <c r="C883" s="59"/>
      <c r="D883" s="56" t="s">
        <v>2434</v>
      </c>
      <c r="E883" s="60"/>
      <c r="F883" s="56"/>
      <c r="G883" s="56"/>
      <c r="H883" s="61"/>
      <c r="I883" s="61"/>
      <c r="J883" s="56"/>
      <c r="K883" s="61"/>
      <c r="L883" s="62"/>
      <c r="M883" s="174" t="s">
        <v>2435</v>
      </c>
      <c r="N883" s="172"/>
      <c r="O883" s="172"/>
      <c r="P883" s="63"/>
      <c r="Q883" s="51"/>
      <c r="R883" s="26"/>
      <c r="S883" s="55"/>
      <c r="T883" s="44"/>
      <c r="U883" s="54"/>
      <c r="V883" s="50"/>
      <c r="W883" s="19"/>
      <c r="X883" s="19"/>
      <c r="Y883" s="19"/>
      <c r="Z883" s="19"/>
    </row>
    <row r="884" spans="1:26" ht="15.75" customHeight="1" x14ac:dyDescent="0.35">
      <c r="C884" s="40"/>
      <c r="D884" s="41"/>
      <c r="E884" s="41"/>
      <c r="G884" s="46"/>
      <c r="H884" s="46"/>
      <c r="I884" s="49"/>
      <c r="J884" s="36"/>
      <c r="K884" s="3"/>
      <c r="L884" s="3"/>
      <c r="M884" s="4"/>
      <c r="N884" s="42"/>
      <c r="P884" s="36"/>
      <c r="Q884" s="1"/>
      <c r="S884" s="3"/>
      <c r="T884" s="7"/>
    </row>
    <row r="885" spans="1:26" ht="15.75" customHeight="1" x14ac:dyDescent="0.35">
      <c r="C885" s="40"/>
      <c r="D885" s="41"/>
      <c r="E885" s="41"/>
      <c r="G885" s="46"/>
      <c r="H885" s="46"/>
      <c r="I885" s="49"/>
      <c r="J885" s="36"/>
      <c r="K885" s="3"/>
      <c r="L885" s="3"/>
      <c r="M885" s="4"/>
      <c r="N885" s="42"/>
      <c r="P885" s="36"/>
      <c r="Q885" s="1"/>
      <c r="S885" s="3"/>
      <c r="T885" s="7"/>
    </row>
    <row r="886" spans="1:26" ht="15.75" customHeight="1" x14ac:dyDescent="0.35">
      <c r="C886" s="40"/>
      <c r="D886" s="41"/>
      <c r="E886" s="41"/>
      <c r="G886" s="46"/>
      <c r="H886" s="46"/>
      <c r="I886" s="49"/>
      <c r="J886" s="36"/>
      <c r="K886" s="3"/>
      <c r="L886" s="3"/>
      <c r="M886" s="4"/>
      <c r="N886" s="42"/>
      <c r="P886" s="36"/>
      <c r="Q886" s="1"/>
      <c r="S886" s="3"/>
      <c r="T886" s="7"/>
    </row>
    <row r="887" spans="1:26" ht="15.75" customHeight="1" x14ac:dyDescent="0.35">
      <c r="C887" s="40"/>
      <c r="D887" s="41"/>
      <c r="E887" s="41"/>
      <c r="G887" s="46"/>
      <c r="H887" s="46"/>
      <c r="I887" s="49"/>
      <c r="J887" s="36"/>
      <c r="K887" s="3"/>
      <c r="L887" s="3"/>
      <c r="M887" s="4"/>
      <c r="N887" s="42"/>
      <c r="P887" s="36"/>
      <c r="Q887" s="1"/>
      <c r="S887" s="3"/>
      <c r="T887" s="7"/>
    </row>
    <row r="888" spans="1:26" ht="15.75" customHeight="1" x14ac:dyDescent="0.35">
      <c r="C888" s="40"/>
      <c r="D888" s="41"/>
      <c r="E888" s="41"/>
      <c r="G888" s="46"/>
      <c r="H888" s="46"/>
      <c r="I888" s="49"/>
      <c r="J888" s="36"/>
      <c r="K888" s="3"/>
      <c r="L888" s="3"/>
      <c r="M888" s="4"/>
      <c r="N888" s="42"/>
      <c r="P888" s="36"/>
      <c r="Q888" s="1"/>
      <c r="S888" s="3"/>
      <c r="T888" s="7"/>
    </row>
    <row r="889" spans="1:26" ht="15.75" customHeight="1" x14ac:dyDescent="0.35">
      <c r="C889" s="40"/>
      <c r="D889" s="41"/>
      <c r="E889" s="41"/>
      <c r="G889" s="46"/>
      <c r="H889" s="46"/>
      <c r="I889" s="49"/>
      <c r="J889" s="36"/>
      <c r="K889" s="3"/>
      <c r="L889" s="3"/>
      <c r="M889" s="4"/>
      <c r="N889" s="42"/>
      <c r="P889" s="36"/>
      <c r="Q889" s="1"/>
      <c r="S889" s="3"/>
      <c r="T889" s="7"/>
    </row>
    <row r="890" spans="1:26" ht="15.75" customHeight="1" x14ac:dyDescent="0.35">
      <c r="C890" s="40"/>
      <c r="D890" s="41"/>
      <c r="E890" s="41"/>
      <c r="G890" s="46"/>
      <c r="H890" s="46"/>
      <c r="I890" s="49"/>
      <c r="J890" s="36"/>
      <c r="K890" s="3"/>
      <c r="L890" s="3"/>
      <c r="M890" s="4"/>
      <c r="N890" s="42"/>
      <c r="P890" s="36"/>
      <c r="Q890" s="1"/>
      <c r="S890" s="3"/>
      <c r="T890" s="7"/>
    </row>
    <row r="891" spans="1:26" ht="15.75" customHeight="1" x14ac:dyDescent="0.35">
      <c r="C891" s="40"/>
      <c r="D891" s="41"/>
      <c r="E891" s="41"/>
      <c r="G891" s="46"/>
      <c r="H891" s="46"/>
      <c r="I891" s="49"/>
      <c r="J891" s="36"/>
      <c r="K891" s="3"/>
      <c r="L891" s="3"/>
      <c r="M891" s="4"/>
      <c r="N891" s="42"/>
      <c r="P891" s="36"/>
      <c r="Q891" s="1"/>
      <c r="S891" s="3"/>
      <c r="T891" s="7"/>
    </row>
    <row r="892" spans="1:26" ht="15.75" customHeight="1" x14ac:dyDescent="0.35">
      <c r="C892" s="40"/>
      <c r="D892" s="41"/>
      <c r="E892" s="41"/>
      <c r="G892" s="46"/>
      <c r="H892" s="46"/>
      <c r="I892" s="49"/>
      <c r="J892" s="36"/>
      <c r="K892" s="3"/>
      <c r="L892" s="3"/>
      <c r="M892" s="4"/>
      <c r="N892" s="42"/>
      <c r="P892" s="36"/>
      <c r="Q892" s="1"/>
      <c r="S892" s="3"/>
      <c r="T892" s="7"/>
    </row>
    <row r="893" spans="1:26" ht="15.75" customHeight="1" x14ac:dyDescent="0.35">
      <c r="C893" s="40"/>
      <c r="D893" s="41"/>
      <c r="E893" s="41"/>
      <c r="G893" s="46"/>
      <c r="H893" s="46"/>
      <c r="I893" s="49"/>
      <c r="J893" s="36"/>
      <c r="K893" s="3"/>
      <c r="L893" s="3"/>
      <c r="M893" s="4"/>
      <c r="N893" s="42"/>
      <c r="P893" s="36"/>
      <c r="Q893" s="1"/>
      <c r="S893" s="3"/>
      <c r="T893" s="7"/>
    </row>
    <row r="894" spans="1:26" ht="15.75" customHeight="1" x14ac:dyDescent="0.35">
      <c r="C894" s="40"/>
      <c r="D894" s="41"/>
      <c r="E894" s="41"/>
      <c r="G894" s="46"/>
      <c r="H894" s="46"/>
      <c r="I894" s="49"/>
      <c r="J894" s="36"/>
      <c r="K894" s="3"/>
      <c r="L894" s="3"/>
      <c r="M894" s="4"/>
      <c r="N894" s="42"/>
      <c r="P894" s="36"/>
      <c r="Q894" s="1"/>
      <c r="S894" s="3"/>
      <c r="T894" s="7"/>
    </row>
    <row r="895" spans="1:26" ht="15.75" customHeight="1" x14ac:dyDescent="0.35">
      <c r="C895" s="40"/>
      <c r="D895" s="41"/>
      <c r="E895" s="41"/>
      <c r="G895" s="46"/>
      <c r="H895" s="46"/>
      <c r="I895" s="49"/>
      <c r="J895" s="36"/>
      <c r="K895" s="3"/>
      <c r="L895" s="3"/>
      <c r="M895" s="4"/>
      <c r="N895" s="42"/>
      <c r="P895" s="36"/>
      <c r="Q895" s="1"/>
      <c r="S895" s="3"/>
      <c r="T895" s="7"/>
    </row>
    <row r="896" spans="1:26" ht="15.75" customHeight="1" x14ac:dyDescent="0.35">
      <c r="C896" s="40"/>
      <c r="D896" s="41"/>
      <c r="E896" s="41"/>
      <c r="G896" s="46"/>
      <c r="H896" s="46"/>
      <c r="I896" s="49"/>
      <c r="J896" s="36"/>
      <c r="K896" s="3"/>
      <c r="L896" s="3"/>
      <c r="M896" s="4"/>
      <c r="N896" s="42"/>
      <c r="P896" s="36"/>
      <c r="Q896" s="1"/>
      <c r="S896" s="3"/>
      <c r="T896" s="7"/>
    </row>
    <row r="897" spans="3:20" ht="15.75" customHeight="1" x14ac:dyDescent="0.35">
      <c r="C897" s="40"/>
      <c r="D897" s="41"/>
      <c r="E897" s="41"/>
      <c r="G897" s="46"/>
      <c r="H897" s="46"/>
      <c r="I897" s="49"/>
      <c r="J897" s="36"/>
      <c r="K897" s="3"/>
      <c r="L897" s="3"/>
      <c r="M897" s="4"/>
      <c r="N897" s="42"/>
      <c r="P897" s="36"/>
      <c r="Q897" s="1"/>
      <c r="S897" s="3"/>
      <c r="T897" s="7"/>
    </row>
    <row r="898" spans="3:20" ht="15.75" customHeight="1" x14ac:dyDescent="0.35">
      <c r="C898" s="40"/>
      <c r="D898" s="41"/>
      <c r="E898" s="41"/>
      <c r="G898" s="46"/>
      <c r="H898" s="46"/>
      <c r="I898" s="49"/>
      <c r="J898" s="36"/>
      <c r="K898" s="3"/>
      <c r="L898" s="3"/>
      <c r="M898" s="4"/>
      <c r="N898" s="42"/>
      <c r="P898" s="36"/>
      <c r="Q898" s="1"/>
      <c r="S898" s="3"/>
      <c r="T898" s="7"/>
    </row>
    <row r="899" spans="3:20" ht="15.75" customHeight="1" x14ac:dyDescent="0.35">
      <c r="C899" s="40"/>
      <c r="D899" s="41"/>
      <c r="E899" s="41"/>
      <c r="G899" s="46"/>
      <c r="H899" s="46"/>
      <c r="I899" s="49"/>
      <c r="J899" s="36"/>
      <c r="K899" s="3"/>
      <c r="L899" s="3"/>
      <c r="M899" s="4"/>
      <c r="N899" s="42"/>
      <c r="P899" s="36"/>
      <c r="Q899" s="1"/>
      <c r="S899" s="3"/>
      <c r="T899" s="7"/>
    </row>
    <row r="900" spans="3:20" ht="15.75" customHeight="1" x14ac:dyDescent="0.35">
      <c r="C900" s="40"/>
      <c r="D900" s="41"/>
      <c r="E900" s="41"/>
      <c r="G900" s="46"/>
      <c r="H900" s="46"/>
      <c r="I900" s="49"/>
      <c r="J900" s="36"/>
      <c r="K900" s="3"/>
      <c r="L900" s="3"/>
      <c r="M900" s="4"/>
      <c r="N900" s="42"/>
      <c r="P900" s="36"/>
      <c r="Q900" s="1"/>
      <c r="S900" s="3"/>
      <c r="T900" s="7"/>
    </row>
    <row r="901" spans="3:20" ht="15.75" customHeight="1" x14ac:dyDescent="0.35">
      <c r="C901" s="40"/>
      <c r="D901" s="41"/>
      <c r="E901" s="41"/>
      <c r="G901" s="46"/>
      <c r="H901" s="46"/>
      <c r="I901" s="49"/>
      <c r="J901" s="36"/>
      <c r="K901" s="3"/>
      <c r="L901" s="3"/>
      <c r="M901" s="4"/>
      <c r="N901" s="42"/>
      <c r="P901" s="36"/>
      <c r="Q901" s="1"/>
      <c r="S901" s="3"/>
      <c r="T901" s="7"/>
    </row>
    <row r="902" spans="3:20" ht="15.75" customHeight="1" x14ac:dyDescent="0.35">
      <c r="C902" s="40"/>
      <c r="D902" s="41"/>
      <c r="E902" s="41"/>
      <c r="G902" s="46"/>
      <c r="H902" s="46"/>
      <c r="I902" s="49"/>
      <c r="J902" s="36"/>
      <c r="K902" s="3"/>
      <c r="L902" s="3"/>
      <c r="M902" s="4"/>
      <c r="N902" s="42"/>
      <c r="P902" s="36"/>
      <c r="Q902" s="1"/>
      <c r="S902" s="3"/>
      <c r="T902" s="7"/>
    </row>
    <row r="903" spans="3:20" ht="15.75" customHeight="1" x14ac:dyDescent="0.35">
      <c r="C903" s="40"/>
      <c r="D903" s="41"/>
      <c r="E903" s="41"/>
      <c r="G903" s="46"/>
      <c r="H903" s="46"/>
      <c r="I903" s="49"/>
      <c r="J903" s="36"/>
      <c r="K903" s="3"/>
      <c r="L903" s="3"/>
      <c r="M903" s="4"/>
      <c r="N903" s="42"/>
      <c r="P903" s="36"/>
      <c r="Q903" s="1"/>
      <c r="S903" s="3"/>
      <c r="T903" s="7"/>
    </row>
    <row r="904" spans="3:20" ht="15.75" customHeight="1" x14ac:dyDescent="0.35">
      <c r="C904" s="40"/>
      <c r="D904" s="41"/>
      <c r="E904" s="41"/>
      <c r="G904" s="46"/>
      <c r="H904" s="46"/>
      <c r="I904" s="49"/>
      <c r="J904" s="36"/>
      <c r="K904" s="3"/>
      <c r="L904" s="3"/>
      <c r="M904" s="4"/>
      <c r="N904" s="42"/>
      <c r="P904" s="36"/>
      <c r="Q904" s="1"/>
      <c r="S904" s="3"/>
      <c r="T904" s="7"/>
    </row>
    <row r="905" spans="3:20" ht="15.75" customHeight="1" x14ac:dyDescent="0.35">
      <c r="C905" s="40"/>
      <c r="D905" s="41"/>
      <c r="E905" s="41"/>
      <c r="G905" s="46"/>
      <c r="H905" s="46"/>
      <c r="I905" s="49"/>
      <c r="J905" s="36"/>
      <c r="K905" s="3"/>
      <c r="L905" s="3"/>
      <c r="M905" s="4"/>
      <c r="N905" s="42"/>
      <c r="P905" s="36"/>
      <c r="Q905" s="1"/>
      <c r="S905" s="3"/>
      <c r="T905" s="7"/>
    </row>
    <row r="906" spans="3:20" ht="15.75" customHeight="1" x14ac:dyDescent="0.35">
      <c r="C906" s="40"/>
      <c r="D906" s="41"/>
      <c r="E906" s="41"/>
      <c r="G906" s="46"/>
      <c r="H906" s="46"/>
      <c r="I906" s="49"/>
      <c r="J906" s="36"/>
      <c r="K906" s="3"/>
      <c r="L906" s="3"/>
      <c r="M906" s="4"/>
      <c r="N906" s="42"/>
      <c r="P906" s="36"/>
      <c r="Q906" s="1"/>
      <c r="S906" s="3"/>
      <c r="T906" s="7"/>
    </row>
    <row r="907" spans="3:20" ht="15.75" customHeight="1" x14ac:dyDescent="0.35">
      <c r="C907" s="40"/>
      <c r="D907" s="41"/>
      <c r="E907" s="41"/>
      <c r="G907" s="46"/>
      <c r="H907" s="46"/>
      <c r="I907" s="49"/>
      <c r="J907" s="36"/>
      <c r="K907" s="3"/>
      <c r="L907" s="3"/>
      <c r="M907" s="4"/>
      <c r="N907" s="42"/>
      <c r="P907" s="36"/>
      <c r="Q907" s="1"/>
      <c r="S907" s="3"/>
      <c r="T907" s="7"/>
    </row>
    <row r="908" spans="3:20" ht="15.75" customHeight="1" x14ac:dyDescent="0.35">
      <c r="C908" s="40"/>
      <c r="D908" s="41"/>
      <c r="E908" s="41"/>
      <c r="G908" s="46"/>
      <c r="H908" s="46"/>
      <c r="I908" s="49"/>
      <c r="J908" s="36"/>
      <c r="K908" s="3"/>
      <c r="L908" s="3"/>
      <c r="M908" s="4"/>
      <c r="N908" s="42"/>
      <c r="P908" s="36"/>
      <c r="Q908" s="1"/>
      <c r="S908" s="3"/>
      <c r="T908" s="7"/>
    </row>
    <row r="909" spans="3:20" ht="15.75" customHeight="1" x14ac:dyDescent="0.35">
      <c r="C909" s="40"/>
      <c r="D909" s="41"/>
      <c r="E909" s="41"/>
      <c r="G909" s="46"/>
      <c r="H909" s="46"/>
      <c r="I909" s="49"/>
      <c r="J909" s="36"/>
      <c r="K909" s="3"/>
      <c r="L909" s="3"/>
      <c r="M909" s="4"/>
      <c r="N909" s="42"/>
      <c r="P909" s="36"/>
      <c r="Q909" s="1"/>
      <c r="S909" s="3"/>
      <c r="T909" s="7"/>
    </row>
    <row r="910" spans="3:20" ht="15.75" customHeight="1" x14ac:dyDescent="0.35">
      <c r="C910" s="40"/>
      <c r="D910" s="41"/>
      <c r="E910" s="41"/>
      <c r="G910" s="46"/>
      <c r="H910" s="46"/>
      <c r="I910" s="49"/>
      <c r="J910" s="36"/>
      <c r="K910" s="3"/>
      <c r="L910" s="3"/>
      <c r="M910" s="4"/>
      <c r="N910" s="42"/>
      <c r="P910" s="36"/>
      <c r="Q910" s="1"/>
      <c r="S910" s="3"/>
      <c r="T910" s="7"/>
    </row>
    <row r="911" spans="3:20" ht="15.75" customHeight="1" x14ac:dyDescent="0.35">
      <c r="C911" s="40"/>
      <c r="D911" s="41"/>
      <c r="E911" s="41"/>
      <c r="G911" s="46"/>
      <c r="H911" s="46"/>
      <c r="I911" s="49"/>
      <c r="J911" s="36"/>
      <c r="K911" s="3"/>
      <c r="L911" s="3"/>
      <c r="M911" s="4"/>
      <c r="N911" s="42"/>
      <c r="P911" s="36"/>
      <c r="Q911" s="1"/>
      <c r="S911" s="3"/>
      <c r="T911" s="7"/>
    </row>
    <row r="912" spans="3:20" ht="15.75" customHeight="1" x14ac:dyDescent="0.35">
      <c r="C912" s="40"/>
      <c r="D912" s="41"/>
      <c r="E912" s="41"/>
      <c r="G912" s="46"/>
      <c r="H912" s="46"/>
      <c r="I912" s="49"/>
      <c r="J912" s="36"/>
      <c r="K912" s="3"/>
      <c r="L912" s="3"/>
      <c r="M912" s="4"/>
      <c r="N912" s="42"/>
      <c r="P912" s="36"/>
      <c r="Q912" s="1"/>
      <c r="S912" s="3"/>
      <c r="T912" s="7"/>
    </row>
    <row r="913" spans="3:20" ht="15.75" customHeight="1" x14ac:dyDescent="0.35">
      <c r="C913" s="40"/>
      <c r="D913" s="41"/>
      <c r="E913" s="41"/>
      <c r="G913" s="46"/>
      <c r="H913" s="46"/>
      <c r="I913" s="49"/>
      <c r="J913" s="36"/>
      <c r="K913" s="3"/>
      <c r="L913" s="3"/>
      <c r="M913" s="4"/>
      <c r="N913" s="42"/>
      <c r="P913" s="36"/>
      <c r="Q913" s="1"/>
      <c r="S913" s="3"/>
      <c r="T913" s="7"/>
    </row>
    <row r="914" spans="3:20" ht="15.75" customHeight="1" x14ac:dyDescent="0.35">
      <c r="C914" s="40"/>
      <c r="D914" s="41"/>
      <c r="E914" s="41"/>
      <c r="G914" s="46"/>
      <c r="H914" s="46"/>
      <c r="I914" s="49"/>
      <c r="J914" s="36"/>
      <c r="K914" s="3"/>
      <c r="L914" s="3"/>
      <c r="M914" s="4"/>
      <c r="N914" s="42"/>
      <c r="P914" s="36"/>
      <c r="Q914" s="1"/>
      <c r="S914" s="3"/>
      <c r="T914" s="7"/>
    </row>
    <row r="915" spans="3:20" ht="15.75" customHeight="1" x14ac:dyDescent="0.35">
      <c r="C915" s="40"/>
      <c r="D915" s="41"/>
      <c r="E915" s="41"/>
      <c r="G915" s="46"/>
      <c r="H915" s="46"/>
      <c r="I915" s="49"/>
      <c r="J915" s="36"/>
      <c r="K915" s="3"/>
      <c r="L915" s="3"/>
      <c r="M915" s="4"/>
      <c r="N915" s="42"/>
      <c r="P915" s="36"/>
      <c r="Q915" s="1"/>
      <c r="S915" s="3"/>
      <c r="T915" s="7"/>
    </row>
    <row r="916" spans="3:20" ht="15.75" customHeight="1" x14ac:dyDescent="0.35">
      <c r="C916" s="40"/>
      <c r="D916" s="41"/>
      <c r="E916" s="41"/>
      <c r="G916" s="46"/>
      <c r="H916" s="46"/>
      <c r="I916" s="49"/>
      <c r="J916" s="36"/>
      <c r="K916" s="3"/>
      <c r="L916" s="3"/>
      <c r="M916" s="4"/>
      <c r="N916" s="42"/>
      <c r="P916" s="36"/>
      <c r="Q916" s="1"/>
      <c r="S916" s="3"/>
      <c r="T916" s="7"/>
    </row>
    <row r="917" spans="3:20" ht="15.75" customHeight="1" x14ac:dyDescent="0.35">
      <c r="C917" s="40"/>
      <c r="D917" s="41"/>
      <c r="E917" s="41"/>
      <c r="G917" s="46"/>
      <c r="H917" s="46"/>
      <c r="I917" s="49"/>
      <c r="J917" s="36"/>
      <c r="K917" s="3"/>
      <c r="L917" s="3"/>
      <c r="M917" s="4"/>
      <c r="N917" s="42"/>
      <c r="P917" s="36"/>
      <c r="Q917" s="1"/>
      <c r="S917" s="3"/>
      <c r="T917" s="7"/>
    </row>
    <row r="918" spans="3:20" ht="15.75" customHeight="1" x14ac:dyDescent="0.35">
      <c r="C918" s="40"/>
      <c r="D918" s="41"/>
      <c r="E918" s="41"/>
      <c r="G918" s="46"/>
      <c r="H918" s="46"/>
      <c r="I918" s="49"/>
      <c r="J918" s="36"/>
      <c r="K918" s="3"/>
      <c r="L918" s="3"/>
      <c r="M918" s="4"/>
      <c r="N918" s="42"/>
      <c r="P918" s="36"/>
      <c r="Q918" s="1"/>
      <c r="S918" s="3"/>
      <c r="T918" s="7"/>
    </row>
    <row r="919" spans="3:20" ht="15.75" customHeight="1" x14ac:dyDescent="0.35">
      <c r="C919" s="40"/>
      <c r="D919" s="41"/>
      <c r="E919" s="41"/>
      <c r="G919" s="46"/>
      <c r="H919" s="46"/>
      <c r="I919" s="49"/>
      <c r="J919" s="36"/>
      <c r="K919" s="3"/>
      <c r="L919" s="3"/>
      <c r="M919" s="4"/>
      <c r="N919" s="42"/>
      <c r="P919" s="36"/>
      <c r="Q919" s="1"/>
      <c r="S919" s="3"/>
      <c r="T919" s="7"/>
    </row>
    <row r="920" spans="3:20" ht="15.75" customHeight="1" x14ac:dyDescent="0.35">
      <c r="C920" s="40"/>
      <c r="D920" s="41"/>
      <c r="E920" s="41"/>
      <c r="G920" s="46"/>
      <c r="H920" s="46"/>
      <c r="I920" s="49"/>
      <c r="J920" s="36"/>
      <c r="K920" s="3"/>
      <c r="L920" s="3"/>
      <c r="M920" s="4"/>
      <c r="N920" s="42"/>
      <c r="P920" s="36"/>
      <c r="Q920" s="1"/>
      <c r="S920" s="3"/>
      <c r="T920" s="7"/>
    </row>
    <row r="921" spans="3:20" ht="15.75" customHeight="1" x14ac:dyDescent="0.35">
      <c r="C921" s="40"/>
      <c r="D921" s="41"/>
      <c r="E921" s="41"/>
      <c r="G921" s="46"/>
      <c r="H921" s="46"/>
      <c r="I921" s="49"/>
      <c r="J921" s="36"/>
      <c r="K921" s="3"/>
      <c r="L921" s="3"/>
      <c r="M921" s="4"/>
      <c r="N921" s="42"/>
      <c r="P921" s="36"/>
      <c r="Q921" s="1"/>
      <c r="S921" s="3"/>
      <c r="T921" s="7"/>
    </row>
    <row r="922" spans="3:20" ht="15.75" customHeight="1" x14ac:dyDescent="0.35">
      <c r="C922" s="40"/>
      <c r="D922" s="41"/>
      <c r="E922" s="41"/>
      <c r="G922" s="46"/>
      <c r="H922" s="46"/>
      <c r="I922" s="49"/>
      <c r="J922" s="36"/>
      <c r="K922" s="3"/>
      <c r="L922" s="3"/>
      <c r="M922" s="4"/>
      <c r="N922" s="42"/>
      <c r="P922" s="36"/>
      <c r="Q922" s="1"/>
      <c r="S922" s="3"/>
      <c r="T922" s="7"/>
    </row>
    <row r="923" spans="3:20" ht="15.75" customHeight="1" x14ac:dyDescent="0.35">
      <c r="C923" s="40"/>
      <c r="D923" s="41"/>
      <c r="E923" s="41"/>
      <c r="G923" s="46"/>
      <c r="H923" s="46"/>
      <c r="I923" s="49"/>
      <c r="J923" s="36"/>
      <c r="K923" s="3"/>
      <c r="L923" s="3"/>
      <c r="M923" s="4"/>
      <c r="N923" s="42"/>
      <c r="P923" s="36"/>
      <c r="Q923" s="1"/>
      <c r="S923" s="3"/>
      <c r="T923" s="7"/>
    </row>
    <row r="924" spans="3:20" ht="15.75" customHeight="1" x14ac:dyDescent="0.35">
      <c r="C924" s="40"/>
      <c r="D924" s="41"/>
      <c r="E924" s="41"/>
      <c r="G924" s="46"/>
      <c r="H924" s="46"/>
      <c r="I924" s="49"/>
      <c r="J924" s="36"/>
      <c r="K924" s="3"/>
      <c r="L924" s="3"/>
      <c r="M924" s="4"/>
      <c r="N924" s="42"/>
      <c r="P924" s="36"/>
      <c r="Q924" s="1"/>
      <c r="S924" s="3"/>
      <c r="T924" s="7"/>
    </row>
    <row r="925" spans="3:20" ht="15.75" customHeight="1" x14ac:dyDescent="0.35">
      <c r="C925" s="40"/>
      <c r="D925" s="41"/>
      <c r="E925" s="41"/>
      <c r="G925" s="46"/>
      <c r="H925" s="46"/>
      <c r="I925" s="49"/>
      <c r="J925" s="36"/>
      <c r="K925" s="3"/>
      <c r="L925" s="3"/>
      <c r="M925" s="4"/>
      <c r="N925" s="42"/>
      <c r="P925" s="36"/>
      <c r="Q925" s="1"/>
      <c r="S925" s="3"/>
      <c r="T925" s="7"/>
    </row>
    <row r="926" spans="3:20" ht="15.75" customHeight="1" x14ac:dyDescent="0.35">
      <c r="C926" s="40"/>
      <c r="D926" s="41"/>
      <c r="E926" s="41"/>
      <c r="G926" s="46"/>
      <c r="H926" s="46"/>
      <c r="I926" s="49"/>
      <c r="J926" s="36"/>
      <c r="K926" s="3"/>
      <c r="L926" s="3"/>
      <c r="M926" s="4"/>
      <c r="N926" s="42"/>
      <c r="P926" s="36"/>
      <c r="Q926" s="1"/>
      <c r="S926" s="3"/>
      <c r="T926" s="7"/>
    </row>
    <row r="927" spans="3:20" ht="15.75" customHeight="1" x14ac:dyDescent="0.35">
      <c r="C927" s="40"/>
      <c r="D927" s="41"/>
      <c r="E927" s="41"/>
      <c r="G927" s="46"/>
      <c r="H927" s="46"/>
      <c r="I927" s="49"/>
      <c r="J927" s="36"/>
      <c r="K927" s="3"/>
      <c r="L927" s="3"/>
      <c r="M927" s="4"/>
      <c r="N927" s="42"/>
      <c r="P927" s="36"/>
      <c r="Q927" s="1"/>
      <c r="S927" s="3"/>
      <c r="T927" s="7"/>
    </row>
    <row r="928" spans="3:20" ht="15.75" customHeight="1" x14ac:dyDescent="0.35">
      <c r="C928" s="40"/>
      <c r="D928" s="41"/>
      <c r="E928" s="41"/>
      <c r="G928" s="46"/>
      <c r="H928" s="46"/>
      <c r="I928" s="49"/>
      <c r="J928" s="36"/>
      <c r="K928" s="3"/>
      <c r="L928" s="3"/>
      <c r="M928" s="4"/>
      <c r="N928" s="42"/>
      <c r="P928" s="36"/>
      <c r="Q928" s="1"/>
      <c r="S928" s="3"/>
      <c r="T928" s="7"/>
    </row>
    <row r="929" spans="3:20" ht="15.75" customHeight="1" x14ac:dyDescent="0.35">
      <c r="C929" s="40"/>
      <c r="D929" s="41"/>
      <c r="E929" s="41"/>
      <c r="G929" s="46"/>
      <c r="H929" s="46"/>
      <c r="I929" s="49"/>
      <c r="J929" s="36"/>
      <c r="K929" s="3"/>
      <c r="L929" s="3"/>
      <c r="M929" s="4"/>
      <c r="N929" s="42"/>
      <c r="P929" s="36"/>
      <c r="Q929" s="1"/>
      <c r="S929" s="3"/>
      <c r="T929" s="7"/>
    </row>
    <row r="930" spans="3:20" ht="15.75" customHeight="1" x14ac:dyDescent="0.35">
      <c r="C930" s="40"/>
      <c r="D930" s="41"/>
      <c r="E930" s="41"/>
      <c r="G930" s="46"/>
      <c r="H930" s="46"/>
      <c r="I930" s="49"/>
      <c r="J930" s="36"/>
      <c r="K930" s="3"/>
      <c r="L930" s="3"/>
      <c r="M930" s="4"/>
      <c r="N930" s="42"/>
      <c r="P930" s="36"/>
      <c r="Q930" s="1"/>
      <c r="S930" s="3"/>
      <c r="T930" s="7"/>
    </row>
    <row r="931" spans="3:20" ht="15.75" customHeight="1" x14ac:dyDescent="0.35">
      <c r="C931" s="40"/>
      <c r="D931" s="41"/>
      <c r="E931" s="41"/>
      <c r="G931" s="46"/>
      <c r="H931" s="46"/>
      <c r="I931" s="49"/>
      <c r="J931" s="36"/>
      <c r="K931" s="3"/>
      <c r="L931" s="3"/>
      <c r="M931" s="4"/>
      <c r="N931" s="42"/>
      <c r="P931" s="36"/>
      <c r="Q931" s="1"/>
      <c r="S931" s="3"/>
      <c r="T931" s="7"/>
    </row>
    <row r="932" spans="3:20" ht="15.75" customHeight="1" x14ac:dyDescent="0.35">
      <c r="C932" s="40"/>
      <c r="D932" s="41"/>
      <c r="E932" s="41"/>
      <c r="G932" s="46"/>
      <c r="H932" s="46"/>
      <c r="I932" s="49"/>
      <c r="J932" s="36"/>
      <c r="K932" s="3"/>
      <c r="L932" s="3"/>
      <c r="M932" s="4"/>
      <c r="N932" s="42"/>
      <c r="P932" s="36"/>
      <c r="Q932" s="1"/>
      <c r="S932" s="3"/>
      <c r="T932" s="7"/>
    </row>
    <row r="933" spans="3:20" ht="15.75" customHeight="1" x14ac:dyDescent="0.35">
      <c r="C933" s="40"/>
      <c r="D933" s="41"/>
      <c r="E933" s="41"/>
      <c r="G933" s="46"/>
      <c r="H933" s="46"/>
      <c r="I933" s="49"/>
      <c r="J933" s="36"/>
      <c r="K933" s="3"/>
      <c r="L933" s="3"/>
      <c r="M933" s="4"/>
      <c r="N933" s="42"/>
      <c r="P933" s="36"/>
      <c r="Q933" s="1"/>
      <c r="S933" s="3"/>
      <c r="T933" s="7"/>
    </row>
    <row r="934" spans="3:20" ht="15.75" customHeight="1" x14ac:dyDescent="0.35">
      <c r="C934" s="40"/>
      <c r="D934" s="41"/>
      <c r="E934" s="41"/>
      <c r="G934" s="46"/>
      <c r="H934" s="46"/>
      <c r="I934" s="49"/>
      <c r="J934" s="36"/>
      <c r="K934" s="3"/>
      <c r="L934" s="3"/>
      <c r="M934" s="4"/>
      <c r="N934" s="42"/>
      <c r="P934" s="36"/>
      <c r="Q934" s="1"/>
      <c r="S934" s="3"/>
      <c r="T934" s="7"/>
    </row>
    <row r="935" spans="3:20" ht="15.75" customHeight="1" x14ac:dyDescent="0.35">
      <c r="C935" s="40"/>
      <c r="D935" s="41"/>
      <c r="E935" s="41"/>
      <c r="G935" s="46"/>
      <c r="H935" s="46"/>
      <c r="I935" s="49"/>
      <c r="J935" s="36"/>
      <c r="K935" s="3"/>
      <c r="L935" s="3"/>
      <c r="M935" s="4"/>
      <c r="N935" s="42"/>
      <c r="P935" s="36"/>
      <c r="Q935" s="1"/>
      <c r="S935" s="3"/>
      <c r="T935" s="7"/>
    </row>
    <row r="936" spans="3:20" ht="15.75" customHeight="1" x14ac:dyDescent="0.35">
      <c r="C936" s="40"/>
      <c r="D936" s="41"/>
      <c r="E936" s="41"/>
      <c r="G936" s="46"/>
      <c r="H936" s="46"/>
      <c r="I936" s="49"/>
      <c r="J936" s="36"/>
      <c r="K936" s="3"/>
      <c r="L936" s="3"/>
      <c r="M936" s="4"/>
      <c r="N936" s="42"/>
      <c r="P936" s="36"/>
      <c r="Q936" s="1"/>
      <c r="S936" s="3"/>
      <c r="T936" s="7"/>
    </row>
    <row r="937" spans="3:20" ht="15.75" customHeight="1" x14ac:dyDescent="0.35">
      <c r="C937" s="40"/>
      <c r="D937" s="41"/>
      <c r="E937" s="41"/>
      <c r="G937" s="46"/>
      <c r="H937" s="46"/>
      <c r="I937" s="49"/>
      <c r="J937" s="36"/>
      <c r="K937" s="3"/>
      <c r="L937" s="3"/>
      <c r="M937" s="4"/>
      <c r="N937" s="42"/>
      <c r="P937" s="36"/>
      <c r="Q937" s="1"/>
      <c r="S937" s="3"/>
      <c r="T937" s="7"/>
    </row>
    <row r="938" spans="3:20" ht="15.75" customHeight="1" x14ac:dyDescent="0.35">
      <c r="C938" s="40"/>
      <c r="D938" s="41"/>
      <c r="E938" s="41"/>
      <c r="G938" s="46"/>
      <c r="H938" s="46"/>
      <c r="I938" s="49"/>
      <c r="J938" s="36"/>
      <c r="K938" s="3"/>
      <c r="L938" s="3"/>
      <c r="M938" s="4"/>
      <c r="N938" s="42"/>
      <c r="P938" s="36"/>
      <c r="Q938" s="1"/>
      <c r="S938" s="3"/>
      <c r="T938" s="7"/>
    </row>
    <row r="939" spans="3:20" ht="15.75" customHeight="1" x14ac:dyDescent="0.35">
      <c r="C939" s="40"/>
      <c r="D939" s="41"/>
      <c r="E939" s="41"/>
      <c r="G939" s="46"/>
      <c r="H939" s="46"/>
      <c r="I939" s="49"/>
      <c r="J939" s="36"/>
      <c r="K939" s="3"/>
      <c r="L939" s="3"/>
      <c r="M939" s="4"/>
      <c r="N939" s="42"/>
      <c r="P939" s="36"/>
      <c r="Q939" s="1"/>
      <c r="S939" s="3"/>
      <c r="T939" s="7"/>
    </row>
    <row r="940" spans="3:20" ht="15.75" customHeight="1" x14ac:dyDescent="0.35">
      <c r="C940" s="40"/>
      <c r="D940" s="41"/>
      <c r="E940" s="41"/>
      <c r="G940" s="46"/>
      <c r="H940" s="46"/>
      <c r="I940" s="49"/>
      <c r="J940" s="36"/>
      <c r="K940" s="3"/>
      <c r="L940" s="3"/>
      <c r="M940" s="4"/>
      <c r="N940" s="42"/>
      <c r="P940" s="36"/>
      <c r="Q940" s="1"/>
      <c r="S940" s="3"/>
      <c r="T940" s="7"/>
    </row>
    <row r="941" spans="3:20" ht="15.75" customHeight="1" x14ac:dyDescent="0.35">
      <c r="C941" s="40"/>
      <c r="D941" s="41"/>
      <c r="E941" s="41"/>
      <c r="G941" s="46"/>
      <c r="H941" s="46"/>
      <c r="I941" s="49"/>
      <c r="J941" s="36"/>
      <c r="K941" s="3"/>
      <c r="L941" s="3"/>
      <c r="M941" s="4"/>
      <c r="N941" s="42"/>
      <c r="P941" s="36"/>
      <c r="Q941" s="1"/>
      <c r="S941" s="3"/>
      <c r="T941" s="7"/>
    </row>
    <row r="942" spans="3:20" ht="15.75" customHeight="1" x14ac:dyDescent="0.35">
      <c r="C942" s="40"/>
      <c r="D942" s="41"/>
      <c r="E942" s="41"/>
      <c r="G942" s="46"/>
      <c r="H942" s="46"/>
      <c r="I942" s="49"/>
      <c r="J942" s="36"/>
      <c r="K942" s="3"/>
      <c r="L942" s="3"/>
      <c r="M942" s="4"/>
      <c r="N942" s="42"/>
      <c r="P942" s="36"/>
      <c r="Q942" s="1"/>
      <c r="S942" s="3"/>
      <c r="T942" s="7"/>
    </row>
    <row r="943" spans="3:20" ht="15.75" customHeight="1" x14ac:dyDescent="0.35">
      <c r="C943" s="40"/>
      <c r="D943" s="41"/>
      <c r="E943" s="41"/>
      <c r="G943" s="46"/>
      <c r="H943" s="46"/>
      <c r="I943" s="49"/>
      <c r="J943" s="36"/>
      <c r="K943" s="3"/>
      <c r="L943" s="3"/>
      <c r="M943" s="4"/>
      <c r="N943" s="42"/>
      <c r="P943" s="36"/>
      <c r="Q943" s="1"/>
      <c r="S943" s="3"/>
      <c r="T943" s="7"/>
    </row>
    <row r="944" spans="3:20" ht="15.75" customHeight="1" x14ac:dyDescent="0.35">
      <c r="C944" s="40"/>
      <c r="D944" s="41"/>
      <c r="E944" s="41"/>
      <c r="G944" s="46"/>
      <c r="H944" s="46"/>
      <c r="I944" s="49"/>
      <c r="J944" s="36"/>
      <c r="K944" s="3"/>
      <c r="L944" s="3"/>
      <c r="M944" s="4"/>
      <c r="N944" s="42"/>
      <c r="P944" s="36"/>
      <c r="Q944" s="1"/>
      <c r="S944" s="3"/>
      <c r="T944" s="7"/>
    </row>
    <row r="945" spans="3:20" ht="15.75" customHeight="1" x14ac:dyDescent="0.35">
      <c r="C945" s="40"/>
      <c r="D945" s="41"/>
      <c r="E945" s="41"/>
      <c r="G945" s="46"/>
      <c r="H945" s="46"/>
      <c r="I945" s="49"/>
      <c r="J945" s="36"/>
      <c r="K945" s="3"/>
      <c r="L945" s="3"/>
      <c r="M945" s="4"/>
      <c r="N945" s="42"/>
      <c r="P945" s="36"/>
      <c r="Q945" s="1"/>
      <c r="S945" s="3"/>
      <c r="T945" s="7"/>
    </row>
    <row r="946" spans="3:20" ht="15.75" customHeight="1" x14ac:dyDescent="0.35">
      <c r="C946" s="40"/>
      <c r="D946" s="41"/>
      <c r="E946" s="41"/>
      <c r="G946" s="46"/>
      <c r="H946" s="46"/>
      <c r="I946" s="49"/>
      <c r="J946" s="36"/>
      <c r="K946" s="3"/>
      <c r="L946" s="3"/>
      <c r="M946" s="4"/>
      <c r="N946" s="42"/>
      <c r="P946" s="36"/>
      <c r="Q946" s="1"/>
      <c r="S946" s="3"/>
      <c r="T946" s="7"/>
    </row>
    <row r="947" spans="3:20" ht="15.75" customHeight="1" x14ac:dyDescent="0.35">
      <c r="C947" s="40"/>
      <c r="D947" s="41"/>
      <c r="E947" s="41"/>
      <c r="G947" s="46"/>
      <c r="H947" s="46"/>
      <c r="I947" s="49"/>
      <c r="J947" s="36"/>
      <c r="K947" s="3"/>
      <c r="L947" s="3"/>
      <c r="M947" s="4"/>
      <c r="N947" s="42"/>
      <c r="P947" s="36"/>
      <c r="Q947" s="1"/>
      <c r="S947" s="3"/>
      <c r="T947" s="7"/>
    </row>
    <row r="948" spans="3:20" ht="15.75" customHeight="1" x14ac:dyDescent="0.35">
      <c r="C948" s="40"/>
      <c r="D948" s="41"/>
      <c r="E948" s="41"/>
      <c r="G948" s="46"/>
      <c r="H948" s="46"/>
      <c r="I948" s="49"/>
      <c r="J948" s="36"/>
      <c r="K948" s="3"/>
      <c r="L948" s="3"/>
      <c r="M948" s="4"/>
      <c r="N948" s="42"/>
      <c r="P948" s="36"/>
      <c r="Q948" s="1"/>
      <c r="S948" s="3"/>
      <c r="T948" s="7"/>
    </row>
    <row r="949" spans="3:20" ht="15.75" customHeight="1" x14ac:dyDescent="0.35">
      <c r="C949" s="40"/>
      <c r="D949" s="41"/>
      <c r="E949" s="41"/>
      <c r="G949" s="46"/>
      <c r="H949" s="46"/>
      <c r="I949" s="49"/>
      <c r="J949" s="36"/>
      <c r="K949" s="3"/>
      <c r="L949" s="3"/>
      <c r="M949" s="4"/>
      <c r="N949" s="42"/>
      <c r="P949" s="36"/>
      <c r="Q949" s="1"/>
      <c r="S949" s="3"/>
      <c r="T949" s="7"/>
    </row>
    <row r="950" spans="3:20" ht="15.75" customHeight="1" x14ac:dyDescent="0.35">
      <c r="C950" s="40"/>
      <c r="D950" s="41"/>
      <c r="E950" s="41"/>
      <c r="G950" s="46"/>
      <c r="H950" s="46"/>
      <c r="I950" s="49"/>
      <c r="J950" s="36"/>
      <c r="K950" s="3"/>
      <c r="L950" s="3"/>
      <c r="M950" s="4"/>
      <c r="N950" s="42"/>
      <c r="P950" s="36"/>
      <c r="Q950" s="1"/>
      <c r="S950" s="3"/>
      <c r="T950" s="7"/>
    </row>
    <row r="951" spans="3:20" ht="15.75" customHeight="1" x14ac:dyDescent="0.35">
      <c r="C951" s="40"/>
      <c r="D951" s="41"/>
      <c r="E951" s="41"/>
      <c r="G951" s="46"/>
      <c r="H951" s="46"/>
      <c r="I951" s="49"/>
      <c r="J951" s="36"/>
      <c r="K951" s="3"/>
      <c r="L951" s="3"/>
      <c r="M951" s="4"/>
      <c r="N951" s="42"/>
      <c r="P951" s="36"/>
      <c r="Q951" s="1"/>
      <c r="S951" s="3"/>
      <c r="T951" s="7"/>
    </row>
    <row r="952" spans="3:20" ht="15.75" customHeight="1" x14ac:dyDescent="0.35">
      <c r="C952" s="40"/>
      <c r="D952" s="41"/>
      <c r="E952" s="41"/>
      <c r="G952" s="46"/>
      <c r="H952" s="46"/>
      <c r="I952" s="49"/>
      <c r="J952" s="36"/>
      <c r="K952" s="3"/>
      <c r="L952" s="3"/>
      <c r="M952" s="4"/>
      <c r="N952" s="42"/>
      <c r="P952" s="36"/>
      <c r="Q952" s="1"/>
      <c r="S952" s="3"/>
      <c r="T952" s="7"/>
    </row>
    <row r="953" spans="3:20" ht="15.75" customHeight="1" x14ac:dyDescent="0.35">
      <c r="C953" s="40"/>
      <c r="D953" s="41"/>
      <c r="E953" s="41"/>
      <c r="G953" s="46"/>
      <c r="H953" s="46"/>
      <c r="I953" s="49"/>
      <c r="J953" s="36"/>
      <c r="K953" s="3"/>
      <c r="L953" s="3"/>
      <c r="M953" s="4"/>
      <c r="N953" s="42"/>
      <c r="P953" s="36"/>
      <c r="Q953" s="1"/>
      <c r="S953" s="3"/>
      <c r="T953" s="7"/>
    </row>
    <row r="954" spans="3:20" ht="15.75" customHeight="1" x14ac:dyDescent="0.35">
      <c r="C954" s="40"/>
      <c r="D954" s="41"/>
      <c r="E954" s="41"/>
      <c r="G954" s="46"/>
      <c r="H954" s="46"/>
      <c r="I954" s="49"/>
      <c r="J954" s="36"/>
      <c r="K954" s="3"/>
      <c r="L954" s="3"/>
      <c r="M954" s="4"/>
      <c r="N954" s="42"/>
      <c r="P954" s="36"/>
      <c r="Q954" s="1"/>
      <c r="S954" s="3"/>
      <c r="T954" s="7"/>
    </row>
    <row r="955" spans="3:20" ht="15.75" customHeight="1" x14ac:dyDescent="0.35">
      <c r="C955" s="40"/>
      <c r="D955" s="41"/>
      <c r="E955" s="41"/>
      <c r="G955" s="46"/>
      <c r="H955" s="46"/>
      <c r="I955" s="49"/>
      <c r="J955" s="36"/>
      <c r="K955" s="3"/>
      <c r="L955" s="3"/>
      <c r="M955" s="4"/>
      <c r="N955" s="42"/>
      <c r="P955" s="36"/>
      <c r="Q955" s="1"/>
      <c r="S955" s="3"/>
      <c r="T955" s="7"/>
    </row>
    <row r="956" spans="3:20" ht="15.75" customHeight="1" x14ac:dyDescent="0.35">
      <c r="C956" s="40"/>
      <c r="D956" s="41"/>
      <c r="E956" s="41"/>
      <c r="G956" s="46"/>
      <c r="H956" s="46"/>
      <c r="I956" s="49"/>
      <c r="J956" s="36"/>
      <c r="K956" s="3"/>
      <c r="L956" s="3"/>
      <c r="M956" s="4"/>
      <c r="N956" s="42"/>
      <c r="P956" s="36"/>
      <c r="Q956" s="1"/>
      <c r="S956" s="3"/>
      <c r="T956" s="7"/>
    </row>
    <row r="957" spans="3:20" ht="15.75" customHeight="1" x14ac:dyDescent="0.35">
      <c r="C957" s="40"/>
      <c r="D957" s="41"/>
      <c r="E957" s="41"/>
      <c r="G957" s="46"/>
      <c r="H957" s="46"/>
      <c r="I957" s="49"/>
      <c r="J957" s="36"/>
      <c r="K957" s="3"/>
      <c r="L957" s="3"/>
      <c r="M957" s="4"/>
      <c r="N957" s="42"/>
      <c r="P957" s="36"/>
      <c r="Q957" s="1"/>
      <c r="S957" s="3"/>
      <c r="T957" s="7"/>
    </row>
    <row r="958" spans="3:20" ht="15.75" customHeight="1" x14ac:dyDescent="0.35">
      <c r="C958" s="40"/>
      <c r="D958" s="41"/>
      <c r="E958" s="41"/>
      <c r="G958" s="46"/>
      <c r="H958" s="46"/>
      <c r="I958" s="49"/>
      <c r="J958" s="36"/>
      <c r="K958" s="3"/>
      <c r="L958" s="3"/>
      <c r="M958" s="4"/>
      <c r="N958" s="42"/>
      <c r="P958" s="36"/>
      <c r="Q958" s="1"/>
      <c r="S958" s="3"/>
      <c r="T958" s="7"/>
    </row>
    <row r="959" spans="3:20" ht="15.75" customHeight="1" x14ac:dyDescent="0.35">
      <c r="C959" s="40"/>
      <c r="D959" s="41"/>
      <c r="E959" s="41"/>
      <c r="G959" s="46"/>
      <c r="H959" s="46"/>
      <c r="I959" s="49"/>
      <c r="J959" s="36"/>
      <c r="K959" s="3"/>
      <c r="L959" s="3"/>
      <c r="M959" s="4"/>
      <c r="N959" s="42"/>
      <c r="P959" s="36"/>
      <c r="Q959" s="1"/>
      <c r="S959" s="3"/>
      <c r="T959" s="7"/>
    </row>
    <row r="960" spans="3:20" ht="15.75" customHeight="1" x14ac:dyDescent="0.35">
      <c r="C960" s="40"/>
      <c r="D960" s="41"/>
      <c r="E960" s="41"/>
      <c r="G960" s="46"/>
      <c r="H960" s="46"/>
      <c r="I960" s="49"/>
      <c r="J960" s="36"/>
      <c r="K960" s="3"/>
      <c r="L960" s="3"/>
      <c r="M960" s="4"/>
      <c r="N960" s="42"/>
      <c r="P960" s="36"/>
      <c r="Q960" s="1"/>
      <c r="S960" s="3"/>
      <c r="T960" s="7"/>
    </row>
    <row r="961" spans="3:20" ht="15.75" customHeight="1" x14ac:dyDescent="0.35">
      <c r="C961" s="40"/>
      <c r="D961" s="41"/>
      <c r="E961" s="41"/>
      <c r="G961" s="46"/>
      <c r="H961" s="46"/>
      <c r="I961" s="49"/>
      <c r="J961" s="36"/>
      <c r="K961" s="3"/>
      <c r="L961" s="3"/>
      <c r="M961" s="4"/>
      <c r="N961" s="42"/>
      <c r="P961" s="36"/>
      <c r="Q961" s="1"/>
      <c r="S961" s="3"/>
      <c r="T961" s="7"/>
    </row>
    <row r="962" spans="3:20" ht="15.75" customHeight="1" x14ac:dyDescent="0.35">
      <c r="C962" s="40"/>
      <c r="D962" s="41"/>
      <c r="E962" s="41"/>
      <c r="G962" s="46"/>
      <c r="H962" s="46"/>
      <c r="I962" s="49"/>
      <c r="J962" s="36"/>
      <c r="K962" s="3"/>
      <c r="L962" s="3"/>
      <c r="M962" s="4"/>
      <c r="N962" s="42"/>
      <c r="P962" s="36"/>
      <c r="Q962" s="1"/>
      <c r="S962" s="3"/>
      <c r="T962" s="7"/>
    </row>
    <row r="963" spans="3:20" ht="15.75" customHeight="1" x14ac:dyDescent="0.35">
      <c r="C963" s="40"/>
      <c r="D963" s="41"/>
      <c r="E963" s="41"/>
      <c r="G963" s="46"/>
      <c r="H963" s="46"/>
      <c r="I963" s="49"/>
      <c r="J963" s="36"/>
      <c r="K963" s="3"/>
      <c r="L963" s="3"/>
      <c r="M963" s="4"/>
      <c r="N963" s="42"/>
      <c r="P963" s="36"/>
      <c r="Q963" s="1"/>
      <c r="S963" s="3"/>
      <c r="T963" s="7"/>
    </row>
    <row r="964" spans="3:20" ht="15.75" customHeight="1" x14ac:dyDescent="0.35">
      <c r="C964" s="40"/>
      <c r="D964" s="41"/>
      <c r="E964" s="41"/>
      <c r="G964" s="46"/>
      <c r="H964" s="46"/>
      <c r="I964" s="49"/>
      <c r="J964" s="36"/>
      <c r="K964" s="3"/>
      <c r="L964" s="3"/>
      <c r="M964" s="4"/>
      <c r="N964" s="42"/>
      <c r="P964" s="36"/>
      <c r="Q964" s="1"/>
      <c r="S964" s="3"/>
      <c r="T964" s="7"/>
    </row>
    <row r="965" spans="3:20" ht="15.75" customHeight="1" x14ac:dyDescent="0.35">
      <c r="C965" s="40"/>
      <c r="D965" s="41"/>
      <c r="E965" s="41"/>
      <c r="G965" s="46"/>
      <c r="H965" s="46"/>
      <c r="I965" s="49"/>
      <c r="J965" s="36"/>
      <c r="K965" s="3"/>
      <c r="L965" s="3"/>
      <c r="M965" s="4"/>
      <c r="N965" s="42"/>
      <c r="P965" s="36"/>
      <c r="Q965" s="1"/>
      <c r="S965" s="3"/>
      <c r="T965" s="7"/>
    </row>
    <row r="966" spans="3:20" ht="15.75" customHeight="1" x14ac:dyDescent="0.35">
      <c r="C966" s="40"/>
      <c r="D966" s="41"/>
      <c r="E966" s="41"/>
      <c r="G966" s="46"/>
      <c r="H966" s="46"/>
      <c r="I966" s="49"/>
      <c r="J966" s="36"/>
      <c r="K966" s="3"/>
      <c r="L966" s="3"/>
      <c r="M966" s="4"/>
      <c r="N966" s="42"/>
      <c r="P966" s="36"/>
      <c r="Q966" s="1"/>
      <c r="S966" s="3"/>
      <c r="T966" s="7"/>
    </row>
    <row r="967" spans="3:20" ht="15.75" customHeight="1" x14ac:dyDescent="0.35">
      <c r="C967" s="40"/>
      <c r="D967" s="41"/>
      <c r="E967" s="41"/>
      <c r="G967" s="46"/>
      <c r="H967" s="46"/>
      <c r="I967" s="49"/>
      <c r="J967" s="36"/>
      <c r="K967" s="3"/>
      <c r="L967" s="3"/>
      <c r="M967" s="4"/>
      <c r="N967" s="42"/>
      <c r="P967" s="36"/>
      <c r="Q967" s="1"/>
      <c r="S967" s="3"/>
      <c r="T967" s="7"/>
    </row>
    <row r="968" spans="3:20" ht="15.75" customHeight="1" x14ac:dyDescent="0.35">
      <c r="C968" s="40"/>
      <c r="D968" s="41"/>
      <c r="E968" s="41"/>
      <c r="G968" s="46"/>
      <c r="H968" s="46"/>
      <c r="I968" s="49"/>
      <c r="J968" s="36"/>
      <c r="K968" s="3"/>
      <c r="L968" s="3"/>
      <c r="M968" s="4"/>
      <c r="N968" s="42"/>
      <c r="P968" s="36"/>
      <c r="Q968" s="1"/>
      <c r="S968" s="3"/>
      <c r="T968" s="7"/>
    </row>
    <row r="969" spans="3:20" ht="15.75" customHeight="1" x14ac:dyDescent="0.35">
      <c r="C969" s="40"/>
      <c r="D969" s="41"/>
      <c r="E969" s="41"/>
      <c r="G969" s="46"/>
      <c r="H969" s="46"/>
      <c r="I969" s="49"/>
      <c r="J969" s="36"/>
      <c r="K969" s="3"/>
      <c r="L969" s="3"/>
      <c r="M969" s="4"/>
      <c r="N969" s="42"/>
      <c r="P969" s="36"/>
      <c r="Q969" s="1"/>
      <c r="S969" s="3"/>
      <c r="T969" s="7"/>
    </row>
    <row r="970" spans="3:20" ht="15.75" customHeight="1" x14ac:dyDescent="0.35">
      <c r="C970" s="40"/>
      <c r="D970" s="41"/>
      <c r="E970" s="41"/>
      <c r="G970" s="46"/>
      <c r="H970" s="46"/>
      <c r="I970" s="49"/>
      <c r="J970" s="36"/>
      <c r="K970" s="3"/>
      <c r="L970" s="3"/>
      <c r="M970" s="4"/>
      <c r="N970" s="42"/>
      <c r="P970" s="36"/>
      <c r="Q970" s="1"/>
      <c r="S970" s="3"/>
      <c r="T970" s="7"/>
    </row>
    <row r="971" spans="3:20" ht="15.75" customHeight="1" x14ac:dyDescent="0.35">
      <c r="C971" s="40"/>
      <c r="D971" s="41"/>
      <c r="E971" s="41"/>
      <c r="G971" s="46"/>
      <c r="H971" s="46"/>
      <c r="I971" s="49"/>
      <c r="J971" s="36"/>
      <c r="K971" s="3"/>
      <c r="L971" s="3"/>
      <c r="M971" s="4"/>
      <c r="N971" s="42"/>
      <c r="P971" s="36"/>
      <c r="Q971" s="1"/>
      <c r="S971" s="3"/>
      <c r="T971" s="7"/>
    </row>
    <row r="972" spans="3:20" ht="15.75" customHeight="1" x14ac:dyDescent="0.35">
      <c r="C972" s="40"/>
      <c r="D972" s="41"/>
      <c r="E972" s="41"/>
      <c r="G972" s="46"/>
      <c r="H972" s="46"/>
      <c r="I972" s="49"/>
      <c r="J972" s="36"/>
      <c r="K972" s="3"/>
      <c r="L972" s="3"/>
      <c r="M972" s="4"/>
      <c r="N972" s="42"/>
      <c r="P972" s="36"/>
      <c r="Q972" s="1"/>
      <c r="S972" s="3"/>
      <c r="T972" s="7"/>
    </row>
    <row r="973" spans="3:20" ht="15.75" customHeight="1" x14ac:dyDescent="0.35">
      <c r="C973" s="40"/>
      <c r="D973" s="41"/>
      <c r="E973" s="41"/>
      <c r="G973" s="46"/>
      <c r="H973" s="46"/>
      <c r="I973" s="49"/>
      <c r="J973" s="36"/>
      <c r="K973" s="3"/>
      <c r="L973" s="3"/>
      <c r="M973" s="4"/>
      <c r="N973" s="42"/>
      <c r="P973" s="36"/>
      <c r="Q973" s="1"/>
      <c r="S973" s="3"/>
      <c r="T973" s="7"/>
    </row>
    <row r="974" spans="3:20" ht="15.75" customHeight="1" x14ac:dyDescent="0.35">
      <c r="C974" s="40"/>
      <c r="D974" s="41"/>
      <c r="E974" s="41"/>
      <c r="G974" s="46"/>
      <c r="H974" s="46"/>
      <c r="I974" s="49"/>
      <c r="J974" s="36"/>
      <c r="K974" s="3"/>
      <c r="L974" s="3"/>
      <c r="M974" s="4"/>
      <c r="N974" s="42"/>
      <c r="P974" s="36"/>
      <c r="Q974" s="1"/>
      <c r="S974" s="3"/>
      <c r="T974" s="7"/>
    </row>
    <row r="975" spans="3:20" ht="15.75" customHeight="1" x14ac:dyDescent="0.35">
      <c r="C975" s="40"/>
      <c r="D975" s="41"/>
      <c r="E975" s="41"/>
      <c r="G975" s="46"/>
      <c r="H975" s="46"/>
      <c r="I975" s="49"/>
      <c r="J975" s="36"/>
      <c r="K975" s="3"/>
      <c r="L975" s="3"/>
      <c r="M975" s="4"/>
      <c r="N975" s="42"/>
      <c r="P975" s="36"/>
      <c r="Q975" s="1"/>
      <c r="S975" s="3"/>
      <c r="T975" s="7"/>
    </row>
    <row r="976" spans="3:20" ht="15.75" customHeight="1" x14ac:dyDescent="0.35">
      <c r="C976" s="40"/>
      <c r="D976" s="41"/>
      <c r="E976" s="41"/>
      <c r="G976" s="46"/>
      <c r="H976" s="46"/>
      <c r="I976" s="49"/>
      <c r="J976" s="36"/>
      <c r="K976" s="3"/>
      <c r="L976" s="3"/>
      <c r="M976" s="4"/>
      <c r="N976" s="42"/>
      <c r="P976" s="36"/>
      <c r="Q976" s="1"/>
      <c r="S976" s="3"/>
      <c r="T976" s="7"/>
    </row>
    <row r="977" spans="3:20" ht="15.75" customHeight="1" x14ac:dyDescent="0.35">
      <c r="C977" s="40"/>
      <c r="D977" s="41"/>
      <c r="E977" s="41"/>
      <c r="G977" s="46"/>
      <c r="H977" s="46"/>
      <c r="I977" s="49"/>
      <c r="J977" s="36"/>
      <c r="K977" s="3"/>
      <c r="L977" s="3"/>
      <c r="M977" s="4"/>
      <c r="N977" s="42"/>
      <c r="P977" s="36"/>
      <c r="Q977" s="1"/>
      <c r="S977" s="3"/>
      <c r="T977" s="7"/>
    </row>
    <row r="978" spans="3:20" ht="15.75" customHeight="1" x14ac:dyDescent="0.35">
      <c r="C978" s="40"/>
      <c r="D978" s="41"/>
      <c r="E978" s="41"/>
      <c r="G978" s="46"/>
      <c r="H978" s="46"/>
      <c r="I978" s="49"/>
      <c r="J978" s="36"/>
      <c r="K978" s="3"/>
      <c r="L978" s="3"/>
      <c r="M978" s="4"/>
      <c r="N978" s="42"/>
      <c r="P978" s="36"/>
      <c r="Q978" s="1"/>
      <c r="S978" s="3"/>
      <c r="T978" s="7"/>
    </row>
    <row r="979" spans="3:20" ht="15.75" customHeight="1" x14ac:dyDescent="0.35">
      <c r="C979" s="40"/>
      <c r="D979" s="41"/>
      <c r="E979" s="41"/>
      <c r="G979" s="46"/>
      <c r="H979" s="46"/>
      <c r="I979" s="49"/>
      <c r="J979" s="36"/>
      <c r="K979" s="3"/>
      <c r="L979" s="3"/>
      <c r="M979" s="4"/>
      <c r="N979" s="42"/>
      <c r="P979" s="36"/>
      <c r="Q979" s="1"/>
      <c r="S979" s="3"/>
      <c r="T979" s="7"/>
    </row>
    <row r="980" spans="3:20" ht="15.75" customHeight="1" x14ac:dyDescent="0.35">
      <c r="C980" s="40"/>
      <c r="D980" s="41"/>
      <c r="E980" s="41"/>
      <c r="G980" s="46"/>
      <c r="H980" s="46"/>
      <c r="I980" s="49"/>
      <c r="J980" s="36"/>
      <c r="K980" s="3"/>
      <c r="L980" s="3"/>
      <c r="M980" s="4"/>
      <c r="N980" s="42"/>
      <c r="P980" s="36"/>
      <c r="Q980" s="1"/>
      <c r="S980" s="3"/>
      <c r="T980" s="7"/>
    </row>
    <row r="981" spans="3:20" ht="15.75" customHeight="1" x14ac:dyDescent="0.35">
      <c r="C981" s="40"/>
      <c r="D981" s="41"/>
      <c r="E981" s="41"/>
      <c r="G981" s="46"/>
      <c r="H981" s="46"/>
      <c r="I981" s="49"/>
      <c r="J981" s="36"/>
      <c r="K981" s="3"/>
      <c r="L981" s="3"/>
      <c r="M981" s="4"/>
      <c r="N981" s="42"/>
      <c r="P981" s="36"/>
      <c r="Q981" s="1"/>
      <c r="S981" s="3"/>
      <c r="T981" s="7"/>
    </row>
    <row r="982" spans="3:20" ht="15.75" customHeight="1" x14ac:dyDescent="0.35">
      <c r="C982" s="40"/>
      <c r="D982" s="41"/>
      <c r="E982" s="41"/>
      <c r="G982" s="46"/>
      <c r="H982" s="46"/>
      <c r="I982" s="49"/>
      <c r="J982" s="36"/>
      <c r="K982" s="3"/>
      <c r="L982" s="3"/>
      <c r="M982" s="4"/>
      <c r="N982" s="42"/>
      <c r="P982" s="36"/>
      <c r="Q982" s="1"/>
      <c r="S982" s="3"/>
      <c r="T982" s="7"/>
    </row>
    <row r="983" spans="3:20" ht="15.75" customHeight="1" x14ac:dyDescent="0.35">
      <c r="C983" s="40"/>
      <c r="D983" s="41"/>
      <c r="E983" s="41"/>
      <c r="G983" s="46"/>
      <c r="H983" s="46"/>
      <c r="I983" s="49"/>
      <c r="J983" s="36"/>
      <c r="K983" s="3"/>
      <c r="L983" s="3"/>
      <c r="M983" s="4"/>
      <c r="N983" s="42"/>
      <c r="P983" s="36"/>
      <c r="Q983" s="1"/>
      <c r="S983" s="3"/>
      <c r="T983" s="7"/>
    </row>
    <row r="984" spans="3:20" ht="15.75" customHeight="1" x14ac:dyDescent="0.35">
      <c r="C984" s="40"/>
      <c r="D984" s="41"/>
      <c r="E984" s="41"/>
      <c r="G984" s="46"/>
      <c r="H984" s="46"/>
      <c r="I984" s="49"/>
      <c r="J984" s="36"/>
      <c r="K984" s="3"/>
      <c r="L984" s="3"/>
      <c r="M984" s="4"/>
      <c r="N984" s="42"/>
      <c r="P984" s="36"/>
      <c r="Q984" s="1"/>
      <c r="S984" s="3"/>
      <c r="T984" s="7"/>
    </row>
    <row r="985" spans="3:20" ht="15.75" customHeight="1" x14ac:dyDescent="0.35">
      <c r="C985" s="40"/>
      <c r="D985" s="41"/>
      <c r="E985" s="41"/>
      <c r="G985" s="46"/>
      <c r="H985" s="46"/>
      <c r="I985" s="49"/>
      <c r="J985" s="36"/>
      <c r="K985" s="3"/>
      <c r="L985" s="3"/>
      <c r="M985" s="4"/>
      <c r="N985" s="42"/>
      <c r="P985" s="36"/>
      <c r="Q985" s="1"/>
      <c r="S985" s="3"/>
      <c r="T985" s="7"/>
    </row>
    <row r="986" spans="3:20" ht="15.75" customHeight="1" x14ac:dyDescent="0.35">
      <c r="C986" s="40"/>
      <c r="D986" s="41"/>
      <c r="E986" s="41"/>
      <c r="G986" s="46"/>
      <c r="H986" s="46"/>
      <c r="I986" s="49"/>
      <c r="J986" s="36"/>
      <c r="K986" s="3"/>
      <c r="L986" s="3"/>
      <c r="M986" s="4"/>
      <c r="N986" s="42"/>
      <c r="P986" s="36"/>
      <c r="Q986" s="1"/>
      <c r="S986" s="3"/>
      <c r="T986" s="7"/>
    </row>
    <row r="987" spans="3:20" ht="15.75" customHeight="1" x14ac:dyDescent="0.35">
      <c r="C987" s="40"/>
      <c r="D987" s="41"/>
      <c r="E987" s="41"/>
      <c r="G987" s="46"/>
      <c r="H987" s="46"/>
      <c r="I987" s="49"/>
      <c r="J987" s="36"/>
      <c r="K987" s="3"/>
      <c r="L987" s="3"/>
      <c r="M987" s="4"/>
      <c r="N987" s="42"/>
      <c r="P987" s="36"/>
      <c r="Q987" s="1"/>
      <c r="S987" s="3"/>
      <c r="T987" s="7"/>
    </row>
    <row r="988" spans="3:20" ht="15.75" customHeight="1" x14ac:dyDescent="0.35">
      <c r="C988" s="40"/>
      <c r="D988" s="41"/>
      <c r="E988" s="41"/>
      <c r="G988" s="46"/>
      <c r="H988" s="46"/>
      <c r="I988" s="49"/>
      <c r="J988" s="36"/>
      <c r="K988" s="3"/>
      <c r="L988" s="3"/>
      <c r="M988" s="4"/>
      <c r="N988" s="42"/>
      <c r="P988" s="36"/>
      <c r="Q988" s="1"/>
      <c r="S988" s="3"/>
      <c r="T988" s="7"/>
    </row>
    <row r="989" spans="3:20" ht="15.75" customHeight="1" x14ac:dyDescent="0.35">
      <c r="C989" s="40"/>
      <c r="D989" s="41"/>
      <c r="E989" s="41"/>
      <c r="G989" s="46"/>
      <c r="H989" s="46"/>
      <c r="I989" s="49"/>
      <c r="J989" s="36"/>
      <c r="K989" s="3"/>
      <c r="L989" s="3"/>
      <c r="M989" s="4"/>
      <c r="N989" s="42"/>
      <c r="P989" s="36"/>
      <c r="Q989" s="1"/>
      <c r="S989" s="3"/>
      <c r="T989" s="7"/>
    </row>
    <row r="990" spans="3:20" ht="15.75" customHeight="1" x14ac:dyDescent="0.35">
      <c r="C990" s="40"/>
      <c r="D990" s="41"/>
      <c r="E990" s="41"/>
      <c r="G990" s="46"/>
      <c r="H990" s="46"/>
      <c r="I990" s="49"/>
      <c r="J990" s="36"/>
      <c r="K990" s="3"/>
      <c r="L990" s="3"/>
      <c r="M990" s="4"/>
      <c r="N990" s="42"/>
      <c r="P990" s="36"/>
      <c r="Q990" s="1"/>
      <c r="S990" s="3"/>
      <c r="T990" s="7"/>
    </row>
    <row r="991" spans="3:20" ht="15.75" customHeight="1" x14ac:dyDescent="0.35">
      <c r="C991" s="40"/>
      <c r="D991" s="41"/>
      <c r="E991" s="41"/>
      <c r="G991" s="46"/>
      <c r="H991" s="46"/>
      <c r="I991" s="49"/>
      <c r="J991" s="36"/>
      <c r="K991" s="3"/>
      <c r="L991" s="3"/>
      <c r="M991" s="4"/>
      <c r="N991" s="42"/>
      <c r="P991" s="36"/>
      <c r="Q991" s="1"/>
      <c r="S991" s="3"/>
      <c r="T991" s="7"/>
    </row>
    <row r="992" spans="3:20" ht="15.75" customHeight="1" x14ac:dyDescent="0.35">
      <c r="C992" s="40"/>
      <c r="D992" s="41"/>
      <c r="E992" s="41"/>
      <c r="G992" s="46"/>
      <c r="H992" s="46"/>
      <c r="I992" s="49"/>
      <c r="J992" s="36"/>
      <c r="K992" s="3"/>
      <c r="L992" s="3"/>
      <c r="M992" s="4"/>
      <c r="N992" s="42"/>
      <c r="P992" s="36"/>
      <c r="Q992" s="1"/>
      <c r="S992" s="3"/>
      <c r="T992" s="7"/>
    </row>
    <row r="993" spans="3:20" ht="15.75" customHeight="1" x14ac:dyDescent="0.35">
      <c r="C993" s="40"/>
      <c r="D993" s="41"/>
      <c r="E993" s="41"/>
      <c r="G993" s="46"/>
      <c r="H993" s="46"/>
      <c r="I993" s="49"/>
      <c r="J993" s="36"/>
      <c r="K993" s="3"/>
      <c r="L993" s="3"/>
      <c r="M993" s="4"/>
      <c r="N993" s="42"/>
      <c r="P993" s="36"/>
      <c r="Q993" s="1"/>
      <c r="S993" s="3"/>
      <c r="T993" s="7"/>
    </row>
    <row r="994" spans="3:20" ht="15.75" customHeight="1" x14ac:dyDescent="0.35">
      <c r="C994" s="40"/>
      <c r="D994" s="41"/>
      <c r="E994" s="41"/>
      <c r="G994" s="46"/>
      <c r="H994" s="46"/>
      <c r="I994" s="49"/>
      <c r="J994" s="36"/>
      <c r="K994" s="3"/>
      <c r="L994" s="3"/>
      <c r="M994" s="4"/>
      <c r="N994" s="42"/>
      <c r="P994" s="36"/>
      <c r="Q994" s="1"/>
      <c r="S994" s="3"/>
      <c r="T994" s="7"/>
    </row>
    <row r="995" spans="3:20" ht="15.75" customHeight="1" x14ac:dyDescent="0.35">
      <c r="C995" s="40"/>
      <c r="D995" s="41"/>
      <c r="E995" s="41"/>
      <c r="G995" s="46"/>
      <c r="H995" s="46"/>
      <c r="I995" s="49"/>
      <c r="J995" s="36"/>
      <c r="K995" s="3"/>
      <c r="L995" s="3"/>
      <c r="M995" s="4"/>
      <c r="N995" s="42"/>
      <c r="P995" s="36"/>
      <c r="Q995" s="1"/>
      <c r="S995" s="3"/>
      <c r="T995" s="7"/>
    </row>
    <row r="996" spans="3:20" ht="15.75" customHeight="1" x14ac:dyDescent="0.35">
      <c r="C996" s="40"/>
      <c r="D996" s="41"/>
      <c r="E996" s="41"/>
      <c r="G996" s="46"/>
      <c r="H996" s="46"/>
      <c r="I996" s="49"/>
      <c r="J996" s="36"/>
      <c r="K996" s="3"/>
      <c r="L996" s="3"/>
      <c r="M996" s="4"/>
      <c r="N996" s="42"/>
      <c r="P996" s="36"/>
      <c r="Q996" s="1"/>
      <c r="S996" s="3"/>
      <c r="T996" s="7"/>
    </row>
    <row r="997" spans="3:20" ht="15.75" customHeight="1" x14ac:dyDescent="0.35">
      <c r="C997" s="40"/>
      <c r="D997" s="41"/>
      <c r="E997" s="41"/>
      <c r="G997" s="46"/>
      <c r="H997" s="46"/>
      <c r="I997" s="49"/>
      <c r="J997" s="36"/>
      <c r="K997" s="3"/>
      <c r="L997" s="3"/>
      <c r="M997" s="4"/>
      <c r="N997" s="42"/>
      <c r="P997" s="36"/>
      <c r="Q997" s="1"/>
      <c r="S997" s="3"/>
      <c r="T997" s="7"/>
    </row>
    <row r="998" spans="3:20" ht="15.75" customHeight="1" x14ac:dyDescent="0.35">
      <c r="C998" s="40"/>
      <c r="D998" s="41"/>
      <c r="E998" s="41"/>
      <c r="G998" s="46"/>
      <c r="H998" s="46"/>
      <c r="I998" s="49"/>
      <c r="J998" s="36"/>
      <c r="K998" s="3"/>
      <c r="L998" s="3"/>
      <c r="M998" s="4"/>
      <c r="N998" s="42"/>
      <c r="P998" s="36"/>
      <c r="Q998" s="1"/>
      <c r="S998" s="3"/>
      <c r="T998" s="7"/>
    </row>
    <row r="999" spans="3:20" ht="15.75" customHeight="1" x14ac:dyDescent="0.35">
      <c r="C999" s="40"/>
      <c r="D999" s="41"/>
      <c r="E999" s="41"/>
      <c r="G999" s="46"/>
      <c r="H999" s="46"/>
      <c r="I999" s="49"/>
      <c r="J999" s="36"/>
      <c r="K999" s="3"/>
      <c r="L999" s="3"/>
      <c r="M999" s="4"/>
      <c r="N999" s="42"/>
      <c r="P999" s="36"/>
      <c r="Q999" s="1"/>
      <c r="S999" s="3"/>
      <c r="T999" s="7"/>
    </row>
    <row r="1000" spans="3:20" ht="15.75" customHeight="1" x14ac:dyDescent="0.35">
      <c r="C1000" s="40"/>
      <c r="D1000" s="41"/>
      <c r="E1000" s="41"/>
      <c r="G1000" s="46"/>
      <c r="H1000" s="46"/>
      <c r="I1000" s="49"/>
      <c r="J1000" s="36"/>
      <c r="K1000" s="3"/>
      <c r="L1000" s="3"/>
      <c r="M1000" s="4"/>
      <c r="N1000" s="42"/>
      <c r="P1000" s="36"/>
      <c r="Q1000" s="1"/>
      <c r="S1000" s="3"/>
      <c r="T1000" s="7"/>
    </row>
  </sheetData>
  <mergeCells count="141">
    <mergeCell ref="M319:O319"/>
    <mergeCell ref="M320:O320"/>
    <mergeCell ref="M230:O230"/>
    <mergeCell ref="M239:O239"/>
    <mergeCell ref="M240:O240"/>
    <mergeCell ref="M248:O248"/>
    <mergeCell ref="M249:O249"/>
    <mergeCell ref="M267:O267"/>
    <mergeCell ref="M268:O268"/>
    <mergeCell ref="M277:O277"/>
    <mergeCell ref="M278:O278"/>
    <mergeCell ref="M285:O285"/>
    <mergeCell ref="M286:O286"/>
    <mergeCell ref="M293:O293"/>
    <mergeCell ref="M294:O294"/>
    <mergeCell ref="M138:O138"/>
    <mergeCell ref="M139:O139"/>
    <mergeCell ref="M154:O154"/>
    <mergeCell ref="M155:O155"/>
    <mergeCell ref="M192:O192"/>
    <mergeCell ref="M193:O193"/>
    <mergeCell ref="M216:O216"/>
    <mergeCell ref="M217:O217"/>
    <mergeCell ref="M229:O229"/>
    <mergeCell ref="H80:I80"/>
    <mergeCell ref="M83:O83"/>
    <mergeCell ref="M84:O84"/>
    <mergeCell ref="M107:O107"/>
    <mergeCell ref="M108:O108"/>
    <mergeCell ref="M119:O119"/>
    <mergeCell ref="M120:O120"/>
    <mergeCell ref="M130:O130"/>
    <mergeCell ref="M131:O131"/>
    <mergeCell ref="H21:I21"/>
    <mergeCell ref="M24:O24"/>
    <mergeCell ref="M25:O25"/>
    <mergeCell ref="H29:I29"/>
    <mergeCell ref="M32:O32"/>
    <mergeCell ref="M33:O33"/>
    <mergeCell ref="H47:I47"/>
    <mergeCell ref="M50:O50"/>
    <mergeCell ref="M51:O51"/>
    <mergeCell ref="M874:O874"/>
    <mergeCell ref="M875:O875"/>
    <mergeCell ref="M882:O882"/>
    <mergeCell ref="M883:O883"/>
    <mergeCell ref="M709:O709"/>
    <mergeCell ref="M710:O710"/>
    <mergeCell ref="M722:O722"/>
    <mergeCell ref="M723:O723"/>
    <mergeCell ref="M731:O731"/>
    <mergeCell ref="M732:O732"/>
    <mergeCell ref="M836:O836"/>
    <mergeCell ref="M675:O675"/>
    <mergeCell ref="M676:O676"/>
    <mergeCell ref="M683:O683"/>
    <mergeCell ref="M684:O684"/>
    <mergeCell ref="M697:O697"/>
    <mergeCell ref="M698:O698"/>
    <mergeCell ref="M837:O837"/>
    <mergeCell ref="M854:O854"/>
    <mergeCell ref="M855:O855"/>
    <mergeCell ref="M556:O556"/>
    <mergeCell ref="M570:O570"/>
    <mergeCell ref="M571:O571"/>
    <mergeCell ref="M578:O578"/>
    <mergeCell ref="M579:O579"/>
    <mergeCell ref="M658:O658"/>
    <mergeCell ref="M659:O659"/>
    <mergeCell ref="M666:O666"/>
    <mergeCell ref="M667:O667"/>
    <mergeCell ref="M510:O510"/>
    <mergeCell ref="M511:O511"/>
    <mergeCell ref="M522:O522"/>
    <mergeCell ref="M523:O523"/>
    <mergeCell ref="M534:O534"/>
    <mergeCell ref="M535:O535"/>
    <mergeCell ref="M543:O543"/>
    <mergeCell ref="M544:O544"/>
    <mergeCell ref="M555:O555"/>
    <mergeCell ref="M423:O423"/>
    <mergeCell ref="M432:O432"/>
    <mergeCell ref="M433:O433"/>
    <mergeCell ref="M456:O456"/>
    <mergeCell ref="M457:O457"/>
    <mergeCell ref="M465:O465"/>
    <mergeCell ref="M466:O466"/>
    <mergeCell ref="M478:O478"/>
    <mergeCell ref="M479:O479"/>
    <mergeCell ref="M327:O327"/>
    <mergeCell ref="M328:O328"/>
    <mergeCell ref="M339:O339"/>
    <mergeCell ref="M340:O340"/>
    <mergeCell ref="M364:O364"/>
    <mergeCell ref="M365:O365"/>
    <mergeCell ref="M377:O377"/>
    <mergeCell ref="M378:O378"/>
    <mergeCell ref="M422:O422"/>
    <mergeCell ref="H575:I575"/>
    <mergeCell ref="H728:I728"/>
    <mergeCell ref="H833:I833"/>
    <mergeCell ref="H851:I851"/>
    <mergeCell ref="H871:I871"/>
    <mergeCell ref="H879:I879"/>
    <mergeCell ref="H655:I655"/>
    <mergeCell ref="H663:I663"/>
    <mergeCell ref="H672:I672"/>
    <mergeCell ref="H680:I680"/>
    <mergeCell ref="H694:I694"/>
    <mergeCell ref="H706:I706"/>
    <mergeCell ref="H719:I719"/>
    <mergeCell ref="H453:I453"/>
    <mergeCell ref="H462:I462"/>
    <mergeCell ref="H475:I475"/>
    <mergeCell ref="H507:I507"/>
    <mergeCell ref="H519:I519"/>
    <mergeCell ref="H531:I531"/>
    <mergeCell ref="H540:I540"/>
    <mergeCell ref="H552:I552"/>
    <mergeCell ref="H567:I567"/>
    <mergeCell ref="H361:I361"/>
    <mergeCell ref="H374:I374"/>
    <mergeCell ref="H419:I419"/>
    <mergeCell ref="H429:I429"/>
    <mergeCell ref="H324:I324"/>
    <mergeCell ref="H336:I336"/>
    <mergeCell ref="H104:I104"/>
    <mergeCell ref="H116:I116"/>
    <mergeCell ref="H127:I127"/>
    <mergeCell ref="H135:I135"/>
    <mergeCell ref="H151:I151"/>
    <mergeCell ref="H189:I189"/>
    <mergeCell ref="H213:I213"/>
    <mergeCell ref="H226:I226"/>
    <mergeCell ref="H236:I236"/>
    <mergeCell ref="H316:I316"/>
    <mergeCell ref="H245:I245"/>
    <mergeCell ref="H264:I264"/>
    <mergeCell ref="H274:I274"/>
    <mergeCell ref="H282:I282"/>
    <mergeCell ref="H290:I290"/>
  </mergeCells>
  <printOptions horizontalCentered="1"/>
  <pageMargins left="0.25" right="0.25" top="0.5" bottom="0.5" header="0" footer="0"/>
  <pageSetup paperSize="9" orientation="landscape"/>
  <rowBreaks count="46" manualBreakCount="46">
    <brk id="320" man="1"/>
    <brk id="193" man="1"/>
    <brk id="131" man="1"/>
    <brk id="579" man="1"/>
    <brk id="837" man="1"/>
    <brk id="710" man="1"/>
    <brk id="328" man="1"/>
    <brk id="457" man="1"/>
    <brk id="139" man="1"/>
    <brk id="523" man="1"/>
    <brk id="268" man="1"/>
    <brk id="466" man="1"/>
    <brk id="723" man="1"/>
    <brk id="659" man="1"/>
    <brk id="84" man="1"/>
    <brk id="340" man="1"/>
    <brk id="278" man="1"/>
    <brk id="855" man="1"/>
    <brk id="535" man="1"/>
    <brk id="25" man="1"/>
    <brk id="217" man="1"/>
    <brk id="155" man="1"/>
    <brk id="667" man="1"/>
    <brk id="732" man="1"/>
    <brk id="286" man="1"/>
    <brk id="479" man="1"/>
    <brk id="544" man="1"/>
    <brk id="33" man="1"/>
    <brk id="676" man="1"/>
    <brk id="230" man="1"/>
    <brk id="294" man="1"/>
    <brk id="423" man="1"/>
    <brk id="875" man="1"/>
    <brk id="108" man="1"/>
    <brk id="556" man="1"/>
    <brk id="684" man="1"/>
    <brk id="365" man="1"/>
    <brk id="240" man="1"/>
    <brk id="433" man="1"/>
    <brk id="51" man="1"/>
    <brk id="120" man="1"/>
    <brk id="249" man="1"/>
    <brk id="698" man="1"/>
    <brk id="378" man="1"/>
    <brk id="571" man="1"/>
    <brk id="5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0955d8-fdb7-46da-8d30-e6fa3323794c" xsi:nil="true"/>
    <lcf76f155ced4ddcb4097134ff3c332f xmlns="86aae9bc-38d7-4b96-a3b2-bd9de35c92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A1439F2499440991C33584B726088" ma:contentTypeVersion="11" ma:contentTypeDescription="Create a new document." ma:contentTypeScope="" ma:versionID="8da7592522d4748551f6410f3a8d4701">
  <xsd:schema xmlns:xsd="http://www.w3.org/2001/XMLSchema" xmlns:xs="http://www.w3.org/2001/XMLSchema" xmlns:p="http://schemas.microsoft.com/office/2006/metadata/properties" xmlns:ns2="86aae9bc-38d7-4b96-a3b2-bd9de35c924b" xmlns:ns3="3f0955d8-fdb7-46da-8d30-e6fa3323794c" targetNamespace="http://schemas.microsoft.com/office/2006/metadata/properties" ma:root="true" ma:fieldsID="a4f76c26fd561a014d33877aea5ecb9f" ns2:_="" ns3:_="">
    <xsd:import namespace="86aae9bc-38d7-4b96-a3b2-bd9de35c924b"/>
    <xsd:import namespace="3f0955d8-fdb7-46da-8d30-e6fa332379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ae9bc-38d7-4b96-a3b2-bd9de35c9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be0efa-dd52-4515-a411-1eb6e0b8c1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955d8-fdb7-46da-8d30-e6fa332379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117095-3e01-40f9-aef8-244517d01874}" ma:internalName="TaxCatchAll" ma:showField="CatchAllData" ma:web="3f0955d8-fdb7-46da-8d30-e6fa332379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48CAAC-3623-4562-9F3B-A331587666E8}">
  <ds:schemaRefs>
    <ds:schemaRef ds:uri="http://schemas.microsoft.com/office/2006/metadata/properties"/>
    <ds:schemaRef ds:uri="http://schemas.microsoft.com/office/infopath/2007/PartnerControls"/>
    <ds:schemaRef ds:uri="3f0955d8-fdb7-46da-8d30-e6fa3323794c"/>
    <ds:schemaRef ds:uri="86aae9bc-38d7-4b96-a3b2-bd9de35c924b"/>
  </ds:schemaRefs>
</ds:datastoreItem>
</file>

<file path=customXml/itemProps2.xml><?xml version="1.0" encoding="utf-8"?>
<ds:datastoreItem xmlns:ds="http://schemas.openxmlformats.org/officeDocument/2006/customXml" ds:itemID="{0B631ECB-A105-40EB-8580-8F9FFBE45E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BFB38-F185-4F49-99E4-5F2EEA558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aae9bc-38d7-4b96-a3b2-bd9de35c924b"/>
    <ds:schemaRef ds:uri="3f0955d8-fdb7-46da-8d30-e6fa332379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ELECTRIFICATION LIST 2017 (2)</vt:lpstr>
      <vt:lpstr>LMS 2024</vt:lpstr>
      <vt:lpstr>+</vt:lpstr>
      <vt:lpstr>ELECTRIFICATION LIST per div</vt:lpstr>
      <vt:lpstr>_xlcn.WorksheetConnection_ELECTRIFICATION20172020WK1JAN6.xlsx_xlcn.WorksheetConnection_CY2017ElectrificationB12A8AI7201</vt:lpstr>
      <vt:lpstr>'LMS 2024'!Print_Area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Deped</dc:creator>
  <cp:keywords/>
  <dc:description/>
  <cp:lastModifiedBy>Levy Tatad</cp:lastModifiedBy>
  <cp:revision/>
  <dcterms:created xsi:type="dcterms:W3CDTF">2017-04-17T06:37:50Z</dcterms:created>
  <dcterms:modified xsi:type="dcterms:W3CDTF">2026-03-03T05:46:07Z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0x0101003A4A1439F2499440991C33584B726088</vt:lpwstr>
  </property>
  <property fmtid="{D5CDD505-2E9C-101B-9397-08002B2CF9AE}" pid="3" name="Order">
    <vt:r8>2826200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